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69791f9f95fb3556/2026/Career/1.Excel/Pro 3/"/>
    </mc:Choice>
  </mc:AlternateContent>
  <xr:revisionPtr revIDLastSave="1853" documentId="11_B4F494CC9671622EE36570564B5DCE3A07D42840" xr6:coauthVersionLast="47" xr6:coauthVersionMax="47" xr10:uidLastSave="{FBE86E03-3B3E-43D4-B9A6-6133734361CD}"/>
  <bookViews>
    <workbookView xWindow="-28920" yWindow="-120" windowWidth="29040" windowHeight="15720" xr2:uid="{00000000-000D-0000-FFFF-FFFF00000000}"/>
  </bookViews>
  <sheets>
    <sheet name="Dashboard" sheetId="2" r:id="rId1"/>
    <sheet name="PivotTables" sheetId="3" r:id="rId2"/>
    <sheet name="Hospital Data" sheetId="1" r:id="rId3"/>
    <sheet name="Questions" sheetId="4" r:id="rId4"/>
  </sheets>
  <definedNames>
    <definedName name="_xlnm._FilterDatabase" localSheetId="2" hidden="1">'Hospital Data'!$A$1:$K$3001</definedName>
    <definedName name="Slicer_admission_type">#N/A</definedName>
    <definedName name="Slicer_age_group">#N/A</definedName>
    <definedName name="Slicer_department">#N/A</definedName>
    <definedName name="Slicer_gender">#N/A</definedName>
    <definedName name="Slicer_Long_Stay">#N/A</definedName>
  </definedNames>
  <calcPr calcId="191029"/>
  <pivotCaches>
    <pivotCache cacheId="14"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L2" i="1" a="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1" i="1" a="1"/>
  <c r="L1742"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L1845" i="1" a="1"/>
  <c r="L1846" i="1" a="1"/>
  <c r="L1847" i="1" a="1"/>
  <c r="L1848" i="1" a="1"/>
  <c r="L1849" i="1" a="1"/>
  <c r="L1850" i="1" a="1"/>
  <c r="L1851" i="1" a="1"/>
  <c r="L1852" i="1" a="1"/>
  <c r="L1853" i="1" a="1"/>
  <c r="L1854" i="1" a="1"/>
  <c r="L1855" i="1" a="1"/>
  <c r="L1856" i="1" a="1"/>
  <c r="L1857" i="1" a="1"/>
  <c r="L1858" i="1" a="1"/>
  <c r="L1859" i="1" a="1"/>
  <c r="L1860" i="1" a="1"/>
  <c r="L1861" i="1" a="1"/>
  <c r="L1862" i="1" a="1"/>
  <c r="L1863" i="1" a="1"/>
  <c r="L1864" i="1" a="1"/>
  <c r="L1865" i="1" a="1"/>
  <c r="L1866" i="1" a="1"/>
  <c r="L1867" i="1" a="1"/>
  <c r="L1868" i="1" a="1"/>
  <c r="L1869" i="1" a="1"/>
  <c r="L1870" i="1" a="1"/>
  <c r="L1871" i="1" a="1"/>
  <c r="L1872" i="1" a="1"/>
  <c r="L1873" i="1" a="1"/>
  <c r="L1874" i="1" a="1"/>
  <c r="L1875" i="1" a="1"/>
  <c r="L1876" i="1" a="1"/>
  <c r="L1877" i="1" a="1"/>
  <c r="L1878" i="1" a="1"/>
  <c r="L1879" i="1" a="1"/>
  <c r="L1880" i="1" a="1"/>
  <c r="L1881" i="1" a="1"/>
  <c r="L1882" i="1" a="1"/>
  <c r="L1883" i="1" a="1"/>
  <c r="L1884" i="1" a="1"/>
  <c r="L1885" i="1" a="1"/>
  <c r="L1886" i="1" a="1"/>
  <c r="L1887" i="1" a="1"/>
  <c r="L1888" i="1" a="1"/>
  <c r="L1889" i="1" a="1"/>
  <c r="L1890" i="1" a="1"/>
  <c r="L1891" i="1" a="1"/>
  <c r="L1892" i="1" a="1"/>
  <c r="L1893" i="1" a="1"/>
  <c r="L1894" i="1" a="1"/>
  <c r="L1895" i="1" a="1"/>
  <c r="L1896" i="1" a="1"/>
  <c r="L1897" i="1" a="1"/>
  <c r="L1898" i="1" a="1"/>
  <c r="L1899" i="1" a="1"/>
  <c r="L1900" i="1" a="1"/>
  <c r="L1901" i="1" a="1"/>
  <c r="L1902" i="1" a="1"/>
  <c r="L1903" i="1" a="1"/>
  <c r="L1904" i="1" a="1"/>
  <c r="L1905" i="1" a="1"/>
  <c r="L1906" i="1" a="1"/>
  <c r="L1907" i="1" a="1"/>
  <c r="L1908" i="1" a="1"/>
  <c r="L1909" i="1" a="1"/>
  <c r="L1910" i="1" a="1"/>
  <c r="L1911" i="1" a="1"/>
  <c r="L1912" i="1" a="1"/>
  <c r="L1913" i="1" a="1"/>
  <c r="L1914" i="1" a="1"/>
  <c r="L1915" i="1" a="1"/>
  <c r="L1916" i="1" a="1"/>
  <c r="L1917" i="1" a="1"/>
  <c r="L1918" i="1" a="1"/>
  <c r="L1919" i="1" a="1"/>
  <c r="L1920" i="1" a="1"/>
  <c r="L1921" i="1" a="1"/>
  <c r="L1922" i="1" a="1"/>
  <c r="L1923" i="1" a="1"/>
  <c r="L1924" i="1" a="1"/>
  <c r="L1925" i="1" a="1"/>
  <c r="L1926" i="1" a="1"/>
  <c r="L1927" i="1" a="1"/>
  <c r="L1928" i="1" a="1"/>
  <c r="L1929" i="1" a="1"/>
  <c r="L1930" i="1" a="1"/>
  <c r="L1931" i="1" a="1"/>
  <c r="L1932" i="1" a="1"/>
  <c r="L1933" i="1" a="1"/>
  <c r="L1934" i="1" a="1"/>
  <c r="L1935" i="1" a="1"/>
  <c r="L1936" i="1" a="1"/>
  <c r="L1937" i="1" a="1"/>
  <c r="L1938" i="1" a="1"/>
  <c r="L1939" i="1" a="1"/>
  <c r="L1940" i="1" a="1"/>
  <c r="L1941" i="1" a="1"/>
  <c r="L1942" i="1" a="1"/>
  <c r="L1943" i="1" a="1"/>
  <c r="L1944" i="1" a="1"/>
  <c r="L1945" i="1" a="1"/>
  <c r="L1946" i="1" a="1"/>
  <c r="L1947" i="1" a="1"/>
  <c r="L1948" i="1" a="1"/>
  <c r="L1949" i="1" a="1"/>
  <c r="L1950" i="1" a="1"/>
  <c r="L1951" i="1" a="1"/>
  <c r="L1952" i="1" a="1"/>
  <c r="L1953" i="1" a="1"/>
  <c r="L1954" i="1" a="1"/>
  <c r="L1955" i="1" a="1"/>
  <c r="L1956" i="1" a="1"/>
  <c r="L1957" i="1" a="1"/>
  <c r="L1958" i="1" a="1"/>
  <c r="L1959" i="1" a="1"/>
  <c r="L1960" i="1" a="1"/>
  <c r="L1961" i="1" a="1"/>
  <c r="L1962" i="1" a="1"/>
  <c r="L1963" i="1" a="1"/>
  <c r="L1964" i="1" a="1"/>
  <c r="L1965" i="1" a="1"/>
  <c r="L1966" i="1" a="1"/>
  <c r="L1967" i="1" a="1"/>
  <c r="L1968" i="1" a="1"/>
  <c r="L1969" i="1" a="1"/>
  <c r="L1970" i="1" a="1"/>
  <c r="L1971" i="1" a="1"/>
  <c r="L1972" i="1" a="1"/>
  <c r="L1973" i="1" a="1"/>
  <c r="L1974" i="1" a="1"/>
  <c r="L1975" i="1" a="1"/>
  <c r="L1976" i="1" a="1"/>
  <c r="L1977" i="1" a="1"/>
  <c r="L1978" i="1" a="1"/>
  <c r="L1979" i="1" a="1"/>
  <c r="L1980" i="1" a="1"/>
  <c r="L1981" i="1" a="1"/>
  <c r="L1982" i="1" a="1"/>
  <c r="L1983" i="1" a="1"/>
  <c r="L1984" i="1" a="1"/>
  <c r="L1985" i="1" a="1"/>
  <c r="L1986" i="1" a="1"/>
  <c r="L1987" i="1" a="1"/>
  <c r="L1988" i="1" a="1"/>
  <c r="L1989" i="1" a="1"/>
  <c r="L1990" i="1" a="1"/>
  <c r="L1991" i="1" a="1"/>
  <c r="L1992" i="1" a="1"/>
  <c r="L1993" i="1" a="1"/>
  <c r="L1994" i="1" a="1"/>
  <c r="L1995" i="1" a="1"/>
  <c r="L1996" i="1" a="1"/>
  <c r="L1997" i="1" a="1"/>
  <c r="L1998" i="1" a="1"/>
  <c r="L1999" i="1" a="1"/>
  <c r="L2000" i="1" a="1"/>
  <c r="L2001" i="1" a="1"/>
  <c r="L2002" i="1" a="1"/>
  <c r="L2003" i="1" a="1"/>
  <c r="L2004" i="1" a="1"/>
  <c r="L2005" i="1" a="1"/>
  <c r="L2006" i="1" a="1"/>
  <c r="L2007" i="1" a="1"/>
  <c r="L2008" i="1" a="1"/>
  <c r="L2009" i="1" a="1"/>
  <c r="L2010" i="1" a="1"/>
  <c r="L2011" i="1" a="1"/>
  <c r="L2012" i="1" a="1"/>
  <c r="L2013" i="1" a="1"/>
  <c r="L2014" i="1" a="1"/>
  <c r="L2015" i="1" a="1"/>
  <c r="L2016" i="1" a="1"/>
  <c r="L2017" i="1" a="1"/>
  <c r="L2018" i="1" a="1"/>
  <c r="L2019" i="1" a="1"/>
  <c r="L2020" i="1" a="1"/>
  <c r="L2021" i="1" a="1"/>
  <c r="L2022" i="1" a="1"/>
  <c r="L2023" i="1" a="1"/>
  <c r="L2024" i="1" a="1"/>
  <c r="L2025" i="1" a="1"/>
  <c r="L2026" i="1" a="1"/>
  <c r="L2027" i="1" a="1"/>
  <c r="L2028" i="1" a="1"/>
  <c r="L2029" i="1" a="1"/>
  <c r="L2030" i="1" a="1"/>
  <c r="L2031" i="1" a="1"/>
  <c r="L2032" i="1" a="1"/>
  <c r="L2033" i="1" a="1"/>
  <c r="L2034" i="1" a="1"/>
  <c r="L2035" i="1" a="1"/>
  <c r="L2036" i="1" a="1"/>
  <c r="L2037" i="1" a="1"/>
  <c r="L2038" i="1" a="1"/>
  <c r="L2039" i="1" a="1"/>
  <c r="L2040" i="1" a="1"/>
  <c r="L2041" i="1" a="1"/>
  <c r="L2042" i="1" a="1"/>
  <c r="L2043" i="1" a="1"/>
  <c r="L2044" i="1" a="1"/>
  <c r="L2045" i="1" a="1"/>
  <c r="L2046" i="1" a="1"/>
  <c r="L2047" i="1" a="1"/>
  <c r="L2048" i="1" a="1"/>
  <c r="L2049" i="1" a="1"/>
  <c r="L2050" i="1" a="1"/>
  <c r="L2051" i="1" a="1"/>
  <c r="L2052" i="1" a="1"/>
  <c r="L2053" i="1" a="1"/>
  <c r="L2054" i="1" a="1"/>
  <c r="L2055" i="1" a="1"/>
  <c r="L2056" i="1" a="1"/>
  <c r="L2057" i="1" a="1"/>
  <c r="L2058" i="1" a="1"/>
  <c r="L2059" i="1" a="1"/>
  <c r="L2060" i="1" a="1"/>
  <c r="L2061" i="1" a="1"/>
  <c r="L2062" i="1" a="1"/>
  <c r="L2063" i="1" a="1"/>
  <c r="L2064" i="1" a="1"/>
  <c r="L2065" i="1" a="1"/>
  <c r="L2066" i="1" a="1"/>
  <c r="L2067" i="1" a="1"/>
  <c r="L2068" i="1" a="1"/>
  <c r="L2069" i="1" a="1"/>
  <c r="L2070" i="1" a="1"/>
  <c r="L2071" i="1" a="1"/>
  <c r="L2072" i="1" a="1"/>
  <c r="L2073" i="1" a="1"/>
  <c r="L2074" i="1" a="1"/>
  <c r="L2075" i="1" a="1"/>
  <c r="L2076" i="1" a="1"/>
  <c r="L2077" i="1" a="1"/>
  <c r="L2078" i="1" a="1"/>
  <c r="L2079" i="1" a="1"/>
  <c r="L2080" i="1" a="1"/>
  <c r="L2081" i="1" a="1"/>
  <c r="L2082" i="1" a="1"/>
  <c r="L2083" i="1" a="1"/>
  <c r="L2084" i="1" a="1"/>
  <c r="L2085" i="1" a="1"/>
  <c r="L2086" i="1" a="1"/>
  <c r="L2087" i="1" a="1"/>
  <c r="L2088" i="1" a="1"/>
  <c r="L2089" i="1" a="1"/>
  <c r="L2090" i="1" a="1"/>
  <c r="L2091" i="1" a="1"/>
  <c r="L2092" i="1" a="1"/>
  <c r="L2093" i="1" a="1"/>
  <c r="L2094" i="1" a="1"/>
  <c r="L2095" i="1" a="1"/>
  <c r="L2096" i="1" a="1"/>
  <c r="L2097" i="1" a="1"/>
  <c r="L2098" i="1" a="1"/>
  <c r="L2099" i="1" a="1"/>
  <c r="L2100" i="1" a="1"/>
  <c r="L2101" i="1" a="1"/>
  <c r="L2102" i="1" a="1"/>
  <c r="L2103" i="1" a="1"/>
  <c r="L2104" i="1" a="1"/>
  <c r="L2105" i="1" a="1"/>
  <c r="L2106" i="1" a="1"/>
  <c r="L2107" i="1" a="1"/>
  <c r="L2108" i="1" a="1"/>
  <c r="L2109" i="1" a="1"/>
  <c r="L2110" i="1" a="1"/>
  <c r="L2111" i="1" a="1"/>
  <c r="L2112" i="1" a="1"/>
  <c r="L2113" i="1" a="1"/>
  <c r="L2114" i="1" a="1"/>
  <c r="L2115" i="1" a="1"/>
  <c r="L2116" i="1" a="1"/>
  <c r="L2117" i="1" a="1"/>
  <c r="L2118" i="1" a="1"/>
  <c r="L2119" i="1" a="1"/>
  <c r="L2120" i="1" a="1"/>
  <c r="L2121" i="1" a="1"/>
  <c r="L2122" i="1" a="1"/>
  <c r="L2123" i="1" a="1"/>
  <c r="L2124" i="1" a="1"/>
  <c r="L2125" i="1" a="1"/>
  <c r="L2126" i="1" a="1"/>
  <c r="L2127" i="1" a="1"/>
  <c r="L2128" i="1" a="1"/>
  <c r="L2129" i="1" a="1"/>
  <c r="L2130" i="1" a="1"/>
  <c r="L2131" i="1" a="1"/>
  <c r="L2132" i="1" a="1"/>
  <c r="L2133" i="1" a="1"/>
  <c r="L2134" i="1" a="1"/>
  <c r="L2135" i="1" a="1"/>
  <c r="L2136" i="1" a="1"/>
  <c r="L2137" i="1" a="1"/>
  <c r="L2138" i="1" a="1"/>
  <c r="L2139" i="1" a="1"/>
  <c r="L2140" i="1" a="1"/>
  <c r="L2141" i="1" a="1"/>
  <c r="L2142" i="1" a="1"/>
  <c r="L2143" i="1" a="1"/>
  <c r="L2144" i="1" a="1"/>
  <c r="L2145" i="1" a="1"/>
  <c r="L2146" i="1" a="1"/>
  <c r="L2147" i="1" a="1"/>
  <c r="L2148" i="1" a="1"/>
  <c r="L2149" i="1" a="1"/>
  <c r="L2150" i="1" a="1"/>
  <c r="L2151" i="1" a="1"/>
  <c r="L2152" i="1" a="1"/>
  <c r="L2153" i="1" a="1"/>
  <c r="L2154" i="1" a="1"/>
  <c r="L2155" i="1" a="1"/>
  <c r="L2156" i="1" a="1"/>
  <c r="L2157" i="1" a="1"/>
  <c r="L2158" i="1" a="1"/>
  <c r="L2159" i="1" a="1"/>
  <c r="L2160" i="1" a="1"/>
  <c r="L2161" i="1" a="1"/>
  <c r="L2162" i="1" a="1"/>
  <c r="L2163" i="1" a="1"/>
  <c r="L2164" i="1" a="1"/>
  <c r="L2165" i="1" a="1"/>
  <c r="L2166" i="1" a="1"/>
  <c r="L2167" i="1" a="1"/>
  <c r="L2168" i="1" a="1"/>
  <c r="L2169" i="1" a="1"/>
  <c r="L2170" i="1" a="1"/>
  <c r="L2171" i="1" a="1"/>
  <c r="L2172" i="1" a="1"/>
  <c r="L2173" i="1" a="1"/>
  <c r="L2174" i="1" a="1"/>
  <c r="L2175" i="1" a="1"/>
  <c r="L2176" i="1" a="1"/>
  <c r="L2177" i="1" a="1"/>
  <c r="L2178" i="1" a="1"/>
  <c r="L2179" i="1" a="1"/>
  <c r="L2180" i="1" a="1"/>
  <c r="L2181" i="1" a="1"/>
  <c r="L2182" i="1" a="1"/>
  <c r="L2183" i="1" a="1"/>
  <c r="L2184" i="1" a="1"/>
  <c r="L2185" i="1" a="1"/>
  <c r="L2186" i="1" a="1"/>
  <c r="L2187" i="1" a="1"/>
  <c r="L2188" i="1" a="1"/>
  <c r="L2189" i="1" a="1"/>
  <c r="L2190" i="1" a="1"/>
  <c r="L2191" i="1" a="1"/>
  <c r="L2192" i="1" a="1"/>
  <c r="L2193" i="1" a="1"/>
  <c r="L2194" i="1" a="1"/>
  <c r="L2195" i="1" a="1"/>
  <c r="L2196" i="1" a="1"/>
  <c r="L2197" i="1" a="1"/>
  <c r="L2198" i="1" a="1"/>
  <c r="L2199" i="1" a="1"/>
  <c r="L2200" i="1" a="1"/>
  <c r="L2201" i="1" a="1"/>
  <c r="L2202" i="1" a="1"/>
  <c r="L2203" i="1" a="1"/>
  <c r="L2204" i="1" a="1"/>
  <c r="L2205" i="1" a="1"/>
  <c r="L2206" i="1" a="1"/>
  <c r="L2207" i="1" a="1"/>
  <c r="L2208" i="1" a="1"/>
  <c r="L2209" i="1" a="1"/>
  <c r="L2210" i="1" a="1"/>
  <c r="L2211" i="1" a="1"/>
  <c r="L2212" i="1" a="1"/>
  <c r="L2213" i="1" a="1"/>
  <c r="L2214" i="1" a="1"/>
  <c r="L2215" i="1" a="1"/>
  <c r="L2216" i="1" a="1"/>
  <c r="L2217" i="1" a="1"/>
  <c r="L2218" i="1" a="1"/>
  <c r="L2219" i="1" a="1"/>
  <c r="L2220" i="1" a="1"/>
  <c r="L2221" i="1" a="1"/>
  <c r="L2222" i="1" a="1"/>
  <c r="L2223" i="1" a="1"/>
  <c r="L2224" i="1" a="1"/>
  <c r="L2225" i="1" a="1"/>
  <c r="L2226" i="1" a="1"/>
  <c r="L2227" i="1" a="1"/>
  <c r="L2228" i="1" a="1"/>
  <c r="L2229" i="1" a="1"/>
  <c r="L2230" i="1" a="1"/>
  <c r="L2231" i="1" a="1"/>
  <c r="L2232" i="1" a="1"/>
  <c r="L2233" i="1" a="1"/>
  <c r="L2234" i="1" a="1"/>
  <c r="L2235" i="1" a="1"/>
  <c r="L2236" i="1" a="1"/>
  <c r="L2237" i="1" a="1"/>
  <c r="L2238" i="1" a="1"/>
  <c r="L2239" i="1" a="1"/>
  <c r="L2240" i="1" a="1"/>
  <c r="L2241" i="1" a="1"/>
  <c r="L2242" i="1" a="1"/>
  <c r="L2243" i="1" a="1"/>
  <c r="L2244" i="1" a="1"/>
  <c r="L2245" i="1" a="1"/>
  <c r="L2246" i="1" a="1"/>
  <c r="L2247" i="1" a="1"/>
  <c r="L2248" i="1" a="1"/>
  <c r="L2249" i="1" a="1"/>
  <c r="L2250" i="1" a="1"/>
  <c r="L2251" i="1" a="1"/>
  <c r="L2252" i="1" a="1"/>
  <c r="L2253" i="1" a="1"/>
  <c r="L2254" i="1" a="1"/>
  <c r="L2255" i="1" a="1"/>
  <c r="L2256" i="1" a="1"/>
  <c r="L2257" i="1" a="1"/>
  <c r="L2258" i="1" a="1"/>
  <c r="L2259" i="1" a="1"/>
  <c r="L2260" i="1" a="1"/>
  <c r="L2261" i="1" a="1"/>
  <c r="L2262" i="1" a="1"/>
  <c r="L2263" i="1" a="1"/>
  <c r="L2264" i="1" a="1"/>
  <c r="L2265" i="1" a="1"/>
  <c r="L2266" i="1" a="1"/>
  <c r="L2267" i="1" a="1"/>
  <c r="L2268" i="1" a="1"/>
  <c r="L2269" i="1" a="1"/>
  <c r="L2270" i="1" a="1"/>
  <c r="L2271" i="1" a="1"/>
  <c r="L2272" i="1" a="1"/>
  <c r="L2273" i="1" a="1"/>
  <c r="L2274" i="1" a="1"/>
  <c r="L2275" i="1" a="1"/>
  <c r="L2276" i="1" a="1"/>
  <c r="L2277" i="1" a="1"/>
  <c r="L2278" i="1" a="1"/>
  <c r="L2279" i="1" a="1"/>
  <c r="L2280" i="1" a="1"/>
  <c r="L2281" i="1" a="1"/>
  <c r="L2282" i="1" a="1"/>
  <c r="L2283" i="1" a="1"/>
  <c r="L2284" i="1" a="1"/>
  <c r="L2285" i="1" a="1"/>
  <c r="L2286" i="1" a="1"/>
  <c r="L2287" i="1" a="1"/>
  <c r="L2288" i="1" a="1"/>
  <c r="L2289" i="1" a="1"/>
  <c r="L2290" i="1" a="1"/>
  <c r="L2291" i="1" a="1"/>
  <c r="L2292" i="1" a="1"/>
  <c r="L2293" i="1" a="1"/>
  <c r="L2294" i="1" a="1"/>
  <c r="L2295" i="1" a="1"/>
  <c r="L2296" i="1" a="1"/>
  <c r="L2297" i="1" a="1"/>
  <c r="L2298" i="1" a="1"/>
  <c r="L2299" i="1" a="1"/>
  <c r="L2300" i="1" a="1"/>
  <c r="L2301" i="1" a="1"/>
  <c r="L2302" i="1" a="1"/>
  <c r="L2303" i="1" a="1"/>
  <c r="L2304" i="1" a="1"/>
  <c r="L2305" i="1" a="1"/>
  <c r="L2306" i="1" a="1"/>
  <c r="L2307" i="1" a="1"/>
  <c r="L2308" i="1" a="1"/>
  <c r="L2309" i="1" a="1"/>
  <c r="L2310" i="1" a="1"/>
  <c r="L2311" i="1" a="1"/>
  <c r="L2312" i="1" a="1"/>
  <c r="L2313" i="1" a="1"/>
  <c r="L2314" i="1" a="1"/>
  <c r="L2315" i="1" a="1"/>
  <c r="L2316" i="1" a="1"/>
  <c r="L2317" i="1" a="1"/>
  <c r="L2318" i="1" a="1"/>
  <c r="L2319" i="1" a="1"/>
  <c r="L2320" i="1" a="1"/>
  <c r="L2321" i="1" a="1"/>
  <c r="L2322" i="1" a="1"/>
  <c r="L2323" i="1" a="1"/>
  <c r="L2324" i="1" a="1"/>
  <c r="L2325" i="1" a="1"/>
  <c r="L2326" i="1" a="1"/>
  <c r="L2327" i="1" a="1"/>
  <c r="L2328" i="1" a="1"/>
  <c r="L2329" i="1" a="1"/>
  <c r="L2330" i="1" a="1"/>
  <c r="L2331" i="1" a="1"/>
  <c r="L2332" i="1" a="1"/>
  <c r="L2333" i="1" a="1"/>
  <c r="L2334" i="1" a="1"/>
  <c r="L2335" i="1" a="1"/>
  <c r="L2336" i="1" a="1"/>
  <c r="L2337" i="1" a="1"/>
  <c r="L2338" i="1" a="1"/>
  <c r="L2339" i="1" a="1"/>
  <c r="L2340" i="1" a="1"/>
  <c r="L2341" i="1" a="1"/>
  <c r="L2342" i="1" a="1"/>
  <c r="L2343" i="1" a="1"/>
  <c r="L2344" i="1" a="1"/>
  <c r="L2345" i="1" a="1"/>
  <c r="L2346" i="1" a="1"/>
  <c r="L2347" i="1" a="1"/>
  <c r="L2348" i="1" a="1"/>
  <c r="L2349" i="1" a="1"/>
  <c r="L2350" i="1" a="1"/>
  <c r="L2351" i="1" a="1"/>
  <c r="L2352" i="1" a="1"/>
  <c r="L2353" i="1" a="1"/>
  <c r="L2354" i="1" a="1"/>
  <c r="L2355" i="1" a="1"/>
  <c r="L2356" i="1" a="1"/>
  <c r="L2357" i="1" a="1"/>
  <c r="L2358" i="1" a="1"/>
  <c r="L2359" i="1" a="1"/>
  <c r="L2360" i="1" a="1"/>
  <c r="L2361" i="1" a="1"/>
  <c r="L2362" i="1" a="1"/>
  <c r="L2363" i="1" a="1"/>
  <c r="L2364" i="1" a="1"/>
  <c r="L2365" i="1" a="1"/>
  <c r="L2366" i="1" a="1"/>
  <c r="L2367" i="1" a="1"/>
  <c r="L2368" i="1" a="1"/>
  <c r="L2369" i="1" a="1"/>
  <c r="L2370" i="1" a="1"/>
  <c r="L2371" i="1" a="1"/>
  <c r="L2372" i="1" a="1"/>
  <c r="L2373" i="1" a="1"/>
  <c r="L2374" i="1" a="1"/>
  <c r="L2375" i="1" a="1"/>
  <c r="L2376" i="1" a="1"/>
  <c r="L2377" i="1" a="1"/>
  <c r="L2378" i="1" a="1"/>
  <c r="L2379" i="1" a="1"/>
  <c r="L2380" i="1" a="1"/>
  <c r="L2381" i="1" a="1"/>
  <c r="L2382" i="1" a="1"/>
  <c r="L2383" i="1" a="1"/>
  <c r="L2384" i="1" a="1"/>
  <c r="L2385" i="1" a="1"/>
  <c r="L2386" i="1" a="1"/>
  <c r="L2387" i="1" a="1"/>
  <c r="L2388" i="1" a="1"/>
  <c r="L2389" i="1" a="1"/>
  <c r="L2390" i="1" a="1"/>
  <c r="L2391" i="1" a="1"/>
  <c r="L2392" i="1" a="1"/>
  <c r="L2393" i="1" a="1"/>
  <c r="L2394" i="1" a="1"/>
  <c r="L2395" i="1" a="1"/>
  <c r="L2396" i="1" a="1"/>
  <c r="L2397" i="1" a="1"/>
  <c r="L2398" i="1" a="1"/>
  <c r="L2399" i="1" a="1"/>
  <c r="L2400" i="1" a="1"/>
  <c r="L2401" i="1" a="1"/>
  <c r="L2402" i="1" a="1"/>
  <c r="L2403" i="1" a="1"/>
  <c r="L2404" i="1" a="1"/>
  <c r="L2405" i="1" a="1"/>
  <c r="L2406" i="1" a="1"/>
  <c r="L2407" i="1" a="1"/>
  <c r="L2408" i="1" a="1"/>
  <c r="L2409" i="1" a="1"/>
  <c r="L2410" i="1" a="1"/>
  <c r="L2411" i="1" a="1"/>
  <c r="L2412" i="1" a="1"/>
  <c r="L2413" i="1" a="1"/>
  <c r="L2414" i="1" a="1"/>
  <c r="L2415" i="1" a="1"/>
  <c r="L2416" i="1" a="1"/>
  <c r="L2417" i="1" a="1"/>
  <c r="L2418" i="1" a="1"/>
  <c r="L2419" i="1" a="1"/>
  <c r="L2420" i="1" a="1"/>
  <c r="L2421" i="1" a="1"/>
  <c r="L2422" i="1" a="1"/>
  <c r="L2423" i="1" a="1"/>
  <c r="L2424" i="1" a="1"/>
  <c r="L2425" i="1" a="1"/>
  <c r="L2426" i="1" a="1"/>
  <c r="L2427" i="1" a="1"/>
  <c r="L2428" i="1" a="1"/>
  <c r="L2429" i="1" a="1"/>
  <c r="L2430" i="1" a="1"/>
  <c r="L2431" i="1" a="1"/>
  <c r="L2432" i="1" a="1"/>
  <c r="L2433" i="1" a="1"/>
  <c r="L2434" i="1" a="1"/>
  <c r="L2435" i="1" a="1"/>
  <c r="L2436" i="1" a="1"/>
  <c r="L2437" i="1" a="1"/>
  <c r="L2438" i="1" a="1"/>
  <c r="L2439" i="1" a="1"/>
  <c r="L2440" i="1" a="1"/>
  <c r="L2441" i="1" a="1"/>
  <c r="L2442" i="1" a="1"/>
  <c r="L2443" i="1" a="1"/>
  <c r="L2444" i="1" a="1"/>
  <c r="L2445" i="1" a="1"/>
  <c r="L2446" i="1" a="1"/>
  <c r="L2447" i="1" a="1"/>
  <c r="L2448" i="1" a="1"/>
  <c r="L2449" i="1" a="1"/>
  <c r="L2450" i="1" a="1"/>
  <c r="L2451" i="1" a="1"/>
  <c r="L2452" i="1" a="1"/>
  <c r="L2453" i="1" a="1"/>
  <c r="L2454" i="1" a="1"/>
  <c r="L2455" i="1" a="1"/>
  <c r="L2456" i="1" a="1"/>
  <c r="L2457" i="1" a="1"/>
  <c r="L2458" i="1" a="1"/>
  <c r="L2459" i="1" a="1"/>
  <c r="L2460" i="1" a="1"/>
  <c r="L2461" i="1" a="1"/>
  <c r="L2462" i="1" a="1"/>
  <c r="L2463" i="1" a="1"/>
  <c r="L2464" i="1" a="1"/>
  <c r="L2465" i="1" a="1"/>
  <c r="L2466" i="1" a="1"/>
  <c r="L2467" i="1" a="1"/>
  <c r="L2468" i="1" a="1"/>
  <c r="L2469" i="1" a="1"/>
  <c r="L2470" i="1" a="1"/>
  <c r="L2471" i="1" a="1"/>
  <c r="L2472" i="1" a="1"/>
  <c r="L2473" i="1" a="1"/>
  <c r="L2474" i="1" a="1"/>
  <c r="L2475" i="1" a="1"/>
  <c r="L2476" i="1" a="1"/>
  <c r="L2477" i="1" a="1"/>
  <c r="L2478" i="1" a="1"/>
  <c r="L2479" i="1" a="1"/>
  <c r="L2480" i="1" a="1"/>
  <c r="L2481" i="1" a="1"/>
  <c r="L2482" i="1" a="1"/>
  <c r="L2483" i="1" a="1"/>
  <c r="L2484" i="1" a="1"/>
  <c r="L2485" i="1" a="1"/>
  <c r="L2486" i="1" a="1"/>
  <c r="L2487" i="1" a="1"/>
  <c r="L2488" i="1" a="1"/>
  <c r="L2489" i="1" a="1"/>
  <c r="L2490" i="1" a="1"/>
  <c r="L2491" i="1" a="1"/>
  <c r="L2492" i="1" a="1"/>
  <c r="L2493" i="1" a="1"/>
  <c r="L2494" i="1" a="1"/>
  <c r="L2495" i="1" a="1"/>
  <c r="L2496" i="1" a="1"/>
  <c r="L2497" i="1" a="1"/>
  <c r="L2498" i="1" a="1"/>
  <c r="L2499" i="1" a="1"/>
  <c r="L2500" i="1" a="1"/>
  <c r="L2501" i="1" a="1"/>
  <c r="L2502" i="1" a="1"/>
  <c r="L2503" i="1" a="1"/>
  <c r="L2504" i="1" a="1"/>
  <c r="L2505" i="1" a="1"/>
  <c r="L2506" i="1" a="1"/>
  <c r="L2507" i="1" a="1"/>
  <c r="L2508" i="1" a="1"/>
  <c r="L2509" i="1" a="1"/>
  <c r="L2510" i="1" a="1"/>
  <c r="L2511" i="1" a="1"/>
  <c r="L2512" i="1" a="1"/>
  <c r="L2513" i="1" a="1"/>
  <c r="L2514" i="1" a="1"/>
  <c r="L2515" i="1" a="1"/>
  <c r="L2516" i="1" a="1"/>
  <c r="L2517" i="1" a="1"/>
  <c r="L2518" i="1" a="1"/>
  <c r="L2519" i="1" a="1"/>
  <c r="L2520" i="1" a="1"/>
  <c r="L2521" i="1" a="1"/>
  <c r="L2522" i="1" a="1"/>
  <c r="L2523" i="1" a="1"/>
  <c r="L2524" i="1" a="1"/>
  <c r="L2525" i="1" a="1"/>
  <c r="L2526" i="1" a="1"/>
  <c r="L2527" i="1" a="1"/>
  <c r="L2528" i="1" a="1"/>
  <c r="L2529" i="1" a="1"/>
  <c r="L2530" i="1" a="1"/>
  <c r="L2531" i="1" a="1"/>
  <c r="L2532" i="1" a="1"/>
  <c r="L2533" i="1" a="1"/>
  <c r="L2534" i="1" a="1"/>
  <c r="L2535" i="1" a="1"/>
  <c r="L2536" i="1" a="1"/>
  <c r="L2537" i="1" a="1"/>
  <c r="L2538" i="1" a="1"/>
  <c r="L2539" i="1" a="1"/>
  <c r="L2540" i="1" a="1"/>
  <c r="L2541" i="1" a="1"/>
  <c r="L2542" i="1" a="1"/>
  <c r="L2543" i="1" a="1"/>
  <c r="L2544" i="1" a="1"/>
  <c r="L2545" i="1" a="1"/>
  <c r="L2546" i="1" a="1"/>
  <c r="L2547" i="1" a="1"/>
  <c r="L2548" i="1" a="1"/>
  <c r="L2549" i="1" a="1"/>
  <c r="L2550" i="1" a="1"/>
  <c r="L2551" i="1" a="1"/>
  <c r="L2552" i="1" a="1"/>
  <c r="L2553" i="1" a="1"/>
  <c r="L2554" i="1" a="1"/>
  <c r="L2555" i="1" a="1"/>
  <c r="L2556" i="1" a="1"/>
  <c r="L2557" i="1" a="1"/>
  <c r="L2558" i="1" a="1"/>
  <c r="L2559" i="1" a="1"/>
  <c r="L2560" i="1" a="1"/>
  <c r="L2561" i="1" a="1"/>
  <c r="L2562" i="1" a="1"/>
  <c r="L2563" i="1" a="1"/>
  <c r="L2564" i="1" a="1"/>
  <c r="L2565" i="1" a="1"/>
  <c r="L2566" i="1" a="1"/>
  <c r="L2567" i="1" a="1"/>
  <c r="L2568" i="1" a="1"/>
  <c r="L2569" i="1" a="1"/>
  <c r="L2570" i="1" a="1"/>
  <c r="L2571" i="1" a="1"/>
  <c r="L2572" i="1" a="1"/>
  <c r="L2573" i="1" a="1"/>
  <c r="L2574" i="1" a="1"/>
  <c r="L2575" i="1" a="1"/>
  <c r="L2576" i="1" a="1"/>
  <c r="L2577" i="1" a="1"/>
  <c r="L2578" i="1" a="1"/>
  <c r="L2579" i="1" a="1"/>
  <c r="L2580" i="1" a="1"/>
  <c r="L2581" i="1" a="1"/>
  <c r="L2582" i="1" a="1"/>
  <c r="L2583" i="1" a="1"/>
  <c r="L2584" i="1" a="1"/>
  <c r="L2585" i="1" a="1"/>
  <c r="L2586" i="1" a="1"/>
  <c r="L2587" i="1" a="1"/>
  <c r="L2588" i="1" a="1"/>
  <c r="L2589" i="1" a="1"/>
  <c r="L2590" i="1" a="1"/>
  <c r="L2591" i="1" a="1"/>
  <c r="L2592" i="1" a="1"/>
  <c r="L2593" i="1" a="1"/>
  <c r="L2594" i="1" a="1"/>
  <c r="L2595" i="1" a="1"/>
  <c r="L2596" i="1" a="1"/>
  <c r="L2597" i="1" a="1"/>
  <c r="L2598" i="1" a="1"/>
  <c r="L2599" i="1" a="1"/>
  <c r="L2600" i="1" a="1"/>
  <c r="L2601" i="1" a="1"/>
  <c r="L2602" i="1" a="1"/>
  <c r="L2603" i="1" a="1"/>
  <c r="L2604" i="1" a="1"/>
  <c r="L2605" i="1" a="1"/>
  <c r="L2606" i="1" a="1"/>
  <c r="L2607" i="1" a="1"/>
  <c r="L2608" i="1" a="1"/>
  <c r="L2609" i="1" a="1"/>
  <c r="L2610" i="1" a="1"/>
  <c r="L2611" i="1" a="1"/>
  <c r="L2612" i="1" a="1"/>
  <c r="L2613" i="1" a="1"/>
  <c r="L2614" i="1" a="1"/>
  <c r="L2615" i="1" a="1"/>
  <c r="L2616" i="1" a="1"/>
  <c r="L2617" i="1" a="1"/>
  <c r="L2618" i="1" a="1"/>
  <c r="L2619" i="1" a="1"/>
  <c r="L2620" i="1" a="1"/>
  <c r="L2621" i="1" a="1"/>
  <c r="L2622" i="1" a="1"/>
  <c r="L2623" i="1" a="1"/>
  <c r="L2624" i="1" a="1"/>
  <c r="L2625" i="1" a="1"/>
  <c r="L2626" i="1" a="1"/>
  <c r="L2627" i="1" a="1"/>
  <c r="L2628" i="1" a="1"/>
  <c r="L2629" i="1" a="1"/>
  <c r="L2630" i="1" a="1"/>
  <c r="L2631" i="1" a="1"/>
  <c r="L2632" i="1" a="1"/>
  <c r="L2633" i="1" a="1"/>
  <c r="L2634" i="1" a="1"/>
  <c r="L2635" i="1" a="1"/>
  <c r="L2636" i="1" a="1"/>
  <c r="L2637" i="1" a="1"/>
  <c r="L2638" i="1" a="1"/>
  <c r="L2639" i="1" a="1"/>
  <c r="L2640" i="1" a="1"/>
  <c r="L2641" i="1" a="1"/>
  <c r="L2642" i="1" a="1"/>
  <c r="L2643" i="1" a="1"/>
  <c r="L2644" i="1" a="1"/>
  <c r="L2645" i="1" a="1"/>
  <c r="L2646" i="1" a="1"/>
  <c r="L2647" i="1" a="1"/>
  <c r="L2648" i="1" a="1"/>
  <c r="L2649" i="1" a="1"/>
  <c r="L2650" i="1" a="1"/>
  <c r="L2651" i="1" a="1"/>
  <c r="L2652" i="1" a="1"/>
  <c r="L2653" i="1" a="1"/>
  <c r="L2654" i="1" a="1"/>
  <c r="L2655" i="1" a="1"/>
  <c r="L2656" i="1" a="1"/>
  <c r="L2657" i="1" a="1"/>
  <c r="L2658" i="1" a="1"/>
  <c r="L2659" i="1" a="1"/>
  <c r="L2660" i="1" a="1"/>
  <c r="L2661" i="1" a="1"/>
  <c r="L2662" i="1" a="1"/>
  <c r="L2663" i="1" a="1"/>
  <c r="L2664" i="1" a="1"/>
  <c r="L2665" i="1" a="1"/>
  <c r="L2666" i="1" a="1"/>
  <c r="L2667" i="1" a="1"/>
  <c r="L2668" i="1" a="1"/>
  <c r="L2669" i="1" a="1"/>
  <c r="L2670" i="1" a="1"/>
  <c r="L2671" i="1" a="1"/>
  <c r="L2672" i="1" a="1"/>
  <c r="L2673" i="1" a="1"/>
  <c r="L2674" i="1" a="1"/>
  <c r="L2675" i="1" a="1"/>
  <c r="L2676" i="1" a="1"/>
  <c r="L2677" i="1" a="1"/>
  <c r="L2678" i="1" a="1"/>
  <c r="L2679" i="1" a="1"/>
  <c r="L2680" i="1" a="1"/>
  <c r="L2681" i="1" a="1"/>
  <c r="L2682" i="1" a="1"/>
  <c r="L2683" i="1" a="1"/>
  <c r="L2684" i="1" a="1"/>
  <c r="L2685" i="1" a="1"/>
  <c r="L2686" i="1" a="1"/>
  <c r="L2687" i="1" a="1"/>
  <c r="L2688" i="1" a="1"/>
  <c r="L2689" i="1" a="1"/>
  <c r="L2690" i="1" a="1"/>
  <c r="L2691" i="1" a="1"/>
  <c r="L2692" i="1" a="1"/>
  <c r="L2693" i="1" a="1"/>
  <c r="L2694" i="1" a="1"/>
  <c r="L2695" i="1" a="1"/>
  <c r="L2696" i="1" a="1"/>
  <c r="L2697" i="1" a="1"/>
  <c r="L2698" i="1" a="1"/>
  <c r="L2699" i="1" a="1"/>
  <c r="L2700" i="1" a="1"/>
  <c r="L2701" i="1" a="1"/>
  <c r="L2702" i="1" a="1"/>
  <c r="L2703" i="1" a="1"/>
  <c r="L2704" i="1" a="1"/>
  <c r="L2705" i="1" a="1"/>
  <c r="L2706" i="1" a="1"/>
  <c r="L2707" i="1" a="1"/>
  <c r="L2708" i="1" a="1"/>
  <c r="L2709" i="1" a="1"/>
  <c r="L2710" i="1" a="1"/>
  <c r="L2711" i="1" a="1"/>
  <c r="L2712" i="1" a="1"/>
  <c r="L2713" i="1" a="1"/>
  <c r="L2714" i="1" a="1"/>
  <c r="L2715" i="1" a="1"/>
  <c r="L2716" i="1" a="1"/>
  <c r="L2717" i="1" a="1"/>
  <c r="L2718" i="1" a="1"/>
  <c r="L2719" i="1" a="1"/>
  <c r="L2720" i="1" a="1"/>
  <c r="L2721" i="1" a="1"/>
  <c r="L2722" i="1" a="1"/>
  <c r="L2723" i="1" a="1"/>
  <c r="L2724" i="1" a="1"/>
  <c r="L2725" i="1" a="1"/>
  <c r="L2726" i="1" a="1"/>
  <c r="L2727" i="1" a="1"/>
  <c r="L2728" i="1" a="1"/>
  <c r="L2729" i="1" a="1"/>
  <c r="L2730" i="1" a="1"/>
  <c r="L2731" i="1" a="1"/>
  <c r="L2732" i="1" a="1"/>
  <c r="L2733" i="1" a="1"/>
  <c r="L2734" i="1" a="1"/>
  <c r="L2735" i="1" a="1"/>
  <c r="L2736" i="1" a="1"/>
  <c r="L2737" i="1" a="1"/>
  <c r="L2738" i="1" a="1"/>
  <c r="L2739" i="1" a="1"/>
  <c r="L2740" i="1" a="1"/>
  <c r="L2741" i="1" a="1"/>
  <c r="L2742" i="1" a="1"/>
  <c r="L2743" i="1" a="1"/>
  <c r="L2744" i="1" a="1"/>
  <c r="L2745" i="1" a="1"/>
  <c r="L2746" i="1" a="1"/>
  <c r="L2747" i="1" a="1"/>
  <c r="L2748" i="1" a="1"/>
  <c r="L2749" i="1" a="1"/>
  <c r="L2750" i="1" a="1"/>
  <c r="L2751" i="1" a="1"/>
  <c r="L2752" i="1" a="1"/>
  <c r="L2753" i="1" a="1"/>
  <c r="L2754" i="1" a="1"/>
  <c r="L2755" i="1" a="1"/>
  <c r="L2756" i="1" a="1"/>
  <c r="L2757" i="1" a="1"/>
  <c r="L2758" i="1" a="1"/>
  <c r="L2759" i="1" a="1"/>
  <c r="L2760" i="1" a="1"/>
  <c r="L2761" i="1" a="1"/>
  <c r="L2762" i="1" a="1"/>
  <c r="L2763" i="1" a="1"/>
  <c r="L2764" i="1" a="1"/>
  <c r="L2765" i="1" a="1"/>
  <c r="L2766" i="1" a="1"/>
  <c r="L2767" i="1" a="1"/>
  <c r="L2768" i="1" a="1"/>
  <c r="L2769" i="1" a="1"/>
  <c r="L2770" i="1" a="1"/>
  <c r="L2771" i="1" a="1"/>
  <c r="L2772" i="1" a="1"/>
  <c r="L2773" i="1" a="1"/>
  <c r="L2774" i="1" a="1"/>
  <c r="L2775" i="1" a="1"/>
  <c r="L2776" i="1" a="1"/>
  <c r="L2777" i="1" a="1"/>
  <c r="L2778" i="1" a="1"/>
  <c r="L2779" i="1" a="1"/>
  <c r="L2780" i="1" a="1"/>
  <c r="L2781" i="1" a="1"/>
  <c r="L2782" i="1" a="1"/>
  <c r="L2783" i="1" a="1"/>
  <c r="L2784" i="1" a="1"/>
  <c r="L2785" i="1" a="1"/>
  <c r="L2786" i="1" a="1"/>
  <c r="L2787" i="1" a="1"/>
  <c r="L2788" i="1" a="1"/>
  <c r="L2789" i="1" a="1"/>
  <c r="L2790" i="1" a="1"/>
  <c r="L2791" i="1" a="1"/>
  <c r="L2792" i="1" a="1"/>
  <c r="L2793" i="1" a="1"/>
  <c r="L2794" i="1" a="1"/>
  <c r="L2795" i="1" a="1"/>
  <c r="L2796" i="1" a="1"/>
  <c r="L2797" i="1" a="1"/>
  <c r="L2798" i="1" a="1"/>
  <c r="L2799" i="1" a="1"/>
  <c r="L2800" i="1" a="1"/>
  <c r="L2801" i="1" a="1"/>
  <c r="L2802" i="1" a="1"/>
  <c r="L2803" i="1" a="1"/>
  <c r="L2804" i="1" a="1"/>
  <c r="L2805" i="1" a="1"/>
  <c r="L2806" i="1" a="1"/>
  <c r="L2807" i="1" a="1"/>
  <c r="L2808" i="1" a="1"/>
  <c r="L2809" i="1" a="1"/>
  <c r="L2810" i="1" a="1"/>
  <c r="L2811" i="1" a="1"/>
  <c r="L2812" i="1" a="1"/>
  <c r="L2813" i="1" a="1"/>
  <c r="L2814" i="1" a="1"/>
  <c r="L2815" i="1" a="1"/>
  <c r="L2816" i="1" a="1"/>
  <c r="L2817" i="1" a="1"/>
  <c r="L2818" i="1" a="1"/>
  <c r="L2819" i="1" a="1"/>
  <c r="L2820" i="1" a="1"/>
  <c r="L2821" i="1" a="1"/>
  <c r="L2822" i="1" a="1"/>
  <c r="L2823" i="1" a="1"/>
  <c r="L2824" i="1" a="1"/>
  <c r="L2825" i="1" a="1"/>
  <c r="L2826" i="1" a="1"/>
  <c r="L2827" i="1" a="1"/>
  <c r="L2828" i="1" a="1"/>
  <c r="L2829" i="1" a="1"/>
  <c r="L2830" i="1" a="1"/>
  <c r="L2831" i="1" a="1"/>
  <c r="L2832" i="1" a="1"/>
  <c r="L2833" i="1" a="1"/>
  <c r="L2834" i="1" a="1"/>
  <c r="L2835" i="1" a="1"/>
  <c r="L2836" i="1" a="1"/>
  <c r="L2837" i="1" a="1"/>
  <c r="L2838" i="1" a="1"/>
  <c r="L2839" i="1" a="1"/>
  <c r="L2840" i="1" a="1"/>
  <c r="L2841" i="1" a="1"/>
  <c r="L2842" i="1" a="1"/>
  <c r="L2843" i="1" a="1"/>
  <c r="L2844" i="1" a="1"/>
  <c r="L2845" i="1" a="1"/>
  <c r="L2846" i="1" a="1"/>
  <c r="L2847" i="1" a="1"/>
  <c r="L2848" i="1" a="1"/>
  <c r="L2849" i="1" a="1"/>
  <c r="L2850" i="1" a="1"/>
  <c r="L2851" i="1" a="1"/>
  <c r="L2852" i="1" a="1"/>
  <c r="L2853" i="1" a="1"/>
  <c r="L2854" i="1" a="1"/>
  <c r="L2855" i="1" a="1"/>
  <c r="L2856" i="1" a="1"/>
  <c r="L2857" i="1" a="1"/>
  <c r="L2858" i="1" a="1"/>
  <c r="L2859" i="1" a="1"/>
  <c r="L2860" i="1" a="1"/>
  <c r="L2861" i="1" a="1"/>
  <c r="L2862" i="1" a="1"/>
  <c r="L2863" i="1" a="1"/>
  <c r="L2864" i="1" a="1"/>
  <c r="L2865" i="1" a="1"/>
  <c r="L2866" i="1" a="1"/>
  <c r="L2867" i="1" a="1"/>
  <c r="L2868" i="1" a="1"/>
  <c r="L2869" i="1" a="1"/>
  <c r="L2870" i="1" a="1"/>
  <c r="L2871" i="1" a="1"/>
  <c r="L2872" i="1" a="1"/>
  <c r="L2873" i="1" a="1"/>
  <c r="L2874" i="1" a="1"/>
  <c r="L2875" i="1" a="1"/>
  <c r="L2876" i="1" a="1"/>
  <c r="L2877" i="1" a="1"/>
  <c r="L2878" i="1" a="1"/>
  <c r="L2879" i="1" a="1"/>
  <c r="L2880" i="1" a="1"/>
  <c r="L2881" i="1" a="1"/>
  <c r="L2882" i="1" a="1"/>
  <c r="L2883" i="1" a="1"/>
  <c r="L2884" i="1" a="1"/>
  <c r="L2885" i="1" a="1"/>
  <c r="L2886" i="1" a="1"/>
  <c r="L2887" i="1" a="1"/>
  <c r="L2888" i="1" a="1"/>
  <c r="L2889" i="1" a="1"/>
  <c r="L2890" i="1" a="1"/>
  <c r="L2891" i="1" a="1"/>
  <c r="L2892" i="1" a="1"/>
  <c r="L2893" i="1" a="1"/>
  <c r="L2894" i="1" a="1"/>
  <c r="L2895" i="1" a="1"/>
  <c r="L2896" i="1" a="1"/>
  <c r="L2897" i="1" a="1"/>
  <c r="L2898" i="1" a="1"/>
  <c r="L2899" i="1" a="1"/>
  <c r="L2900" i="1" a="1"/>
  <c r="L2901" i="1" a="1"/>
  <c r="L2902" i="1" a="1"/>
  <c r="L2903" i="1" a="1"/>
  <c r="L2904" i="1" a="1"/>
  <c r="L2905" i="1" a="1"/>
  <c r="L2906" i="1" a="1"/>
  <c r="L2907" i="1" a="1"/>
  <c r="L2908" i="1" a="1"/>
  <c r="L2909" i="1" a="1"/>
  <c r="L2910" i="1" a="1"/>
  <c r="L2911" i="1" a="1"/>
  <c r="L2912" i="1" a="1"/>
  <c r="L2913" i="1" a="1"/>
  <c r="L2914" i="1" a="1"/>
  <c r="L2915" i="1" a="1"/>
  <c r="L2916" i="1" a="1"/>
  <c r="L2917" i="1" a="1"/>
  <c r="L2918" i="1" a="1"/>
  <c r="L2919" i="1" a="1"/>
  <c r="L2920" i="1" a="1"/>
  <c r="L2921" i="1" a="1"/>
  <c r="L2922" i="1" a="1"/>
  <c r="L2923" i="1" a="1"/>
  <c r="L2924" i="1" a="1"/>
  <c r="L2925" i="1" a="1"/>
  <c r="L2926" i="1" a="1"/>
  <c r="L2927" i="1" a="1"/>
  <c r="L2928" i="1" a="1"/>
  <c r="L2929" i="1" a="1"/>
  <c r="L2930" i="1" a="1"/>
  <c r="L2931" i="1" a="1"/>
  <c r="L2932" i="1" a="1"/>
  <c r="L2933" i="1" a="1"/>
  <c r="L2934" i="1" a="1"/>
  <c r="L2935" i="1" a="1"/>
  <c r="L2936" i="1" a="1"/>
  <c r="L2937" i="1" a="1"/>
  <c r="L2938" i="1" a="1"/>
  <c r="L2939" i="1" a="1"/>
  <c r="L2940" i="1" a="1"/>
  <c r="L2941" i="1" a="1"/>
  <c r="L2942" i="1" a="1"/>
  <c r="L2943" i="1" a="1"/>
  <c r="L2944" i="1" a="1"/>
  <c r="L2945" i="1" a="1"/>
  <c r="L2946" i="1" a="1"/>
  <c r="L2947" i="1" a="1"/>
  <c r="L2948" i="1" a="1"/>
  <c r="L2949" i="1" a="1"/>
  <c r="L2950" i="1" a="1"/>
  <c r="L2951" i="1" a="1"/>
  <c r="L2952" i="1" a="1"/>
  <c r="L2953" i="1" a="1"/>
  <c r="L2954" i="1" a="1"/>
  <c r="L2955" i="1" a="1"/>
  <c r="L2956" i="1" a="1"/>
  <c r="L2957" i="1" a="1"/>
  <c r="L2958" i="1" a="1"/>
  <c r="L2959" i="1" a="1"/>
  <c r="L2960" i="1" a="1"/>
  <c r="L2961" i="1" a="1"/>
  <c r="L2962" i="1" a="1"/>
  <c r="L2963" i="1" a="1"/>
  <c r="L2964" i="1" a="1"/>
  <c r="L2965" i="1" a="1"/>
  <c r="L2966" i="1" a="1"/>
  <c r="L2967" i="1" a="1"/>
  <c r="L2968" i="1" a="1"/>
  <c r="L2969" i="1" a="1"/>
  <c r="L2970" i="1" a="1"/>
  <c r="L2971" i="1" a="1"/>
  <c r="L2972" i="1" a="1"/>
  <c r="L2973" i="1" a="1"/>
  <c r="L2974" i="1" a="1"/>
  <c r="L2975" i="1" a="1"/>
  <c r="L2976" i="1" a="1"/>
  <c r="L2977" i="1" a="1"/>
  <c r="L2978" i="1" a="1"/>
  <c r="L2979" i="1" a="1"/>
  <c r="L2980" i="1" a="1"/>
  <c r="L2981" i="1" a="1"/>
  <c r="L2982" i="1" a="1"/>
  <c r="L2983" i="1" a="1"/>
  <c r="L2984" i="1" a="1"/>
  <c r="L2985" i="1" a="1"/>
  <c r="L2986" i="1" a="1"/>
  <c r="L2987" i="1" a="1"/>
  <c r="L2988" i="1" a="1"/>
  <c r="L2989" i="1" a="1"/>
  <c r="L2990" i="1" a="1"/>
  <c r="L2991" i="1" a="1"/>
  <c r="L2992" i="1" a="1"/>
  <c r="L2993" i="1" a="1"/>
  <c r="L2994" i="1" a="1"/>
  <c r="L2995" i="1" a="1"/>
  <c r="L2996" i="1" a="1"/>
  <c r="L2997" i="1" a="1"/>
  <c r="L2998" i="1" a="1"/>
  <c r="L2999" i="1" a="1"/>
  <c r="L3000" i="1" a="1"/>
  <c r="L3001"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<sst xmlns="http://schemas.openxmlformats.org/spreadsheetml/2006/main" count="24065" uniqueCount="3443">
  <si>
    <t>patient_id</t>
  </si>
  <si>
    <t>age</t>
  </si>
  <si>
    <t>gender</t>
  </si>
  <si>
    <t>department</t>
  </si>
  <si>
    <t>admission_type</t>
  </si>
  <si>
    <t>admission_date</t>
  </si>
  <si>
    <t>discharge_date</t>
  </si>
  <si>
    <t>length_of_stay_days</t>
  </si>
  <si>
    <t>treatment_cost_cad</t>
  </si>
  <si>
    <t>readmitted_within_30_days</t>
  </si>
  <si>
    <t>discharge_outcome</t>
  </si>
  <si>
    <t>PT00001</t>
  </si>
  <si>
    <t>Male</t>
  </si>
  <si>
    <t>General Medicine</t>
  </si>
  <si>
    <t>Elective</t>
  </si>
  <si>
    <t>2025-02-05</t>
  </si>
  <si>
    <t>2025-02-10</t>
  </si>
  <si>
    <t>No</t>
  </si>
  <si>
    <t>Discharged</t>
  </si>
  <si>
    <t>PT00002</t>
  </si>
  <si>
    <t>Female</t>
  </si>
  <si>
    <t>Urgent</t>
  </si>
  <si>
    <t>2025-04-29</t>
  </si>
  <si>
    <t>2025-05-02</t>
  </si>
  <si>
    <t>PT00003</t>
  </si>
  <si>
    <t>2025-06-03</t>
  </si>
  <si>
    <t>2025-06-07</t>
  </si>
  <si>
    <t>PT00004</t>
  </si>
  <si>
    <t>Emergency</t>
  </si>
  <si>
    <t>2025-09-27</t>
  </si>
  <si>
    <t>2025-10-02</t>
  </si>
  <si>
    <t>PT00005</t>
  </si>
  <si>
    <t>Cardiology</t>
  </si>
  <si>
    <t>2025-07-17</t>
  </si>
  <si>
    <t>2025-07-19</t>
  </si>
  <si>
    <t>PT00006</t>
  </si>
  <si>
    <t>2025-10-04</t>
  </si>
  <si>
    <t>2025-10-08</t>
  </si>
  <si>
    <t>PT00007</t>
  </si>
  <si>
    <t>2025-06-21</t>
  </si>
  <si>
    <t>2025-06-24</t>
  </si>
  <si>
    <t>PT00008</t>
  </si>
  <si>
    <t>2025-11-08</t>
  </si>
  <si>
    <t>2025-11-12</t>
  </si>
  <si>
    <t>Transferred</t>
  </si>
  <si>
    <t>PT00009</t>
  </si>
  <si>
    <t>Oncology</t>
  </si>
  <si>
    <t>2025-03-25</t>
  </si>
  <si>
    <t>2025-04-03</t>
  </si>
  <si>
    <t>Yes</t>
  </si>
  <si>
    <t>PT00010</t>
  </si>
  <si>
    <t>Neurology</t>
  </si>
  <si>
    <t>2025-01-16</t>
  </si>
  <si>
    <t>2025-01-25</t>
  </si>
  <si>
    <t>PT00011</t>
  </si>
  <si>
    <t>Orthopedics</t>
  </si>
  <si>
    <t>2025-04-07</t>
  </si>
  <si>
    <t>PT00012</t>
  </si>
  <si>
    <t>2025-08-26</t>
  </si>
  <si>
    <t>2025-08-31</t>
  </si>
  <si>
    <t>PT00013</t>
  </si>
  <si>
    <t>2025-11-05</t>
  </si>
  <si>
    <t>2025-11-07</t>
  </si>
  <si>
    <t>PT00014</t>
  </si>
  <si>
    <t>2025-12-20</t>
  </si>
  <si>
    <t>2025-12-27</t>
  </si>
  <si>
    <t>PT00015</t>
  </si>
  <si>
    <t>2025-12-09</t>
  </si>
  <si>
    <t>2025-12-16</t>
  </si>
  <si>
    <t>PT00016</t>
  </si>
  <si>
    <t>Other/Not recorded</t>
  </si>
  <si>
    <t>2025-10-19</t>
  </si>
  <si>
    <t>2025-10-20</t>
  </si>
  <si>
    <t>PT00017</t>
  </si>
  <si>
    <t>2025-03-13</t>
  </si>
  <si>
    <t>2025-03-17</t>
  </si>
  <si>
    <t>PT00018</t>
  </si>
  <si>
    <t>2025-01-08</t>
  </si>
  <si>
    <t>2025-01-14</t>
  </si>
  <si>
    <t>PT00019</t>
  </si>
  <si>
    <t>2025-12-28</t>
  </si>
  <si>
    <t>2026-01-03</t>
  </si>
  <si>
    <t>PT00020</t>
  </si>
  <si>
    <t>2025-12-25</t>
  </si>
  <si>
    <t>2026-01-01</t>
  </si>
  <si>
    <t>PT00021</t>
  </si>
  <si>
    <t>2025-05-26</t>
  </si>
  <si>
    <t>2025-06-04</t>
  </si>
  <si>
    <t>PT00022</t>
  </si>
  <si>
    <t>2025-02-16</t>
  </si>
  <si>
    <t>2025-02-24</t>
  </si>
  <si>
    <t>PT00023</t>
  </si>
  <si>
    <t>2025-05-05</t>
  </si>
  <si>
    <t>2025-05-13</t>
  </si>
  <si>
    <t>PT00024</t>
  </si>
  <si>
    <t>2025-07-03</t>
  </si>
  <si>
    <t>2025-07-06</t>
  </si>
  <si>
    <t>PT00025</t>
  </si>
  <si>
    <t>2025-02-27</t>
  </si>
  <si>
    <t>2025-03-04</t>
  </si>
  <si>
    <t>PT00026</t>
  </si>
  <si>
    <t>2025-11-03</t>
  </si>
  <si>
    <t>PT00027</t>
  </si>
  <si>
    <t>2025-11-21</t>
  </si>
  <si>
    <t>PT00028</t>
  </si>
  <si>
    <t>2025-08-17</t>
  </si>
  <si>
    <t>2025-08-23</t>
  </si>
  <si>
    <t>PT00029</t>
  </si>
  <si>
    <t>2025-06-08</t>
  </si>
  <si>
    <t>2025-06-14</t>
  </si>
  <si>
    <t>PT00030</t>
  </si>
  <si>
    <t>2025-08-28</t>
  </si>
  <si>
    <t>2025-09-06</t>
  </si>
  <si>
    <t>PT00031</t>
  </si>
  <si>
    <t>2025-12-15</t>
  </si>
  <si>
    <t>PT00032</t>
  </si>
  <si>
    <t>2025-10-11</t>
  </si>
  <si>
    <t>PT00033</t>
  </si>
  <si>
    <t>2025-01-29</t>
  </si>
  <si>
    <t>2025-02-04</t>
  </si>
  <si>
    <t>PT00034</t>
  </si>
  <si>
    <t>2025-11-01</t>
  </si>
  <si>
    <t>PT00035</t>
  </si>
  <si>
    <t>2025-09-03</t>
  </si>
  <si>
    <t>2025-09-10</t>
  </si>
  <si>
    <t>PT00036</t>
  </si>
  <si>
    <t>2025-09-09</t>
  </si>
  <si>
    <t>2025-09-17</t>
  </si>
  <si>
    <t>PT00037</t>
  </si>
  <si>
    <t>2025-09-22</t>
  </si>
  <si>
    <t>2025-09-25</t>
  </si>
  <si>
    <t>PT00038</t>
  </si>
  <si>
    <t>2025-08-11</t>
  </si>
  <si>
    <t>2025-08-20</t>
  </si>
  <si>
    <t>PT00039</t>
  </si>
  <si>
    <t>2025-04-28</t>
  </si>
  <si>
    <t>PT00040</t>
  </si>
  <si>
    <t>2025-01-30</t>
  </si>
  <si>
    <t>2025-02-01</t>
  </si>
  <si>
    <t>PT00041</t>
  </si>
  <si>
    <t>2025-03-31</t>
  </si>
  <si>
    <t>2025-04-04</t>
  </si>
  <si>
    <t>PT00042</t>
  </si>
  <si>
    <t>2025-07-09</t>
  </si>
  <si>
    <t>2025-07-11</t>
  </si>
  <si>
    <t>PT00043</t>
  </si>
  <si>
    <t>2025-03-22</t>
  </si>
  <si>
    <t>PT00044</t>
  </si>
  <si>
    <t>2025-01-19</t>
  </si>
  <si>
    <t>2025-01-26</t>
  </si>
  <si>
    <t>PT00045</t>
  </si>
  <si>
    <t>2025-09-01</t>
  </si>
  <si>
    <t>2025-09-04</t>
  </si>
  <si>
    <t>PT00046</t>
  </si>
  <si>
    <t>2025-10-28</t>
  </si>
  <si>
    <t>2025-11-02</t>
  </si>
  <si>
    <t>PT00047</t>
  </si>
  <si>
    <t>2025-01-12</t>
  </si>
  <si>
    <t>2025-01-18</t>
  </si>
  <si>
    <t>PT00048</t>
  </si>
  <si>
    <t>PT00049</t>
  </si>
  <si>
    <t>PT00050</t>
  </si>
  <si>
    <t>2025-04-09</t>
  </si>
  <si>
    <t>2025-04-18</t>
  </si>
  <si>
    <t>PT00051</t>
  </si>
  <si>
    <t>2025-12-30</t>
  </si>
  <si>
    <t>2025-12-31</t>
  </si>
  <si>
    <t>PT00052</t>
  </si>
  <si>
    <t>2025-12-07</t>
  </si>
  <si>
    <t>2025-12-13</t>
  </si>
  <si>
    <t>PT00053</t>
  </si>
  <si>
    <t>2025-09-07</t>
  </si>
  <si>
    <t>PT00054</t>
  </si>
  <si>
    <t>2025-04-12</t>
  </si>
  <si>
    <t>2025-04-19</t>
  </si>
  <si>
    <t>PT00055</t>
  </si>
  <si>
    <t>PT00056</t>
  </si>
  <si>
    <t>2025-08-27</t>
  </si>
  <si>
    <t>PT00057</t>
  </si>
  <si>
    <t>2025-07-30</t>
  </si>
  <si>
    <t>2025-08-06</t>
  </si>
  <si>
    <t>PT00058</t>
  </si>
  <si>
    <t>2025-05-10</t>
  </si>
  <si>
    <t>PT00059</t>
  </si>
  <si>
    <t>2025-01-21</t>
  </si>
  <si>
    <t>PT00060</t>
  </si>
  <si>
    <t>2025-05-30</t>
  </si>
  <si>
    <t>PT00061</t>
  </si>
  <si>
    <t>PT00062</t>
  </si>
  <si>
    <t>2025-03-30</t>
  </si>
  <si>
    <t>2025-04-05</t>
  </si>
  <si>
    <t>PT00063</t>
  </si>
  <si>
    <t>2025-07-29</t>
  </si>
  <si>
    <t>PT00064</t>
  </si>
  <si>
    <t>2025-01-24</t>
  </si>
  <si>
    <t>2025-01-27</t>
  </si>
  <si>
    <t>PT00065</t>
  </si>
  <si>
    <t>PT00066</t>
  </si>
  <si>
    <t>2025-10-06</t>
  </si>
  <si>
    <t>PT00067</t>
  </si>
  <si>
    <t>2025-01-01</t>
  </si>
  <si>
    <t>2025-01-06</t>
  </si>
  <si>
    <t>PT00068</t>
  </si>
  <si>
    <t>2025-03-21</t>
  </si>
  <si>
    <t>PT00069</t>
  </si>
  <si>
    <t>2025-09-13</t>
  </si>
  <si>
    <t>PT00070</t>
  </si>
  <si>
    <t>2025-05-21</t>
  </si>
  <si>
    <t>2025-05-29</t>
  </si>
  <si>
    <t>PT00071</t>
  </si>
  <si>
    <t>2025-01-20</t>
  </si>
  <si>
    <t>PT00072</t>
  </si>
  <si>
    <t>2025-07-18</t>
  </si>
  <si>
    <t>PT00073</t>
  </si>
  <si>
    <t>2025-02-14</t>
  </si>
  <si>
    <t>PT00074</t>
  </si>
  <si>
    <t>2025-08-05</t>
  </si>
  <si>
    <t>2025-08-13</t>
  </si>
  <si>
    <t>PT00075</t>
  </si>
  <si>
    <t>2025-12-18</t>
  </si>
  <si>
    <t>PT00076</t>
  </si>
  <si>
    <t>2025-05-23</t>
  </si>
  <si>
    <t>2025-05-27</t>
  </si>
  <si>
    <t>Other</t>
  </si>
  <si>
    <t>PT00077</t>
  </si>
  <si>
    <t>2025-07-02</t>
  </si>
  <si>
    <t>2025-07-07</t>
  </si>
  <si>
    <t>PT00078</t>
  </si>
  <si>
    <t>2025-06-11</t>
  </si>
  <si>
    <t>2025-06-15</t>
  </si>
  <si>
    <t>PT00079</t>
  </si>
  <si>
    <t>2025-04-14</t>
  </si>
  <si>
    <t>2025-04-23</t>
  </si>
  <si>
    <t>PT00080</t>
  </si>
  <si>
    <t>2025-11-19</t>
  </si>
  <si>
    <t>2025-11-24</t>
  </si>
  <si>
    <t>PT00081</t>
  </si>
  <si>
    <t>PT00082</t>
  </si>
  <si>
    <t>PT00083</t>
  </si>
  <si>
    <t>2025-07-14</t>
  </si>
  <si>
    <t>PT00084</t>
  </si>
  <si>
    <t>2025-12-10</t>
  </si>
  <si>
    <t>PT00085</t>
  </si>
  <si>
    <t>2025-06-19</t>
  </si>
  <si>
    <t>PT00086</t>
  </si>
  <si>
    <t>2025-01-31</t>
  </si>
  <si>
    <t>2025-02-09</t>
  </si>
  <si>
    <t>PT00087</t>
  </si>
  <si>
    <t>2025-06-30</t>
  </si>
  <si>
    <t>PT00088</t>
  </si>
  <si>
    <t>2025-02-20</t>
  </si>
  <si>
    <t>PT00089</t>
  </si>
  <si>
    <t>2025-03-01</t>
  </si>
  <si>
    <t>PT00090</t>
  </si>
  <si>
    <t>PT00091</t>
  </si>
  <si>
    <t>2025-06-06</t>
  </si>
  <si>
    <t>2025-06-13</t>
  </si>
  <si>
    <t>PT00092</t>
  </si>
  <si>
    <t>2025-04-20</t>
  </si>
  <si>
    <t>2025-04-24</t>
  </si>
  <si>
    <t>PT00093</t>
  </si>
  <si>
    <t>2025-09-02</t>
  </si>
  <si>
    <t>PT00094</t>
  </si>
  <si>
    <t>2025-08-16</t>
  </si>
  <si>
    <t>2025-08-18</t>
  </si>
  <si>
    <t>PT00095</t>
  </si>
  <si>
    <t>2025-06-17</t>
  </si>
  <si>
    <t>PT00096</t>
  </si>
  <si>
    <t>2025-03-29</t>
  </si>
  <si>
    <t>PT00097</t>
  </si>
  <si>
    <t>2025-09-29</t>
  </si>
  <si>
    <t>2025-10-01</t>
  </si>
  <si>
    <t>PT00098</t>
  </si>
  <si>
    <t>2025-05-04</t>
  </si>
  <si>
    <t>PT00099</t>
  </si>
  <si>
    <t>2025-05-12</t>
  </si>
  <si>
    <t>2025-05-19</t>
  </si>
  <si>
    <t>PT00100</t>
  </si>
  <si>
    <t>PT00101</t>
  </si>
  <si>
    <t>PT00102</t>
  </si>
  <si>
    <t>2025-05-08</t>
  </si>
  <si>
    <t>PT00103</t>
  </si>
  <si>
    <t>2025-03-19</t>
  </si>
  <si>
    <t>2025-03-23</t>
  </si>
  <si>
    <t>PT00104</t>
  </si>
  <si>
    <t>2025-06-10</t>
  </si>
  <si>
    <t>2025-06-12</t>
  </si>
  <si>
    <t>PT00105</t>
  </si>
  <si>
    <t>2025-09-05</t>
  </si>
  <si>
    <t>PT00106</t>
  </si>
  <si>
    <t>2026-01-04</t>
  </si>
  <si>
    <t>PT00107</t>
  </si>
  <si>
    <t>2025-07-27</t>
  </si>
  <si>
    <t>2025-08-02</t>
  </si>
  <si>
    <t>PT00108</t>
  </si>
  <si>
    <t>2025-06-22</t>
  </si>
  <si>
    <t>2025-06-27</t>
  </si>
  <si>
    <t>PT00109</t>
  </si>
  <si>
    <t>2025-04-25</t>
  </si>
  <si>
    <t>2025-05-03</t>
  </si>
  <si>
    <t>PT00110</t>
  </si>
  <si>
    <t>2025-06-25</t>
  </si>
  <si>
    <t>PT00111</t>
  </si>
  <si>
    <t>PT00112</t>
  </si>
  <si>
    <t>2025-10-24</t>
  </si>
  <si>
    <t>PT00113</t>
  </si>
  <si>
    <t>2025-07-23</t>
  </si>
  <si>
    <t>PT00114</t>
  </si>
  <si>
    <t>2025-04-26</t>
  </si>
  <si>
    <t>2025-04-30</t>
  </si>
  <si>
    <t>PT00115</t>
  </si>
  <si>
    <t>2025-02-13</t>
  </si>
  <si>
    <t>2025-02-18</t>
  </si>
  <si>
    <t>PT00116</t>
  </si>
  <si>
    <t>2025-11-13</t>
  </si>
  <si>
    <t>2025-11-16</t>
  </si>
  <si>
    <t>PT00117</t>
  </si>
  <si>
    <t>2025-05-07</t>
  </si>
  <si>
    <t>PT00118</t>
  </si>
  <si>
    <t>2025-02-11</t>
  </si>
  <si>
    <t>2025-02-15</t>
  </si>
  <si>
    <t>PT00119</t>
  </si>
  <si>
    <t>2025-04-21</t>
  </si>
  <si>
    <t>2025-04-22</t>
  </si>
  <si>
    <t>PT00120</t>
  </si>
  <si>
    <t>2025-03-18</t>
  </si>
  <si>
    <t>PT00121</t>
  </si>
  <si>
    <t>2025-08-25</t>
  </si>
  <si>
    <t>2025-08-30</t>
  </si>
  <si>
    <t>PT00122</t>
  </si>
  <si>
    <t>2025-11-06</t>
  </si>
  <si>
    <t>PT00123</t>
  </si>
  <si>
    <t>PT00124</t>
  </si>
  <si>
    <t>2025-02-02</t>
  </si>
  <si>
    <t>PT00125</t>
  </si>
  <si>
    <t>2025-05-11</t>
  </si>
  <si>
    <t>PT00126</t>
  </si>
  <si>
    <t>2025-11-09</t>
  </si>
  <si>
    <t>PT00127</t>
  </si>
  <si>
    <t>2025-08-10</t>
  </si>
  <si>
    <t>PT00128</t>
  </si>
  <si>
    <t>2025-04-10</t>
  </si>
  <si>
    <t>2025-04-15</t>
  </si>
  <si>
    <t>PT00129</t>
  </si>
  <si>
    <t>2025-12-19</t>
  </si>
  <si>
    <t>PT00130</t>
  </si>
  <si>
    <t>2025-01-22</t>
  </si>
  <si>
    <t>PT00131</t>
  </si>
  <si>
    <t>2025-04-01</t>
  </si>
  <si>
    <t>PT00132</t>
  </si>
  <si>
    <t>2025-06-02</t>
  </si>
  <si>
    <t>PT00133</t>
  </si>
  <si>
    <t>2025-05-28</t>
  </si>
  <si>
    <t>PT00134</t>
  </si>
  <si>
    <t>2025-11-20</t>
  </si>
  <si>
    <t>2025-11-25</t>
  </si>
  <si>
    <t>PT00135</t>
  </si>
  <si>
    <t>2025-09-30</t>
  </si>
  <si>
    <t>2025-10-05</t>
  </si>
  <si>
    <t>PT00136</t>
  </si>
  <si>
    <t>2025-10-25</t>
  </si>
  <si>
    <t>2025-10-30</t>
  </si>
  <si>
    <t>PT00137</t>
  </si>
  <si>
    <t>2025-10-26</t>
  </si>
  <si>
    <t>2025-10-31</t>
  </si>
  <si>
    <t>PT00138</t>
  </si>
  <si>
    <t>2025-06-20</t>
  </si>
  <si>
    <t>2025-07-01</t>
  </si>
  <si>
    <t>PT00139</t>
  </si>
  <si>
    <t>PT00140</t>
  </si>
  <si>
    <t>PT00141</t>
  </si>
  <si>
    <t>2025-11-18</t>
  </si>
  <si>
    <t>2025-11-23</t>
  </si>
  <si>
    <t>PT00142</t>
  </si>
  <si>
    <t>PT00143</t>
  </si>
  <si>
    <t>PT00144</t>
  </si>
  <si>
    <t>2025-07-05</t>
  </si>
  <si>
    <t>PT00145</t>
  </si>
  <si>
    <t>2025-03-26</t>
  </si>
  <si>
    <t>PT00146</t>
  </si>
  <si>
    <t>PT00147</t>
  </si>
  <si>
    <t>2025-07-10</t>
  </si>
  <si>
    <t>2025-07-15</t>
  </si>
  <si>
    <t>PT00148</t>
  </si>
  <si>
    <t>2025-07-08</t>
  </si>
  <si>
    <t>PT00149</t>
  </si>
  <si>
    <t>2025-09-28</t>
  </si>
  <si>
    <t>PT00150</t>
  </si>
  <si>
    <t>2025-04-06</t>
  </si>
  <si>
    <t>PT00151</t>
  </si>
  <si>
    <t>2025-09-08</t>
  </si>
  <si>
    <t>PT00152</t>
  </si>
  <si>
    <t>PT00153</t>
  </si>
  <si>
    <t>PT00154</t>
  </si>
  <si>
    <t>PT00155</t>
  </si>
  <si>
    <t>2025-09-12</t>
  </si>
  <si>
    <t>2025-09-20</t>
  </si>
  <si>
    <t>PT00156</t>
  </si>
  <si>
    <t>PT00157</t>
  </si>
  <si>
    <t>2025-08-19</t>
  </si>
  <si>
    <t>PT00158</t>
  </si>
  <si>
    <t>PT00159</t>
  </si>
  <si>
    <t>2025-12-08</t>
  </si>
  <si>
    <t>PT00160</t>
  </si>
  <si>
    <t>PT00161</t>
  </si>
  <si>
    <t>2025-06-26</t>
  </si>
  <si>
    <t>PT00162</t>
  </si>
  <si>
    <t>PT00163</t>
  </si>
  <si>
    <t>2025-10-03</t>
  </si>
  <si>
    <t>PT00164</t>
  </si>
  <si>
    <t>2025-11-26</t>
  </si>
  <si>
    <t>2025-11-28</t>
  </si>
  <si>
    <t>PT00165</t>
  </si>
  <si>
    <t>2025-08-03</t>
  </si>
  <si>
    <t>PT00166</t>
  </si>
  <si>
    <t>2025-12-11</t>
  </si>
  <si>
    <t>PT00167</t>
  </si>
  <si>
    <t>PT00168</t>
  </si>
  <si>
    <t>PT00169</t>
  </si>
  <si>
    <t>PT00170</t>
  </si>
  <si>
    <t>PT00171</t>
  </si>
  <si>
    <t>2025-05-14</t>
  </si>
  <si>
    <t>2025-05-25</t>
  </si>
  <si>
    <t>PT00172</t>
  </si>
  <si>
    <t>PT00173</t>
  </si>
  <si>
    <t>2025-07-24</t>
  </si>
  <si>
    <t>PT00174</t>
  </si>
  <si>
    <t>2025-01-03</t>
  </si>
  <si>
    <t>2025-01-13</t>
  </si>
  <si>
    <t>PT00175</t>
  </si>
  <si>
    <t>2025-11-17</t>
  </si>
  <si>
    <t>PT00176</t>
  </si>
  <si>
    <t>PT00177</t>
  </si>
  <si>
    <t>2025-10-07</t>
  </si>
  <si>
    <t>2025-10-16</t>
  </si>
  <si>
    <t>PT00178</t>
  </si>
  <si>
    <t>2025-02-08</t>
  </si>
  <si>
    <t>PT00179</t>
  </si>
  <si>
    <t>PT00180</t>
  </si>
  <si>
    <t>PT00181</t>
  </si>
  <si>
    <t>2025-01-02</t>
  </si>
  <si>
    <t>PT00182</t>
  </si>
  <si>
    <t>PT00183</t>
  </si>
  <si>
    <t>2025-01-05</t>
  </si>
  <si>
    <t>PT00184</t>
  </si>
  <si>
    <t>PT00185</t>
  </si>
  <si>
    <t>PT00186</t>
  </si>
  <si>
    <t>2025-12-05</t>
  </si>
  <si>
    <t>PT00187</t>
  </si>
  <si>
    <t>2025-06-18</t>
  </si>
  <si>
    <t>PT00188</t>
  </si>
  <si>
    <t>2025-05-24</t>
  </si>
  <si>
    <t>PT00189</t>
  </si>
  <si>
    <t>2025-02-21</t>
  </si>
  <si>
    <t>2025-02-28</t>
  </si>
  <si>
    <t>PT00190</t>
  </si>
  <si>
    <t>2025-01-04</t>
  </si>
  <si>
    <t>PT00191</t>
  </si>
  <si>
    <t>2025-03-03</t>
  </si>
  <si>
    <t>PT00192</t>
  </si>
  <si>
    <t>2025-10-21</t>
  </si>
  <si>
    <t>PT00193</t>
  </si>
  <si>
    <t>2025-08-08</t>
  </si>
  <si>
    <t>2025-08-14</t>
  </si>
  <si>
    <t>PT00194</t>
  </si>
  <si>
    <t>2025-12-01</t>
  </si>
  <si>
    <t>PT00195</t>
  </si>
  <si>
    <t>2025-06-28</t>
  </si>
  <si>
    <t>PT00196</t>
  </si>
  <si>
    <t>2025-12-29</t>
  </si>
  <si>
    <t>PT00197</t>
  </si>
  <si>
    <t>2025-11-10</t>
  </si>
  <si>
    <t>2025-11-15</t>
  </si>
  <si>
    <t>PT00198</t>
  </si>
  <si>
    <t>2025-08-04</t>
  </si>
  <si>
    <t>PT00199</t>
  </si>
  <si>
    <t>PT00200</t>
  </si>
  <si>
    <t>PT00201</t>
  </si>
  <si>
    <t>2025-03-24</t>
  </si>
  <si>
    <t>PT00202</t>
  </si>
  <si>
    <t>PT00203</t>
  </si>
  <si>
    <t>2025-12-06</t>
  </si>
  <si>
    <t>PT00204</t>
  </si>
  <si>
    <t>PT00205</t>
  </si>
  <si>
    <t>PT00206</t>
  </si>
  <si>
    <t>2025-05-22</t>
  </si>
  <si>
    <t>PT00207</t>
  </si>
  <si>
    <t>PT00208</t>
  </si>
  <si>
    <t>PT00209</t>
  </si>
  <si>
    <t>2025-12-02</t>
  </si>
  <si>
    <t>PT00210</t>
  </si>
  <si>
    <t>2025-08-29</t>
  </si>
  <si>
    <t>PT00211</t>
  </si>
  <si>
    <t>2025-04-08</t>
  </si>
  <si>
    <t>PT00212</t>
  </si>
  <si>
    <t>PT00213</t>
  </si>
  <si>
    <t>2025-07-31</t>
  </si>
  <si>
    <t>2025-08-09</t>
  </si>
  <si>
    <t>PT00214</t>
  </si>
  <si>
    <t>2025-12-12</t>
  </si>
  <si>
    <t>PT00215</t>
  </si>
  <si>
    <t>2025-03-15</t>
  </si>
  <si>
    <t>PT00216</t>
  </si>
  <si>
    <t>2025-10-13</t>
  </si>
  <si>
    <t>2025-10-18</t>
  </si>
  <si>
    <t>PT00217</t>
  </si>
  <si>
    <t>2025-08-15</t>
  </si>
  <si>
    <t>PT00218</t>
  </si>
  <si>
    <t>PT00219</t>
  </si>
  <si>
    <t>2025-08-24</t>
  </si>
  <si>
    <t>PT00220</t>
  </si>
  <si>
    <t>PT00221</t>
  </si>
  <si>
    <t>2025-08-01</t>
  </si>
  <si>
    <t>PT00222</t>
  </si>
  <si>
    <t>2025-03-20</t>
  </si>
  <si>
    <t>PT00223</t>
  </si>
  <si>
    <t>2025-06-16</t>
  </si>
  <si>
    <t>2025-06-23</t>
  </si>
  <si>
    <t>PT00224</t>
  </si>
  <si>
    <t>PT00225</t>
  </si>
  <si>
    <t>2025-12-24</t>
  </si>
  <si>
    <t>PT00226</t>
  </si>
  <si>
    <t>PT00227</t>
  </si>
  <si>
    <t>2025-01-10</t>
  </si>
  <si>
    <t>PT00228</t>
  </si>
  <si>
    <t>PT00229</t>
  </si>
  <si>
    <t>2025-12-22</t>
  </si>
  <si>
    <t>2025-12-23</t>
  </si>
  <si>
    <t>PT00230</t>
  </si>
  <si>
    <t>PT00231</t>
  </si>
  <si>
    <t>2025-03-10</t>
  </si>
  <si>
    <t>PT00232</t>
  </si>
  <si>
    <t>2025-01-11</t>
  </si>
  <si>
    <t>PT00233</t>
  </si>
  <si>
    <t>PT00234</t>
  </si>
  <si>
    <t>PT00235</t>
  </si>
  <si>
    <t>2025-06-01</t>
  </si>
  <si>
    <t>2025-06-09</t>
  </si>
  <si>
    <t>PT00236</t>
  </si>
  <si>
    <t>PT00237</t>
  </si>
  <si>
    <t>PT00238</t>
  </si>
  <si>
    <t>PT00239</t>
  </si>
  <si>
    <t>PT00240</t>
  </si>
  <si>
    <t>2025-11-11</t>
  </si>
  <si>
    <t>PT00241</t>
  </si>
  <si>
    <t>PT00242</t>
  </si>
  <si>
    <t>PT00243</t>
  </si>
  <si>
    <t>2025-10-14</t>
  </si>
  <si>
    <t>PT00244</t>
  </si>
  <si>
    <t>2025-01-23</t>
  </si>
  <si>
    <t>PT00245</t>
  </si>
  <si>
    <t>2026-01-06</t>
  </si>
  <si>
    <t>PT00246</t>
  </si>
  <si>
    <t>PT00247</t>
  </si>
  <si>
    <t>2025-10-10</t>
  </si>
  <si>
    <t>2025-10-12</t>
  </si>
  <si>
    <t>PT00248</t>
  </si>
  <si>
    <t>PT00249</t>
  </si>
  <si>
    <t>2025-03-06</t>
  </si>
  <si>
    <t>2025-03-12</t>
  </si>
  <si>
    <t>PT00250</t>
  </si>
  <si>
    <t>PT00251</t>
  </si>
  <si>
    <t>2025-03-05</t>
  </si>
  <si>
    <t>2025-03-14</t>
  </si>
  <si>
    <t>PT00252</t>
  </si>
  <si>
    <t>2025-10-27</t>
  </si>
  <si>
    <t>PT00253</t>
  </si>
  <si>
    <t>PT00254</t>
  </si>
  <si>
    <t>PT00255</t>
  </si>
  <si>
    <t>PT00256</t>
  </si>
  <si>
    <t>PT00257</t>
  </si>
  <si>
    <t>PT00258</t>
  </si>
  <si>
    <t>PT00259</t>
  </si>
  <si>
    <t>PT00260</t>
  </si>
  <si>
    <t>2025-11-29</t>
  </si>
  <si>
    <t>2025-12-03</t>
  </si>
  <si>
    <t>PT00261</t>
  </si>
  <si>
    <t>PT00262</t>
  </si>
  <si>
    <t>PT00263</t>
  </si>
  <si>
    <t>2025-10-17</t>
  </si>
  <si>
    <t>PT00264</t>
  </si>
  <si>
    <t>2025-03-07</t>
  </si>
  <si>
    <t>PT00265</t>
  </si>
  <si>
    <t>PT00266</t>
  </si>
  <si>
    <t>2025-02-22</t>
  </si>
  <si>
    <t>PT00267</t>
  </si>
  <si>
    <t>PT00268</t>
  </si>
  <si>
    <t>PT00269</t>
  </si>
  <si>
    <t>2025-07-25</t>
  </si>
  <si>
    <t>PT00270</t>
  </si>
  <si>
    <t>PT00271</t>
  </si>
  <si>
    <t>2025-06-05</t>
  </si>
  <si>
    <t>PT00272</t>
  </si>
  <si>
    <t>PT00273</t>
  </si>
  <si>
    <t>PT00274</t>
  </si>
  <si>
    <t>PT00275</t>
  </si>
  <si>
    <t>2025-02-26</t>
  </si>
  <si>
    <t>PT00276</t>
  </si>
  <si>
    <t>PT00277</t>
  </si>
  <si>
    <t>PT00278</t>
  </si>
  <si>
    <t>PT00279</t>
  </si>
  <si>
    <t>PT00280</t>
  </si>
  <si>
    <t>PT00281</t>
  </si>
  <si>
    <t>PT00282</t>
  </si>
  <si>
    <t>2025-03-08</t>
  </si>
  <si>
    <t>PT00283</t>
  </si>
  <si>
    <t>2025-10-29</t>
  </si>
  <si>
    <t>PT00284</t>
  </si>
  <si>
    <t>PT00285</t>
  </si>
  <si>
    <t>2025-02-06</t>
  </si>
  <si>
    <t>PT00286</t>
  </si>
  <si>
    <t>PT00287</t>
  </si>
  <si>
    <t>PT00288</t>
  </si>
  <si>
    <t>2025-12-21</t>
  </si>
  <si>
    <t>PT00289</t>
  </si>
  <si>
    <t>PT00290</t>
  </si>
  <si>
    <t>2025-04-13</t>
  </si>
  <si>
    <t>2025-04-16</t>
  </si>
  <si>
    <t>PT00291</t>
  </si>
  <si>
    <t>PT00292</t>
  </si>
  <si>
    <t>2025-10-15</t>
  </si>
  <si>
    <t>PT00293</t>
  </si>
  <si>
    <t>PT00294</t>
  </si>
  <si>
    <t>2025-01-17</t>
  </si>
  <si>
    <t>PT00295</t>
  </si>
  <si>
    <t>2025-09-21</t>
  </si>
  <si>
    <t>PT00296</t>
  </si>
  <si>
    <t>PT00297</t>
  </si>
  <si>
    <t>PT00298</t>
  </si>
  <si>
    <t>2025-12-14</t>
  </si>
  <si>
    <t>PT00299</t>
  </si>
  <si>
    <t>PT00300</t>
  </si>
  <si>
    <t>PT00301</t>
  </si>
  <si>
    <t>2025-05-09</t>
  </si>
  <si>
    <t>PT00302</t>
  </si>
  <si>
    <t>PT00303</t>
  </si>
  <si>
    <t>PT00304</t>
  </si>
  <si>
    <t>PT00305</t>
  </si>
  <si>
    <t>2025-12-17</t>
  </si>
  <si>
    <t>PT00306</t>
  </si>
  <si>
    <t>PT00307</t>
  </si>
  <si>
    <t>PT00308</t>
  </si>
  <si>
    <t>PT00309</t>
  </si>
  <si>
    <t>PT00310</t>
  </si>
  <si>
    <t>2025-07-21</t>
  </si>
  <si>
    <t>PT00311</t>
  </si>
  <si>
    <t>2025-11-30</t>
  </si>
  <si>
    <t>PT00312</t>
  </si>
  <si>
    <t>2025-02-17</t>
  </si>
  <si>
    <t>PT00313</t>
  </si>
  <si>
    <t>PT00314</t>
  </si>
  <si>
    <t>PT00315</t>
  </si>
  <si>
    <t>PT00316</t>
  </si>
  <si>
    <t>PT00317</t>
  </si>
  <si>
    <t>2025-09-14</t>
  </si>
  <si>
    <t>PT00318</t>
  </si>
  <si>
    <t>2025-02-19</t>
  </si>
  <si>
    <t>PT00319</t>
  </si>
  <si>
    <t>2025-10-09</t>
  </si>
  <si>
    <t>PT00320</t>
  </si>
  <si>
    <t>PT00321</t>
  </si>
  <si>
    <t>PT00322</t>
  </si>
  <si>
    <t>PT00323</t>
  </si>
  <si>
    <t>2025-08-21</t>
  </si>
  <si>
    <t>PT00324</t>
  </si>
  <si>
    <t>PT00325</t>
  </si>
  <si>
    <t>PT00326</t>
  </si>
  <si>
    <t>PT00327</t>
  </si>
  <si>
    <t>PT00328</t>
  </si>
  <si>
    <t>PT00329</t>
  </si>
  <si>
    <t>PT00330</t>
  </si>
  <si>
    <t>PT00331</t>
  </si>
  <si>
    <t>PT00332</t>
  </si>
  <si>
    <t>PT00333</t>
  </si>
  <si>
    <t>PT00334</t>
  </si>
  <si>
    <t>2025-03-09</t>
  </si>
  <si>
    <t>2025-03-16</t>
  </si>
  <si>
    <t>PT00335</t>
  </si>
  <si>
    <t>2025-10-22</t>
  </si>
  <si>
    <t>PT00336</t>
  </si>
  <si>
    <t>2025-03-11</t>
  </si>
  <si>
    <t>PT00337</t>
  </si>
  <si>
    <t>PT00338</t>
  </si>
  <si>
    <t>2025-09-19</t>
  </si>
  <si>
    <t>PT00339</t>
  </si>
  <si>
    <t>PT00340</t>
  </si>
  <si>
    <t>PT00341</t>
  </si>
  <si>
    <t>PT00342</t>
  </si>
  <si>
    <t>PT00343</t>
  </si>
  <si>
    <t>2025-08-12</t>
  </si>
  <si>
    <t>PT00344</t>
  </si>
  <si>
    <t>PT00345</t>
  </si>
  <si>
    <t>PT00346</t>
  </si>
  <si>
    <t>PT00347</t>
  </si>
  <si>
    <t>PT00348</t>
  </si>
  <si>
    <t>PT00349</t>
  </si>
  <si>
    <t>PT00350</t>
  </si>
  <si>
    <t>PT00351</t>
  </si>
  <si>
    <t>PT00352</t>
  </si>
  <si>
    <t>PT00353</t>
  </si>
  <si>
    <t>PT00354</t>
  </si>
  <si>
    <t>2025-02-07</t>
  </si>
  <si>
    <t>PT00355</t>
  </si>
  <si>
    <t>PT00356</t>
  </si>
  <si>
    <t>PT00357</t>
  </si>
  <si>
    <t>PT00358</t>
  </si>
  <si>
    <t>PT00359</t>
  </si>
  <si>
    <t>PT00360</t>
  </si>
  <si>
    <t>PT00361</t>
  </si>
  <si>
    <t>PT00362</t>
  </si>
  <si>
    <t>PT00363</t>
  </si>
  <si>
    <t>PT00364</t>
  </si>
  <si>
    <t>2025-10-23</t>
  </si>
  <si>
    <t>PT00365</t>
  </si>
  <si>
    <t>PT00366</t>
  </si>
  <si>
    <t>PT00367</t>
  </si>
  <si>
    <t>PT00368</t>
  </si>
  <si>
    <t>PT00369</t>
  </si>
  <si>
    <t>PT00370</t>
  </si>
  <si>
    <t>PT00371</t>
  </si>
  <si>
    <t>PT00372</t>
  </si>
  <si>
    <t>PT00373</t>
  </si>
  <si>
    <t>PT00374</t>
  </si>
  <si>
    <t>PT00375</t>
  </si>
  <si>
    <t>2025-05-01</t>
  </si>
  <si>
    <t>PT00376</t>
  </si>
  <si>
    <t>PT00377</t>
  </si>
  <si>
    <t>2025-05-06</t>
  </si>
  <si>
    <t>PT00378</t>
  </si>
  <si>
    <t>PT00379</t>
  </si>
  <si>
    <t>2025-11-04</t>
  </si>
  <si>
    <t>PT00380</t>
  </si>
  <si>
    <t>PT00381</t>
  </si>
  <si>
    <t>PT00382</t>
  </si>
  <si>
    <t>PT00383</t>
  </si>
  <si>
    <t>PT00384</t>
  </si>
  <si>
    <t>PT00385</t>
  </si>
  <si>
    <t>PT00386</t>
  </si>
  <si>
    <t>PT00387</t>
  </si>
  <si>
    <t>PT00388</t>
  </si>
  <si>
    <t>PT00389</t>
  </si>
  <si>
    <t>PT00390</t>
  </si>
  <si>
    <t>2025-02-03</t>
  </si>
  <si>
    <t>PT00391</t>
  </si>
  <si>
    <t>PT00392</t>
  </si>
  <si>
    <t>PT00393</t>
  </si>
  <si>
    <t>2025-02-12</t>
  </si>
  <si>
    <t>PT00394</t>
  </si>
  <si>
    <t>PT00395</t>
  </si>
  <si>
    <t>PT00396</t>
  </si>
  <si>
    <t>PT00397</t>
  </si>
  <si>
    <t>2025-09-11</t>
  </si>
  <si>
    <t>PT00398</t>
  </si>
  <si>
    <t>PT00399</t>
  </si>
  <si>
    <t>PT00400</t>
  </si>
  <si>
    <t>PT00401</t>
  </si>
  <si>
    <t>PT00402</t>
  </si>
  <si>
    <t>2026-01-08</t>
  </si>
  <si>
    <t>PT00403</t>
  </si>
  <si>
    <t>PT00404</t>
  </si>
  <si>
    <t>PT00405</t>
  </si>
  <si>
    <t>PT00406</t>
  </si>
  <si>
    <t>2025-04-11</t>
  </si>
  <si>
    <t>PT00407</t>
  </si>
  <si>
    <t>PT00408</t>
  </si>
  <si>
    <t>2025-11-14</t>
  </si>
  <si>
    <t>PT00409</t>
  </si>
  <si>
    <t>2025-05-16</t>
  </si>
  <si>
    <t>PT00410</t>
  </si>
  <si>
    <t>PT00411</t>
  </si>
  <si>
    <t>PT00412</t>
  </si>
  <si>
    <t>PT00413</t>
  </si>
  <si>
    <t>PT00414</t>
  </si>
  <si>
    <t>PT00415</t>
  </si>
  <si>
    <t>2025-07-04</t>
  </si>
  <si>
    <t>PT00416</t>
  </si>
  <si>
    <t>2025-05-18</t>
  </si>
  <si>
    <t>PT00417</t>
  </si>
  <si>
    <t>2025-02-25</t>
  </si>
  <si>
    <t>PT00418</t>
  </si>
  <si>
    <t>PT00419</t>
  </si>
  <si>
    <t>PT00420</t>
  </si>
  <si>
    <t>PT00421</t>
  </si>
  <si>
    <t>2025-05-31</t>
  </si>
  <si>
    <t>PT00422</t>
  </si>
  <si>
    <t>PT00423</t>
  </si>
  <si>
    <t>PT00424</t>
  </si>
  <si>
    <t>2025-01-09</t>
  </si>
  <si>
    <t>PT00425</t>
  </si>
  <si>
    <t>PT00426</t>
  </si>
  <si>
    <t>PT00427</t>
  </si>
  <si>
    <t>2025-06-29</t>
  </si>
  <si>
    <t>PT00428</t>
  </si>
  <si>
    <t>PT00429</t>
  </si>
  <si>
    <t>PT00430</t>
  </si>
  <si>
    <t>PT00431</t>
  </si>
  <si>
    <t>PT00432</t>
  </si>
  <si>
    <t>2025-04-17</t>
  </si>
  <si>
    <t>PT00433</t>
  </si>
  <si>
    <t>PT00434</t>
  </si>
  <si>
    <t>PT00435</t>
  </si>
  <si>
    <t>PT00436</t>
  </si>
  <si>
    <t>PT00437</t>
  </si>
  <si>
    <t>PT00438</t>
  </si>
  <si>
    <t>PT00439</t>
  </si>
  <si>
    <t>PT00440</t>
  </si>
  <si>
    <t>PT00441</t>
  </si>
  <si>
    <t>2025-07-12</t>
  </si>
  <si>
    <t>PT00442</t>
  </si>
  <si>
    <t>PT00443</t>
  </si>
  <si>
    <t>PT00444</t>
  </si>
  <si>
    <t>2026-01-09</t>
  </si>
  <si>
    <t>PT00445</t>
  </si>
  <si>
    <t>PT00446</t>
  </si>
  <si>
    <t>PT00447</t>
  </si>
  <si>
    <t>PT00448</t>
  </si>
  <si>
    <t>PT00449</t>
  </si>
  <si>
    <t>PT00450</t>
  </si>
  <si>
    <t>PT00451</t>
  </si>
  <si>
    <t>PT00452</t>
  </si>
  <si>
    <t>PT00453</t>
  </si>
  <si>
    <t>2025-12-26</t>
  </si>
  <si>
    <t>PT00454</t>
  </si>
  <si>
    <t>2025-03-27</t>
  </si>
  <si>
    <t>PT00455</t>
  </si>
  <si>
    <t>2026-01-02</t>
  </si>
  <si>
    <t>PT00456</t>
  </si>
  <si>
    <t>2025-04-02</t>
  </si>
  <si>
    <t>PT00457</t>
  </si>
  <si>
    <t>2025-09-18</t>
  </si>
  <si>
    <t>PT00458</t>
  </si>
  <si>
    <t>2025-05-17</t>
  </si>
  <si>
    <t>PT00459</t>
  </si>
  <si>
    <t>PT00460</t>
  </si>
  <si>
    <t>PT00461</t>
  </si>
  <si>
    <t>PT00462</t>
  </si>
  <si>
    <t>PT00463</t>
  </si>
  <si>
    <t>2025-01-28</t>
  </si>
  <si>
    <t>PT00464</t>
  </si>
  <si>
    <t>2025-07-28</t>
  </si>
  <si>
    <t>PT00465</t>
  </si>
  <si>
    <t>2025-03-28</t>
  </si>
  <si>
    <t>PT00466</t>
  </si>
  <si>
    <t>PT00467</t>
  </si>
  <si>
    <t>PT00468</t>
  </si>
  <si>
    <t>PT00469</t>
  </si>
  <si>
    <t>2025-05-20</t>
  </si>
  <si>
    <t>PT00470</t>
  </si>
  <si>
    <t>PT00471</t>
  </si>
  <si>
    <t>2025-09-16</t>
  </si>
  <si>
    <t>PT00472</t>
  </si>
  <si>
    <t>PT00473</t>
  </si>
  <si>
    <t>2025-09-23</t>
  </si>
  <si>
    <t>PT00474</t>
  </si>
  <si>
    <t>PT00475</t>
  </si>
  <si>
    <t>2025-07-20</t>
  </si>
  <si>
    <t>PT00476</t>
  </si>
  <si>
    <t>PT00477</t>
  </si>
  <si>
    <t>PT00478</t>
  </si>
  <si>
    <t>PT00479</t>
  </si>
  <si>
    <t>PT00480</t>
  </si>
  <si>
    <t>PT00481</t>
  </si>
  <si>
    <t>PT00482</t>
  </si>
  <si>
    <t>PT00483</t>
  </si>
  <si>
    <t>PT00484</t>
  </si>
  <si>
    <t>PT00485</t>
  </si>
  <si>
    <t>PT00486</t>
  </si>
  <si>
    <t>PT00487</t>
  </si>
  <si>
    <t>PT00488</t>
  </si>
  <si>
    <t>PT00489</t>
  </si>
  <si>
    <t>PT00490</t>
  </si>
  <si>
    <t>PT00491</t>
  </si>
  <si>
    <t>PT00492</t>
  </si>
  <si>
    <t>PT00493</t>
  </si>
  <si>
    <t>PT00494</t>
  </si>
  <si>
    <t>PT00495</t>
  </si>
  <si>
    <t>PT00496</t>
  </si>
  <si>
    <t>PT00497</t>
  </si>
  <si>
    <t>PT00498</t>
  </si>
  <si>
    <t>2025-07-16</t>
  </si>
  <si>
    <t>PT00499</t>
  </si>
  <si>
    <t>PT00500</t>
  </si>
  <si>
    <t>PT00501</t>
  </si>
  <si>
    <t>PT00502</t>
  </si>
  <si>
    <t>PT00503</t>
  </si>
  <si>
    <t>PT00504</t>
  </si>
  <si>
    <t>PT00505</t>
  </si>
  <si>
    <t>PT00506</t>
  </si>
  <si>
    <t>PT00507</t>
  </si>
  <si>
    <t>PT00508</t>
  </si>
  <si>
    <t>PT00509</t>
  </si>
  <si>
    <t>PT00510</t>
  </si>
  <si>
    <t>PT00511</t>
  </si>
  <si>
    <t>PT00512</t>
  </si>
  <si>
    <t>PT00513</t>
  </si>
  <si>
    <t>2025-09-24</t>
  </si>
  <si>
    <t>PT00514</t>
  </si>
  <si>
    <t>PT00515</t>
  </si>
  <si>
    <t>2025-08-22</t>
  </si>
  <si>
    <t>PT00516</t>
  </si>
  <si>
    <t>PT00517</t>
  </si>
  <si>
    <t>PT00518</t>
  </si>
  <si>
    <t>PT00519</t>
  </si>
  <si>
    <t>PT00520</t>
  </si>
  <si>
    <t>PT00521</t>
  </si>
  <si>
    <t>PT00522</t>
  </si>
  <si>
    <t>PT00523</t>
  </si>
  <si>
    <t>PT00524</t>
  </si>
  <si>
    <t>PT00525</t>
  </si>
  <si>
    <t>PT00526</t>
  </si>
  <si>
    <t>PT00527</t>
  </si>
  <si>
    <t>PT00528</t>
  </si>
  <si>
    <t>PT00529</t>
  </si>
  <si>
    <t>PT00530</t>
  </si>
  <si>
    <t>PT00531</t>
  </si>
  <si>
    <t>PT00532</t>
  </si>
  <si>
    <t>PT00533</t>
  </si>
  <si>
    <t>PT00534</t>
  </si>
  <si>
    <t>PT00535</t>
  </si>
  <si>
    <t>PT00536</t>
  </si>
  <si>
    <t>PT00537</t>
  </si>
  <si>
    <t>PT00538</t>
  </si>
  <si>
    <t>PT00539</t>
  </si>
  <si>
    <t>PT00540</t>
  </si>
  <si>
    <t>PT00541</t>
  </si>
  <si>
    <t>PT00542</t>
  </si>
  <si>
    <t>PT00543</t>
  </si>
  <si>
    <t>PT00544</t>
  </si>
  <si>
    <t>2025-04-27</t>
  </si>
  <si>
    <t>PT00545</t>
  </si>
  <si>
    <t>PT00546</t>
  </si>
  <si>
    <t>PT00547</t>
  </si>
  <si>
    <t>PT00548</t>
  </si>
  <si>
    <t>PT00549</t>
  </si>
  <si>
    <t>PT00550</t>
  </si>
  <si>
    <t>PT00551</t>
  </si>
  <si>
    <t>PT00552</t>
  </si>
  <si>
    <t>PT00553</t>
  </si>
  <si>
    <t>PT00554</t>
  </si>
  <si>
    <t>PT00555</t>
  </si>
  <si>
    <t>PT00556</t>
  </si>
  <si>
    <t>2025-09-15</t>
  </si>
  <si>
    <t>PT00557</t>
  </si>
  <si>
    <t>PT00558</t>
  </si>
  <si>
    <t>PT00559</t>
  </si>
  <si>
    <t>PT00560</t>
  </si>
  <si>
    <t>PT00561</t>
  </si>
  <si>
    <t>PT00562</t>
  </si>
  <si>
    <t>PT00563</t>
  </si>
  <si>
    <t>PT00564</t>
  </si>
  <si>
    <t>PT00565</t>
  </si>
  <si>
    <t>PT00566</t>
  </si>
  <si>
    <t>PT00567</t>
  </si>
  <si>
    <t>PT00568</t>
  </si>
  <si>
    <t>PT00569</t>
  </si>
  <si>
    <t>PT00570</t>
  </si>
  <si>
    <t>PT00571</t>
  </si>
  <si>
    <t>PT00572</t>
  </si>
  <si>
    <t>PT00573</t>
  </si>
  <si>
    <t>PT00574</t>
  </si>
  <si>
    <t>PT00575</t>
  </si>
  <si>
    <t>PT00576</t>
  </si>
  <si>
    <t>PT00577</t>
  </si>
  <si>
    <t>PT00578</t>
  </si>
  <si>
    <t>PT00579</t>
  </si>
  <si>
    <t>PT00580</t>
  </si>
  <si>
    <t>2025-08-07</t>
  </si>
  <si>
    <t>PT00581</t>
  </si>
  <si>
    <t>PT00582</t>
  </si>
  <si>
    <t>PT00583</t>
  </si>
  <si>
    <t>PT00584</t>
  </si>
  <si>
    <t>PT00585</t>
  </si>
  <si>
    <t>PT00586</t>
  </si>
  <si>
    <t>PT00587</t>
  </si>
  <si>
    <t>PT00588</t>
  </si>
  <si>
    <t>2025-03-02</t>
  </si>
  <si>
    <t>PT00589</t>
  </si>
  <si>
    <t>PT00590</t>
  </si>
  <si>
    <t>PT00591</t>
  </si>
  <si>
    <t>PT00592</t>
  </si>
  <si>
    <t>PT00593</t>
  </si>
  <si>
    <t>PT00594</t>
  </si>
  <si>
    <t>PT00595</t>
  </si>
  <si>
    <t>PT00596</t>
  </si>
  <si>
    <t>PT00597</t>
  </si>
  <si>
    <t>PT00598</t>
  </si>
  <si>
    <t>PT00599</t>
  </si>
  <si>
    <t>PT00600</t>
  </si>
  <si>
    <t>PT00601</t>
  </si>
  <si>
    <t>PT00602</t>
  </si>
  <si>
    <t>PT00603</t>
  </si>
  <si>
    <t>PT00604</t>
  </si>
  <si>
    <t>PT00605</t>
  </si>
  <si>
    <t>PT00606</t>
  </si>
  <si>
    <t>PT00607</t>
  </si>
  <si>
    <t>PT00608</t>
  </si>
  <si>
    <t>PT00609</t>
  </si>
  <si>
    <t>PT00610</t>
  </si>
  <si>
    <t>PT00611</t>
  </si>
  <si>
    <t>PT00612</t>
  </si>
  <si>
    <t>PT00613</t>
  </si>
  <si>
    <t>PT00614</t>
  </si>
  <si>
    <t>PT00615</t>
  </si>
  <si>
    <t>PT00616</t>
  </si>
  <si>
    <t>PT00617</t>
  </si>
  <si>
    <t>2026-01-07</t>
  </si>
  <si>
    <t>PT00618</t>
  </si>
  <si>
    <t>PT00619</t>
  </si>
  <si>
    <t>PT00620</t>
  </si>
  <si>
    <t>PT00621</t>
  </si>
  <si>
    <t>PT00622</t>
  </si>
  <si>
    <t>PT00623</t>
  </si>
  <si>
    <t>PT00624</t>
  </si>
  <si>
    <t>PT00625</t>
  </si>
  <si>
    <t>PT00626</t>
  </si>
  <si>
    <t>PT00627</t>
  </si>
  <si>
    <t>PT00628</t>
  </si>
  <si>
    <t>PT00629</t>
  </si>
  <si>
    <t>2025-11-22</t>
  </si>
  <si>
    <t>PT00630</t>
  </si>
  <si>
    <t>PT00631</t>
  </si>
  <si>
    <t>PT00632</t>
  </si>
  <si>
    <t>PT00633</t>
  </si>
  <si>
    <t>PT00634</t>
  </si>
  <si>
    <t>PT00635</t>
  </si>
  <si>
    <t>PT00636</t>
  </si>
  <si>
    <t>PT00637</t>
  </si>
  <si>
    <t>PT00638</t>
  </si>
  <si>
    <t>PT00639</t>
  </si>
  <si>
    <t>PT00640</t>
  </si>
  <si>
    <t>PT00641</t>
  </si>
  <si>
    <t>PT00642</t>
  </si>
  <si>
    <t>PT00643</t>
  </si>
  <si>
    <t>PT00644</t>
  </si>
  <si>
    <t>PT00645</t>
  </si>
  <si>
    <t>PT00646</t>
  </si>
  <si>
    <t>PT00647</t>
  </si>
  <si>
    <t>PT00648</t>
  </si>
  <si>
    <t>PT00649</t>
  </si>
  <si>
    <t>PT00650</t>
  </si>
  <si>
    <t>PT00651</t>
  </si>
  <si>
    <t>PT00652</t>
  </si>
  <si>
    <t>PT00653</t>
  </si>
  <si>
    <t>PT00654</t>
  </si>
  <si>
    <t>PT00655</t>
  </si>
  <si>
    <t>PT00656</t>
  </si>
  <si>
    <t>PT00657</t>
  </si>
  <si>
    <t>PT00658</t>
  </si>
  <si>
    <t>PT00659</t>
  </si>
  <si>
    <t>PT00660</t>
  </si>
  <si>
    <t>PT00661</t>
  </si>
  <si>
    <t>PT00662</t>
  </si>
  <si>
    <t>PT00663</t>
  </si>
  <si>
    <t>PT00664</t>
  </si>
  <si>
    <t>2025-02-23</t>
  </si>
  <si>
    <t>PT00665</t>
  </si>
  <si>
    <t>PT00666</t>
  </si>
  <si>
    <t>PT00667</t>
  </si>
  <si>
    <t>PT00668</t>
  </si>
  <si>
    <t>PT00669</t>
  </si>
  <si>
    <t>PT00670</t>
  </si>
  <si>
    <t>PT00671</t>
  </si>
  <si>
    <t>PT00672</t>
  </si>
  <si>
    <t>PT00673</t>
  </si>
  <si>
    <t>PT00674</t>
  </si>
  <si>
    <t>PT00675</t>
  </si>
  <si>
    <t>PT00676</t>
  </si>
  <si>
    <t>PT00677</t>
  </si>
  <si>
    <t>PT00678</t>
  </si>
  <si>
    <t>PT00679</t>
  </si>
  <si>
    <t>PT00680</t>
  </si>
  <si>
    <t>PT00681</t>
  </si>
  <si>
    <t>PT00682</t>
  </si>
  <si>
    <t>PT00683</t>
  </si>
  <si>
    <t>PT00684</t>
  </si>
  <si>
    <t>PT00685</t>
  </si>
  <si>
    <t>PT00686</t>
  </si>
  <si>
    <t>PT00687</t>
  </si>
  <si>
    <t>PT00688</t>
  </si>
  <si>
    <t>PT00689</t>
  </si>
  <si>
    <t>PT00690</t>
  </si>
  <si>
    <t>PT00691</t>
  </si>
  <si>
    <t>PT00692</t>
  </si>
  <si>
    <t>PT00693</t>
  </si>
  <si>
    <t>PT00694</t>
  </si>
  <si>
    <t>PT00695</t>
  </si>
  <si>
    <t>PT00696</t>
  </si>
  <si>
    <t>PT00697</t>
  </si>
  <si>
    <t>PT00698</t>
  </si>
  <si>
    <t>PT00699</t>
  </si>
  <si>
    <t>PT00700</t>
  </si>
  <si>
    <t>PT00701</t>
  </si>
  <si>
    <t>PT00702</t>
  </si>
  <si>
    <t>PT00703</t>
  </si>
  <si>
    <t>PT00704</t>
  </si>
  <si>
    <t>PT00705</t>
  </si>
  <si>
    <t>PT00706</t>
  </si>
  <si>
    <t>PT00707</t>
  </si>
  <si>
    <t>PT00708</t>
  </si>
  <si>
    <t>PT00709</t>
  </si>
  <si>
    <t>PT00710</t>
  </si>
  <si>
    <t>PT00711</t>
  </si>
  <si>
    <t>PT00712</t>
  </si>
  <si>
    <t>PT00713</t>
  </si>
  <si>
    <t>PT00714</t>
  </si>
  <si>
    <t>PT00715</t>
  </si>
  <si>
    <t>PT00716</t>
  </si>
  <si>
    <t>PT00717</t>
  </si>
  <si>
    <t>PT00718</t>
  </si>
  <si>
    <t>PT00719</t>
  </si>
  <si>
    <t>PT00720</t>
  </si>
  <si>
    <t>PT00721</t>
  </si>
  <si>
    <t>PT00722</t>
  </si>
  <si>
    <t>PT00723</t>
  </si>
  <si>
    <t>PT00724</t>
  </si>
  <si>
    <t>PT00725</t>
  </si>
  <si>
    <t>PT00726</t>
  </si>
  <si>
    <t>PT00727</t>
  </si>
  <si>
    <t>PT00728</t>
  </si>
  <si>
    <t>PT00729</t>
  </si>
  <si>
    <t>PT00730</t>
  </si>
  <si>
    <t>PT00731</t>
  </si>
  <si>
    <t>PT00732</t>
  </si>
  <si>
    <t>PT00733</t>
  </si>
  <si>
    <t>PT00734</t>
  </si>
  <si>
    <t>PT00735</t>
  </si>
  <si>
    <t>PT00736</t>
  </si>
  <si>
    <t>PT00737</t>
  </si>
  <si>
    <t>PT00738</t>
  </si>
  <si>
    <t>PT00739</t>
  </si>
  <si>
    <t>PT00740</t>
  </si>
  <si>
    <t>PT00741</t>
  </si>
  <si>
    <t>PT00742</t>
  </si>
  <si>
    <t>PT00743</t>
  </si>
  <si>
    <t>PT00744</t>
  </si>
  <si>
    <t>2025-05-15</t>
  </si>
  <si>
    <t>PT00745</t>
  </si>
  <si>
    <t>PT00746</t>
  </si>
  <si>
    <t>PT00747</t>
  </si>
  <si>
    <t>PT00748</t>
  </si>
  <si>
    <t>PT00749</t>
  </si>
  <si>
    <t>PT00750</t>
  </si>
  <si>
    <t>PT00751</t>
  </si>
  <si>
    <t>PT00752</t>
  </si>
  <si>
    <t>PT00753</t>
  </si>
  <si>
    <t>PT00754</t>
  </si>
  <si>
    <t>PT00755</t>
  </si>
  <si>
    <t>PT00756</t>
  </si>
  <si>
    <t>PT00757</t>
  </si>
  <si>
    <t>PT00758</t>
  </si>
  <si>
    <t>PT00759</t>
  </si>
  <si>
    <t>PT00760</t>
  </si>
  <si>
    <t>PT00761</t>
  </si>
  <si>
    <t>PT00762</t>
  </si>
  <si>
    <t>PT00763</t>
  </si>
  <si>
    <t>PT00764</t>
  </si>
  <si>
    <t>PT00765</t>
  </si>
  <si>
    <t>PT00766</t>
  </si>
  <si>
    <t>PT00767</t>
  </si>
  <si>
    <t>PT00768</t>
  </si>
  <si>
    <t>2025-11-27</t>
  </si>
  <si>
    <t>PT00769</t>
  </si>
  <si>
    <t>PT00770</t>
  </si>
  <si>
    <t>PT00771</t>
  </si>
  <si>
    <t>PT00772</t>
  </si>
  <si>
    <t>PT00773</t>
  </si>
  <si>
    <t>PT00774</t>
  </si>
  <si>
    <t>PT00775</t>
  </si>
  <si>
    <t>PT00776</t>
  </si>
  <si>
    <t>PT00777</t>
  </si>
  <si>
    <t>PT00778</t>
  </si>
  <si>
    <t>PT00779</t>
  </si>
  <si>
    <t>PT00780</t>
  </si>
  <si>
    <t>PT00781</t>
  </si>
  <si>
    <t>PT00782</t>
  </si>
  <si>
    <t>PT00783</t>
  </si>
  <si>
    <t>PT00784</t>
  </si>
  <si>
    <t>PT00785</t>
  </si>
  <si>
    <t>PT00786</t>
  </si>
  <si>
    <t>PT00787</t>
  </si>
  <si>
    <t>PT00788</t>
  </si>
  <si>
    <t>2025-01-07</t>
  </si>
  <si>
    <t>PT00789</t>
  </si>
  <si>
    <t>PT00790</t>
  </si>
  <si>
    <t>PT00791</t>
  </si>
  <si>
    <t>PT00792</t>
  </si>
  <si>
    <t>PT00793</t>
  </si>
  <si>
    <t>PT00794</t>
  </si>
  <si>
    <t>PT00795</t>
  </si>
  <si>
    <t>PT00796</t>
  </si>
  <si>
    <t>PT00797</t>
  </si>
  <si>
    <t>PT00798</t>
  </si>
  <si>
    <t>PT00799</t>
  </si>
  <si>
    <t>PT00800</t>
  </si>
  <si>
    <t>PT00801</t>
  </si>
  <si>
    <t>PT00802</t>
  </si>
  <si>
    <t>PT00803</t>
  </si>
  <si>
    <t>PT00804</t>
  </si>
  <si>
    <t>PT00805</t>
  </si>
  <si>
    <t>PT00806</t>
  </si>
  <si>
    <t>PT00807</t>
  </si>
  <si>
    <t>PT00808</t>
  </si>
  <si>
    <t>PT00809</t>
  </si>
  <si>
    <t>PT00810</t>
  </si>
  <si>
    <t>PT00811</t>
  </si>
  <si>
    <t>PT00812</t>
  </si>
  <si>
    <t>PT00813</t>
  </si>
  <si>
    <t>2025-12-04</t>
  </si>
  <si>
    <t>PT00814</t>
  </si>
  <si>
    <t>PT00815</t>
  </si>
  <si>
    <t>PT00816</t>
  </si>
  <si>
    <t>PT00817</t>
  </si>
  <si>
    <t>PT00818</t>
  </si>
  <si>
    <t>PT00819</t>
  </si>
  <si>
    <t>PT00820</t>
  </si>
  <si>
    <t>PT00821</t>
  </si>
  <si>
    <t>PT00822</t>
  </si>
  <si>
    <t>PT00823</t>
  </si>
  <si>
    <t>PT00824</t>
  </si>
  <si>
    <t>PT00825</t>
  </si>
  <si>
    <t>PT00826</t>
  </si>
  <si>
    <t>PT00827</t>
  </si>
  <si>
    <t>PT00828</t>
  </si>
  <si>
    <t>PT00829</t>
  </si>
  <si>
    <t>PT00830</t>
  </si>
  <si>
    <t>PT00831</t>
  </si>
  <si>
    <t>PT00832</t>
  </si>
  <si>
    <t>PT00833</t>
  </si>
  <si>
    <t>PT00834</t>
  </si>
  <si>
    <t>2025-01-15</t>
  </si>
  <si>
    <t>PT00835</t>
  </si>
  <si>
    <t>PT00836</t>
  </si>
  <si>
    <t>PT00837</t>
  </si>
  <si>
    <t>PT00838</t>
  </si>
  <si>
    <t>PT00839</t>
  </si>
  <si>
    <t>PT00840</t>
  </si>
  <si>
    <t>PT00841</t>
  </si>
  <si>
    <t>PT00842</t>
  </si>
  <si>
    <t>PT00843</t>
  </si>
  <si>
    <t>PT00844</t>
  </si>
  <si>
    <t>PT00845</t>
  </si>
  <si>
    <t>PT00846</t>
  </si>
  <si>
    <t>PT00847</t>
  </si>
  <si>
    <t>PT00848</t>
  </si>
  <si>
    <t>PT00849</t>
  </si>
  <si>
    <t>PT00850</t>
  </si>
  <si>
    <t>PT00851</t>
  </si>
  <si>
    <t>PT00852</t>
  </si>
  <si>
    <t>2025-07-26</t>
  </si>
  <si>
    <t>PT00853</t>
  </si>
  <si>
    <t>PT00854</t>
  </si>
  <si>
    <t>PT00855</t>
  </si>
  <si>
    <t>PT00856</t>
  </si>
  <si>
    <t>PT00857</t>
  </si>
  <si>
    <t>PT00858</t>
  </si>
  <si>
    <t>PT00859</t>
  </si>
  <si>
    <t>PT00860</t>
  </si>
  <si>
    <t>PT00861</t>
  </si>
  <si>
    <t>PT00862</t>
  </si>
  <si>
    <t>PT00863</t>
  </si>
  <si>
    <t>PT00864</t>
  </si>
  <si>
    <t>PT00865</t>
  </si>
  <si>
    <t>PT00866</t>
  </si>
  <si>
    <t>PT00867</t>
  </si>
  <si>
    <t>PT00868</t>
  </si>
  <si>
    <t>PT00869</t>
  </si>
  <si>
    <t>PT00870</t>
  </si>
  <si>
    <t>PT00871</t>
  </si>
  <si>
    <t>PT00872</t>
  </si>
  <si>
    <t>PT00873</t>
  </si>
  <si>
    <t>PT00874</t>
  </si>
  <si>
    <t>PT00875</t>
  </si>
  <si>
    <t>PT00876</t>
  </si>
  <si>
    <t>PT00877</t>
  </si>
  <si>
    <t>PT00878</t>
  </si>
  <si>
    <t>PT00879</t>
  </si>
  <si>
    <t>PT00880</t>
  </si>
  <si>
    <t>PT00881</t>
  </si>
  <si>
    <t>PT00882</t>
  </si>
  <si>
    <t>PT00883</t>
  </si>
  <si>
    <t>PT00884</t>
  </si>
  <si>
    <t>PT00885</t>
  </si>
  <si>
    <t>PT00886</t>
  </si>
  <si>
    <t>2026-01-05</t>
  </si>
  <si>
    <t>PT00887</t>
  </si>
  <si>
    <t>PT00888</t>
  </si>
  <si>
    <t>PT00889</t>
  </si>
  <si>
    <t>PT00890</t>
  </si>
  <si>
    <t>PT00891</t>
  </si>
  <si>
    <t>PT00892</t>
  </si>
  <si>
    <t>PT00893</t>
  </si>
  <si>
    <t>PT00894</t>
  </si>
  <si>
    <t>PT00895</t>
  </si>
  <si>
    <t>PT00896</t>
  </si>
  <si>
    <t>PT00897</t>
  </si>
  <si>
    <t>PT00898</t>
  </si>
  <si>
    <t>PT00899</t>
  </si>
  <si>
    <t>PT00900</t>
  </si>
  <si>
    <t>PT00901</t>
  </si>
  <si>
    <t>PT00902</t>
  </si>
  <si>
    <t>PT00903</t>
  </si>
  <si>
    <t>PT00904</t>
  </si>
  <si>
    <t>PT00905</t>
  </si>
  <si>
    <t>PT00906</t>
  </si>
  <si>
    <t>PT00907</t>
  </si>
  <si>
    <t>PT00908</t>
  </si>
  <si>
    <t>PT00909</t>
  </si>
  <si>
    <t>PT00910</t>
  </si>
  <si>
    <t>PT00911</t>
  </si>
  <si>
    <t>PT00912</t>
  </si>
  <si>
    <t>PT00913</t>
  </si>
  <si>
    <t>PT00914</t>
  </si>
  <si>
    <t>PT00915</t>
  </si>
  <si>
    <t>PT00916</t>
  </si>
  <si>
    <t>PT00917</t>
  </si>
  <si>
    <t>PT00918</t>
  </si>
  <si>
    <t>PT00919</t>
  </si>
  <si>
    <t>PT00920</t>
  </si>
  <si>
    <t>PT00921</t>
  </si>
  <si>
    <t>PT00922</t>
  </si>
  <si>
    <t>PT00923</t>
  </si>
  <si>
    <t>PT00924</t>
  </si>
  <si>
    <t>PT00925</t>
  </si>
  <si>
    <t>PT00926</t>
  </si>
  <si>
    <t>PT00927</t>
  </si>
  <si>
    <t>PT00928</t>
  </si>
  <si>
    <t>PT00929</t>
  </si>
  <si>
    <t>PT00930</t>
  </si>
  <si>
    <t>PT00931</t>
  </si>
  <si>
    <t>PT00932</t>
  </si>
  <si>
    <t>PT00933</t>
  </si>
  <si>
    <t>PT00934</t>
  </si>
  <si>
    <t>PT00935</t>
  </si>
  <si>
    <t>PT00936</t>
  </si>
  <si>
    <t>PT00937</t>
  </si>
  <si>
    <t>PT00938</t>
  </si>
  <si>
    <t>PT00939</t>
  </si>
  <si>
    <t>PT00940</t>
  </si>
  <si>
    <t>2025-07-13</t>
  </si>
  <si>
    <t>PT00941</t>
  </si>
  <si>
    <t>PT00942</t>
  </si>
  <si>
    <t>PT00943</t>
  </si>
  <si>
    <t>PT00944</t>
  </si>
  <si>
    <t>PT00945</t>
  </si>
  <si>
    <t>PT00946</t>
  </si>
  <si>
    <t>PT00947</t>
  </si>
  <si>
    <t>PT00948</t>
  </si>
  <si>
    <t>PT00949</t>
  </si>
  <si>
    <t>PT00950</t>
  </si>
  <si>
    <t>PT00951</t>
  </si>
  <si>
    <t>PT00952</t>
  </si>
  <si>
    <t>PT00953</t>
  </si>
  <si>
    <t>PT00954</t>
  </si>
  <si>
    <t>PT00955</t>
  </si>
  <si>
    <t>PT00956</t>
  </si>
  <si>
    <t>PT00957</t>
  </si>
  <si>
    <t>PT00958</t>
  </si>
  <si>
    <t>PT00959</t>
  </si>
  <si>
    <t>PT00960</t>
  </si>
  <si>
    <t>PT00961</t>
  </si>
  <si>
    <t>PT00962</t>
  </si>
  <si>
    <t>PT00963</t>
  </si>
  <si>
    <t>PT00964</t>
  </si>
  <si>
    <t>PT00965</t>
  </si>
  <si>
    <t>PT00966</t>
  </si>
  <si>
    <t>PT00967</t>
  </si>
  <si>
    <t>PT00968</t>
  </si>
  <si>
    <t>PT00969</t>
  </si>
  <si>
    <t>PT00970</t>
  </si>
  <si>
    <t>PT00971</t>
  </si>
  <si>
    <t>PT00972</t>
  </si>
  <si>
    <t>PT00973</t>
  </si>
  <si>
    <t>PT00974</t>
  </si>
  <si>
    <t>PT00975</t>
  </si>
  <si>
    <t>PT00976</t>
  </si>
  <si>
    <t>PT00977</t>
  </si>
  <si>
    <t>PT00978</t>
  </si>
  <si>
    <t>PT00979</t>
  </si>
  <si>
    <t>PT00980</t>
  </si>
  <si>
    <t>PT00981</t>
  </si>
  <si>
    <t>PT00982</t>
  </si>
  <si>
    <t>PT00983</t>
  </si>
  <si>
    <t>PT00984</t>
  </si>
  <si>
    <t>PT00985</t>
  </si>
  <si>
    <t>PT00986</t>
  </si>
  <si>
    <t>PT00987</t>
  </si>
  <si>
    <t>PT00988</t>
  </si>
  <si>
    <t>PT00989</t>
  </si>
  <si>
    <t>PT00990</t>
  </si>
  <si>
    <t>PT00991</t>
  </si>
  <si>
    <t>PT00992</t>
  </si>
  <si>
    <t>PT00993</t>
  </si>
  <si>
    <t>PT00994</t>
  </si>
  <si>
    <t>PT00995</t>
  </si>
  <si>
    <t>PT00996</t>
  </si>
  <si>
    <t>PT00997</t>
  </si>
  <si>
    <t>PT00998</t>
  </si>
  <si>
    <t>PT00999</t>
  </si>
  <si>
    <t>PT01000</t>
  </si>
  <si>
    <t>PT01001</t>
  </si>
  <si>
    <t>PT01002</t>
  </si>
  <si>
    <t>PT01003</t>
  </si>
  <si>
    <t>PT01004</t>
  </si>
  <si>
    <t>PT01005</t>
  </si>
  <si>
    <t>PT01006</t>
  </si>
  <si>
    <t>PT01007</t>
  </si>
  <si>
    <t>PT01008</t>
  </si>
  <si>
    <t>PT01009</t>
  </si>
  <si>
    <t>PT01010</t>
  </si>
  <si>
    <t>PT01011</t>
  </si>
  <si>
    <t>PT01012</t>
  </si>
  <si>
    <t>PT01013</t>
  </si>
  <si>
    <t>PT01014</t>
  </si>
  <si>
    <t>PT01015</t>
  </si>
  <si>
    <t>PT01016</t>
  </si>
  <si>
    <t>PT01017</t>
  </si>
  <si>
    <t>PT01018</t>
  </si>
  <si>
    <t>PT01019</t>
  </si>
  <si>
    <t>PT01020</t>
  </si>
  <si>
    <t>PT01021</t>
  </si>
  <si>
    <t>PT01022</t>
  </si>
  <si>
    <t>PT01023</t>
  </si>
  <si>
    <t>PT01024</t>
  </si>
  <si>
    <t>PT01025</t>
  </si>
  <si>
    <t>PT01026</t>
  </si>
  <si>
    <t>PT01027</t>
  </si>
  <si>
    <t>PT01028</t>
  </si>
  <si>
    <t>PT01029</t>
  </si>
  <si>
    <t>PT01030</t>
  </si>
  <si>
    <t>PT01031</t>
  </si>
  <si>
    <t>PT01032</t>
  </si>
  <si>
    <t>PT01033</t>
  </si>
  <si>
    <t>PT01034</t>
  </si>
  <si>
    <t>PT01035</t>
  </si>
  <si>
    <t>PT01036</t>
  </si>
  <si>
    <t>PT01037</t>
  </si>
  <si>
    <t>PT01038</t>
  </si>
  <si>
    <t>PT01039</t>
  </si>
  <si>
    <t>PT01040</t>
  </si>
  <si>
    <t>PT01041</t>
  </si>
  <si>
    <t>PT01042</t>
  </si>
  <si>
    <t>PT01043</t>
  </si>
  <si>
    <t>PT01044</t>
  </si>
  <si>
    <t>PT01045</t>
  </si>
  <si>
    <t>PT01046</t>
  </si>
  <si>
    <t>PT01047</t>
  </si>
  <si>
    <t>PT01048</t>
  </si>
  <si>
    <t>PT01049</t>
  </si>
  <si>
    <t>PT01050</t>
  </si>
  <si>
    <t>PT01051</t>
  </si>
  <si>
    <t>PT01052</t>
  </si>
  <si>
    <t>PT01053</t>
  </si>
  <si>
    <t>PT01054</t>
  </si>
  <si>
    <t>PT01055</t>
  </si>
  <si>
    <t>PT01056</t>
  </si>
  <si>
    <t>PT01057</t>
  </si>
  <si>
    <t>PT01058</t>
  </si>
  <si>
    <t>PT01059</t>
  </si>
  <si>
    <t>PT01060</t>
  </si>
  <si>
    <t>PT01061</t>
  </si>
  <si>
    <t>PT01062</t>
  </si>
  <si>
    <t>PT01063</t>
  </si>
  <si>
    <t>PT01064</t>
  </si>
  <si>
    <t>PT01065</t>
  </si>
  <si>
    <t>PT01066</t>
  </si>
  <si>
    <t>PT01067</t>
  </si>
  <si>
    <t>PT01068</t>
  </si>
  <si>
    <t>PT01069</t>
  </si>
  <si>
    <t>PT01070</t>
  </si>
  <si>
    <t>PT01071</t>
  </si>
  <si>
    <t>PT01072</t>
  </si>
  <si>
    <t>PT01073</t>
  </si>
  <si>
    <t>PT01074</t>
  </si>
  <si>
    <t>PT01075</t>
  </si>
  <si>
    <t>PT01076</t>
  </si>
  <si>
    <t>PT01077</t>
  </si>
  <si>
    <t>PT01078</t>
  </si>
  <si>
    <t>PT01079</t>
  </si>
  <si>
    <t>PT01080</t>
  </si>
  <si>
    <t>PT01081</t>
  </si>
  <si>
    <t>PT01082</t>
  </si>
  <si>
    <t>PT01083</t>
  </si>
  <si>
    <t>PT01084</t>
  </si>
  <si>
    <t>PT01085</t>
  </si>
  <si>
    <t>PT01086</t>
  </si>
  <si>
    <t>PT01087</t>
  </si>
  <si>
    <t>PT01088</t>
  </si>
  <si>
    <t>PT01089</t>
  </si>
  <si>
    <t>PT01090</t>
  </si>
  <si>
    <t>PT01091</t>
  </si>
  <si>
    <t>PT01092</t>
  </si>
  <si>
    <t>PT01093</t>
  </si>
  <si>
    <t>PT01094</t>
  </si>
  <si>
    <t>PT01095</t>
  </si>
  <si>
    <t>PT01096</t>
  </si>
  <si>
    <t>PT01097</t>
  </si>
  <si>
    <t>PT01098</t>
  </si>
  <si>
    <t>PT01099</t>
  </si>
  <si>
    <t>PT01100</t>
  </si>
  <si>
    <t>PT01101</t>
  </si>
  <si>
    <t>PT01102</t>
  </si>
  <si>
    <t>PT01103</t>
  </si>
  <si>
    <t>PT01104</t>
  </si>
  <si>
    <t>PT01105</t>
  </si>
  <si>
    <t>PT01106</t>
  </si>
  <si>
    <t>PT01107</t>
  </si>
  <si>
    <t>PT01108</t>
  </si>
  <si>
    <t>PT01109</t>
  </si>
  <si>
    <t>PT01110</t>
  </si>
  <si>
    <t>PT01111</t>
  </si>
  <si>
    <t>PT01112</t>
  </si>
  <si>
    <t>PT01113</t>
  </si>
  <si>
    <t>PT01114</t>
  </si>
  <si>
    <t>PT01115</t>
  </si>
  <si>
    <t>PT01116</t>
  </si>
  <si>
    <t>PT01117</t>
  </si>
  <si>
    <t>PT01118</t>
  </si>
  <si>
    <t>PT01119</t>
  </si>
  <si>
    <t>PT01120</t>
  </si>
  <si>
    <t>PT01121</t>
  </si>
  <si>
    <t>PT01122</t>
  </si>
  <si>
    <t>PT01123</t>
  </si>
  <si>
    <t>PT01124</t>
  </si>
  <si>
    <t>PT01125</t>
  </si>
  <si>
    <t>PT01126</t>
  </si>
  <si>
    <t>PT01127</t>
  </si>
  <si>
    <t>PT01128</t>
  </si>
  <si>
    <t>PT01129</t>
  </si>
  <si>
    <t>PT01130</t>
  </si>
  <si>
    <t>PT01131</t>
  </si>
  <si>
    <t>PT01132</t>
  </si>
  <si>
    <t>PT01133</t>
  </si>
  <si>
    <t>PT01134</t>
  </si>
  <si>
    <t>PT01135</t>
  </si>
  <si>
    <t>PT01136</t>
  </si>
  <si>
    <t>PT01137</t>
  </si>
  <si>
    <t>PT01138</t>
  </si>
  <si>
    <t>PT01139</t>
  </si>
  <si>
    <t>PT01140</t>
  </si>
  <si>
    <t>PT01141</t>
  </si>
  <si>
    <t>PT01142</t>
  </si>
  <si>
    <t>PT01143</t>
  </si>
  <si>
    <t>PT01144</t>
  </si>
  <si>
    <t>PT01145</t>
  </si>
  <si>
    <t>PT01146</t>
  </si>
  <si>
    <t>PT01147</t>
  </si>
  <si>
    <t>PT01148</t>
  </si>
  <si>
    <t>PT01149</t>
  </si>
  <si>
    <t>PT01150</t>
  </si>
  <si>
    <t>PT01151</t>
  </si>
  <si>
    <t>PT01152</t>
  </si>
  <si>
    <t>PT01153</t>
  </si>
  <si>
    <t>PT01154</t>
  </si>
  <si>
    <t>PT01155</t>
  </si>
  <si>
    <t>PT01156</t>
  </si>
  <si>
    <t>PT01157</t>
  </si>
  <si>
    <t>PT01158</t>
  </si>
  <si>
    <t>PT01159</t>
  </si>
  <si>
    <t>PT01160</t>
  </si>
  <si>
    <t>PT01161</t>
  </si>
  <si>
    <t>PT01162</t>
  </si>
  <si>
    <t>PT01163</t>
  </si>
  <si>
    <t>PT01164</t>
  </si>
  <si>
    <t>PT01165</t>
  </si>
  <si>
    <t>PT01166</t>
  </si>
  <si>
    <t>PT01167</t>
  </si>
  <si>
    <t>PT01168</t>
  </si>
  <si>
    <t>PT01169</t>
  </si>
  <si>
    <t>PT01170</t>
  </si>
  <si>
    <t>PT01171</t>
  </si>
  <si>
    <t>PT01172</t>
  </si>
  <si>
    <t>PT01173</t>
  </si>
  <si>
    <t>PT01174</t>
  </si>
  <si>
    <t>PT01175</t>
  </si>
  <si>
    <t>PT01176</t>
  </si>
  <si>
    <t>PT01177</t>
  </si>
  <si>
    <t>PT01178</t>
  </si>
  <si>
    <t>PT01179</t>
  </si>
  <si>
    <t>PT01180</t>
  </si>
  <si>
    <t>PT01181</t>
  </si>
  <si>
    <t>PT01182</t>
  </si>
  <si>
    <t>PT01183</t>
  </si>
  <si>
    <t>PT01184</t>
  </si>
  <si>
    <t>PT01185</t>
  </si>
  <si>
    <t>PT01186</t>
  </si>
  <si>
    <t>PT01187</t>
  </si>
  <si>
    <t>PT01188</t>
  </si>
  <si>
    <t>PT01189</t>
  </si>
  <si>
    <t>PT01190</t>
  </si>
  <si>
    <t>PT01191</t>
  </si>
  <si>
    <t>PT01192</t>
  </si>
  <si>
    <t>PT01193</t>
  </si>
  <si>
    <t>PT01194</t>
  </si>
  <si>
    <t>PT01195</t>
  </si>
  <si>
    <t>PT01196</t>
  </si>
  <si>
    <t>2025-09-26</t>
  </si>
  <si>
    <t>PT01197</t>
  </si>
  <si>
    <t>PT01198</t>
  </si>
  <si>
    <t>PT01199</t>
  </si>
  <si>
    <t>PT01200</t>
  </si>
  <si>
    <t>PT01201</t>
  </si>
  <si>
    <t>PT01202</t>
  </si>
  <si>
    <t>PT01203</t>
  </si>
  <si>
    <t>PT01204</t>
  </si>
  <si>
    <t>PT01205</t>
  </si>
  <si>
    <t>PT01206</t>
  </si>
  <si>
    <t>PT01207</t>
  </si>
  <si>
    <t>PT01208</t>
  </si>
  <si>
    <t>PT01209</t>
  </si>
  <si>
    <t>PT01210</t>
  </si>
  <si>
    <t>PT01211</t>
  </si>
  <si>
    <t>PT01212</t>
  </si>
  <si>
    <t>PT01213</t>
  </si>
  <si>
    <t>PT01214</t>
  </si>
  <si>
    <t>PT01215</t>
  </si>
  <si>
    <t>PT01216</t>
  </si>
  <si>
    <t>PT01217</t>
  </si>
  <si>
    <t>PT01218</t>
  </si>
  <si>
    <t>PT01219</t>
  </si>
  <si>
    <t>PT01220</t>
  </si>
  <si>
    <t>PT01221</t>
  </si>
  <si>
    <t>PT01222</t>
  </si>
  <si>
    <t>PT01223</t>
  </si>
  <si>
    <t>PT01224</t>
  </si>
  <si>
    <t>PT01225</t>
  </si>
  <si>
    <t>PT01226</t>
  </si>
  <si>
    <t>PT01227</t>
  </si>
  <si>
    <t>PT01228</t>
  </si>
  <si>
    <t>PT01229</t>
  </si>
  <si>
    <t>PT01230</t>
  </si>
  <si>
    <t>PT01231</t>
  </si>
  <si>
    <t>PT01232</t>
  </si>
  <si>
    <t>PT01233</t>
  </si>
  <si>
    <t>PT01234</t>
  </si>
  <si>
    <t>PT01235</t>
  </si>
  <si>
    <t>PT01236</t>
  </si>
  <si>
    <t>PT01237</t>
  </si>
  <si>
    <t>PT01238</t>
  </si>
  <si>
    <t>PT01239</t>
  </si>
  <si>
    <t>PT01240</t>
  </si>
  <si>
    <t>PT01241</t>
  </si>
  <si>
    <t>PT01242</t>
  </si>
  <si>
    <t>PT01243</t>
  </si>
  <si>
    <t>PT01244</t>
  </si>
  <si>
    <t>PT01245</t>
  </si>
  <si>
    <t>PT01246</t>
  </si>
  <si>
    <t>PT01247</t>
  </si>
  <si>
    <t>PT01248</t>
  </si>
  <si>
    <t>2025-07-22</t>
  </si>
  <si>
    <t>PT01249</t>
  </si>
  <si>
    <t>PT01250</t>
  </si>
  <si>
    <t>PT01251</t>
  </si>
  <si>
    <t>PT01252</t>
  </si>
  <si>
    <t>PT01253</t>
  </si>
  <si>
    <t>PT01254</t>
  </si>
  <si>
    <t>PT01255</t>
  </si>
  <si>
    <t>PT01256</t>
  </si>
  <si>
    <t>PT01257</t>
  </si>
  <si>
    <t>PT01258</t>
  </si>
  <si>
    <t>PT01259</t>
  </si>
  <si>
    <t>PT01260</t>
  </si>
  <si>
    <t>PT01261</t>
  </si>
  <si>
    <t>PT01262</t>
  </si>
  <si>
    <t>PT01263</t>
  </si>
  <si>
    <t>PT01264</t>
  </si>
  <si>
    <t>PT01265</t>
  </si>
  <si>
    <t>PT01266</t>
  </si>
  <si>
    <t>PT01267</t>
  </si>
  <si>
    <t>PT01268</t>
  </si>
  <si>
    <t>PT01269</t>
  </si>
  <si>
    <t>PT01270</t>
  </si>
  <si>
    <t>PT01271</t>
  </si>
  <si>
    <t>PT01272</t>
  </si>
  <si>
    <t>PT01273</t>
  </si>
  <si>
    <t>PT01274</t>
  </si>
  <si>
    <t>PT01275</t>
  </si>
  <si>
    <t>PT01276</t>
  </si>
  <si>
    <t>PT01277</t>
  </si>
  <si>
    <t>PT01278</t>
  </si>
  <si>
    <t>PT01279</t>
  </si>
  <si>
    <t>PT01280</t>
  </si>
  <si>
    <t>PT01281</t>
  </si>
  <si>
    <t>PT01282</t>
  </si>
  <si>
    <t>PT01283</t>
  </si>
  <si>
    <t>PT01284</t>
  </si>
  <si>
    <t>PT01285</t>
  </si>
  <si>
    <t>PT01286</t>
  </si>
  <si>
    <t>PT01287</t>
  </si>
  <si>
    <t>PT01288</t>
  </si>
  <si>
    <t>PT01289</t>
  </si>
  <si>
    <t>PT01290</t>
  </si>
  <si>
    <t>PT01291</t>
  </si>
  <si>
    <t>PT01292</t>
  </si>
  <si>
    <t>PT01293</t>
  </si>
  <si>
    <t>PT01294</t>
  </si>
  <si>
    <t>PT01295</t>
  </si>
  <si>
    <t>PT01296</t>
  </si>
  <si>
    <t>PT01297</t>
  </si>
  <si>
    <t>PT01298</t>
  </si>
  <si>
    <t>PT01299</t>
  </si>
  <si>
    <t>PT01300</t>
  </si>
  <si>
    <t>PT01301</t>
  </si>
  <si>
    <t>PT01302</t>
  </si>
  <si>
    <t>PT01303</t>
  </si>
  <si>
    <t>PT01304</t>
  </si>
  <si>
    <t>PT01305</t>
  </si>
  <si>
    <t>PT01306</t>
  </si>
  <si>
    <t>PT01307</t>
  </si>
  <si>
    <t>PT01308</t>
  </si>
  <si>
    <t>PT01309</t>
  </si>
  <si>
    <t>PT01310</t>
  </si>
  <si>
    <t>PT01311</t>
  </si>
  <si>
    <t>PT01312</t>
  </si>
  <si>
    <t>PT01313</t>
  </si>
  <si>
    <t>PT01314</t>
  </si>
  <si>
    <t>PT01315</t>
  </si>
  <si>
    <t>PT01316</t>
  </si>
  <si>
    <t>PT01317</t>
  </si>
  <si>
    <t>PT01318</t>
  </si>
  <si>
    <t>PT01319</t>
  </si>
  <si>
    <t>PT01320</t>
  </si>
  <si>
    <t>PT01321</t>
  </si>
  <si>
    <t>PT01322</t>
  </si>
  <si>
    <t>PT01323</t>
  </si>
  <si>
    <t>PT01324</t>
  </si>
  <si>
    <t>PT01325</t>
  </si>
  <si>
    <t>PT01326</t>
  </si>
  <si>
    <t>PT01327</t>
  </si>
  <si>
    <t>PT01328</t>
  </si>
  <si>
    <t>PT01329</t>
  </si>
  <si>
    <t>PT01330</t>
  </si>
  <si>
    <t>PT01331</t>
  </si>
  <si>
    <t>PT01332</t>
  </si>
  <si>
    <t>PT01333</t>
  </si>
  <si>
    <t>PT01334</t>
  </si>
  <si>
    <t>PT01335</t>
  </si>
  <si>
    <t>PT01336</t>
  </si>
  <si>
    <t>PT01337</t>
  </si>
  <si>
    <t>PT01338</t>
  </si>
  <si>
    <t>PT01339</t>
  </si>
  <si>
    <t>PT01340</t>
  </si>
  <si>
    <t>PT01341</t>
  </si>
  <si>
    <t>PT01342</t>
  </si>
  <si>
    <t>PT01343</t>
  </si>
  <si>
    <t>PT01344</t>
  </si>
  <si>
    <t>PT01345</t>
  </si>
  <si>
    <t>PT01346</t>
  </si>
  <si>
    <t>PT01347</t>
  </si>
  <si>
    <t>PT01348</t>
  </si>
  <si>
    <t>PT01349</t>
  </si>
  <si>
    <t>PT01350</t>
  </si>
  <si>
    <t>PT01351</t>
  </si>
  <si>
    <t>PT01352</t>
  </si>
  <si>
    <t>PT01353</t>
  </si>
  <si>
    <t>PT01354</t>
  </si>
  <si>
    <t>PT01355</t>
  </si>
  <si>
    <t>PT01356</t>
  </si>
  <si>
    <t>PT01357</t>
  </si>
  <si>
    <t>PT01358</t>
  </si>
  <si>
    <t>PT01359</t>
  </si>
  <si>
    <t>PT01360</t>
  </si>
  <si>
    <t>PT01361</t>
  </si>
  <si>
    <t>PT01362</t>
  </si>
  <si>
    <t>PT01363</t>
  </si>
  <si>
    <t>PT01364</t>
  </si>
  <si>
    <t>PT01365</t>
  </si>
  <si>
    <t>PT01366</t>
  </si>
  <si>
    <t>PT01367</t>
  </si>
  <si>
    <t>PT01368</t>
  </si>
  <si>
    <t>PT01369</t>
  </si>
  <si>
    <t>PT01370</t>
  </si>
  <si>
    <t>PT01371</t>
  </si>
  <si>
    <t>PT01372</t>
  </si>
  <si>
    <t>PT01373</t>
  </si>
  <si>
    <t>PT01374</t>
  </si>
  <si>
    <t>PT01375</t>
  </si>
  <si>
    <t>PT01376</t>
  </si>
  <si>
    <t>PT01377</t>
  </si>
  <si>
    <t>PT01378</t>
  </si>
  <si>
    <t>PT01379</t>
  </si>
  <si>
    <t>PT01380</t>
  </si>
  <si>
    <t>PT01381</t>
  </si>
  <si>
    <t>PT01382</t>
  </si>
  <si>
    <t>PT01383</t>
  </si>
  <si>
    <t>PT01384</t>
  </si>
  <si>
    <t>PT01385</t>
  </si>
  <si>
    <t>PT01386</t>
  </si>
  <si>
    <t>PT01387</t>
  </si>
  <si>
    <t>PT01388</t>
  </si>
  <si>
    <t>PT01389</t>
  </si>
  <si>
    <t>PT01390</t>
  </si>
  <si>
    <t>PT01391</t>
  </si>
  <si>
    <t>PT01392</t>
  </si>
  <si>
    <t>PT01393</t>
  </si>
  <si>
    <t>PT01394</t>
  </si>
  <si>
    <t>PT01395</t>
  </si>
  <si>
    <t>PT01396</t>
  </si>
  <si>
    <t>PT01397</t>
  </si>
  <si>
    <t>PT01398</t>
  </si>
  <si>
    <t>PT01399</t>
  </si>
  <si>
    <t>PT01400</t>
  </si>
  <si>
    <t>PT01401</t>
  </si>
  <si>
    <t>PT01402</t>
  </si>
  <si>
    <t>PT01403</t>
  </si>
  <si>
    <t>PT01404</t>
  </si>
  <si>
    <t>PT01405</t>
  </si>
  <si>
    <t>PT01406</t>
  </si>
  <si>
    <t>PT01407</t>
  </si>
  <si>
    <t>PT01408</t>
  </si>
  <si>
    <t>PT01409</t>
  </si>
  <si>
    <t>PT01410</t>
  </si>
  <si>
    <t>PT01411</t>
  </si>
  <si>
    <t>PT01412</t>
  </si>
  <si>
    <t>PT01413</t>
  </si>
  <si>
    <t>PT01414</t>
  </si>
  <si>
    <t>PT01415</t>
  </si>
  <si>
    <t>PT01416</t>
  </si>
  <si>
    <t>PT01417</t>
  </si>
  <si>
    <t>PT01418</t>
  </si>
  <si>
    <t>PT01419</t>
  </si>
  <si>
    <t>PT01420</t>
  </si>
  <si>
    <t>PT01421</t>
  </si>
  <si>
    <t>PT01422</t>
  </si>
  <si>
    <t>PT01423</t>
  </si>
  <si>
    <t>PT01424</t>
  </si>
  <si>
    <t>PT01425</t>
  </si>
  <si>
    <t>PT01426</t>
  </si>
  <si>
    <t>PT01427</t>
  </si>
  <si>
    <t>PT01428</t>
  </si>
  <si>
    <t>PT01429</t>
  </si>
  <si>
    <t>PT01430</t>
  </si>
  <si>
    <t>PT01431</t>
  </si>
  <si>
    <t>PT01432</t>
  </si>
  <si>
    <t>PT01433</t>
  </si>
  <si>
    <t>PT01434</t>
  </si>
  <si>
    <t>PT01435</t>
  </si>
  <si>
    <t>PT01436</t>
  </si>
  <si>
    <t>PT01437</t>
  </si>
  <si>
    <t>PT01438</t>
  </si>
  <si>
    <t>PT01439</t>
  </si>
  <si>
    <t>PT01440</t>
  </si>
  <si>
    <t>PT01441</t>
  </si>
  <si>
    <t>PT01442</t>
  </si>
  <si>
    <t>PT01443</t>
  </si>
  <si>
    <t>PT01444</t>
  </si>
  <si>
    <t>PT01445</t>
  </si>
  <si>
    <t>PT01446</t>
  </si>
  <si>
    <t>PT01447</t>
  </si>
  <si>
    <t>PT01448</t>
  </si>
  <si>
    <t>PT01449</t>
  </si>
  <si>
    <t>PT01450</t>
  </si>
  <si>
    <t>PT01451</t>
  </si>
  <si>
    <t>PT01452</t>
  </si>
  <si>
    <t>PT01453</t>
  </si>
  <si>
    <t>PT01454</t>
  </si>
  <si>
    <t>PT01455</t>
  </si>
  <si>
    <t>PT01456</t>
  </si>
  <si>
    <t>PT01457</t>
  </si>
  <si>
    <t>PT01458</t>
  </si>
  <si>
    <t>PT01459</t>
  </si>
  <si>
    <t>PT01460</t>
  </si>
  <si>
    <t>PT01461</t>
  </si>
  <si>
    <t>PT01462</t>
  </si>
  <si>
    <t>PT01463</t>
  </si>
  <si>
    <t>PT01464</t>
  </si>
  <si>
    <t>PT01465</t>
  </si>
  <si>
    <t>PT01466</t>
  </si>
  <si>
    <t>PT01467</t>
  </si>
  <si>
    <t>PT01468</t>
  </si>
  <si>
    <t>PT01469</t>
  </si>
  <si>
    <t>PT01470</t>
  </si>
  <si>
    <t>PT01471</t>
  </si>
  <si>
    <t>PT01472</t>
  </si>
  <si>
    <t>PT01473</t>
  </si>
  <si>
    <t>PT01474</t>
  </si>
  <si>
    <t>PT01475</t>
  </si>
  <si>
    <t>PT01476</t>
  </si>
  <si>
    <t>PT01477</t>
  </si>
  <si>
    <t>PT01478</t>
  </si>
  <si>
    <t>PT01479</t>
  </si>
  <si>
    <t>PT01480</t>
  </si>
  <si>
    <t>PT01481</t>
  </si>
  <si>
    <t>PT01482</t>
  </si>
  <si>
    <t>PT01483</t>
  </si>
  <si>
    <t>PT01484</t>
  </si>
  <si>
    <t>PT01485</t>
  </si>
  <si>
    <t>PT01486</t>
  </si>
  <si>
    <t>PT01487</t>
  </si>
  <si>
    <t>PT01488</t>
  </si>
  <si>
    <t>PT01489</t>
  </si>
  <si>
    <t>PT01490</t>
  </si>
  <si>
    <t>PT01491</t>
  </si>
  <si>
    <t>PT01492</t>
  </si>
  <si>
    <t>PT01493</t>
  </si>
  <si>
    <t>PT01494</t>
  </si>
  <si>
    <t>PT01495</t>
  </si>
  <si>
    <t>PT01496</t>
  </si>
  <si>
    <t>PT01497</t>
  </si>
  <si>
    <t>PT01498</t>
  </si>
  <si>
    <t>PT01499</t>
  </si>
  <si>
    <t>PT01500</t>
  </si>
  <si>
    <t>PT01501</t>
  </si>
  <si>
    <t>PT01502</t>
  </si>
  <si>
    <t>PT01503</t>
  </si>
  <si>
    <t>PT01504</t>
  </si>
  <si>
    <t>PT01505</t>
  </si>
  <si>
    <t>PT01506</t>
  </si>
  <si>
    <t>PT01507</t>
  </si>
  <si>
    <t>PT01508</t>
  </si>
  <si>
    <t>PT01509</t>
  </si>
  <si>
    <t>PT01510</t>
  </si>
  <si>
    <t>PT01511</t>
  </si>
  <si>
    <t>PT01512</t>
  </si>
  <si>
    <t>PT01513</t>
  </si>
  <si>
    <t>PT01514</t>
  </si>
  <si>
    <t>PT01515</t>
  </si>
  <si>
    <t>PT01516</t>
  </si>
  <si>
    <t>PT01517</t>
  </si>
  <si>
    <t>PT01518</t>
  </si>
  <si>
    <t>PT01519</t>
  </si>
  <si>
    <t>PT01520</t>
  </si>
  <si>
    <t>PT01521</t>
  </si>
  <si>
    <t>PT01522</t>
  </si>
  <si>
    <t>PT01523</t>
  </si>
  <si>
    <t>PT01524</t>
  </si>
  <si>
    <t>PT01525</t>
  </si>
  <si>
    <t>PT01526</t>
  </si>
  <si>
    <t>PT01527</t>
  </si>
  <si>
    <t>PT01528</t>
  </si>
  <si>
    <t>PT01529</t>
  </si>
  <si>
    <t>PT01530</t>
  </si>
  <si>
    <t>PT01531</t>
  </si>
  <si>
    <t>PT01532</t>
  </si>
  <si>
    <t>PT01533</t>
  </si>
  <si>
    <t>PT01534</t>
  </si>
  <si>
    <t>PT01535</t>
  </si>
  <si>
    <t>PT01536</t>
  </si>
  <si>
    <t>PT01537</t>
  </si>
  <si>
    <t>PT01538</t>
  </si>
  <si>
    <t>PT01539</t>
  </si>
  <si>
    <t>PT01540</t>
  </si>
  <si>
    <t>PT01541</t>
  </si>
  <si>
    <t>PT01542</t>
  </si>
  <si>
    <t>PT01543</t>
  </si>
  <si>
    <t>PT01544</t>
  </si>
  <si>
    <t>PT01545</t>
  </si>
  <si>
    <t>PT01546</t>
  </si>
  <si>
    <t>PT01547</t>
  </si>
  <si>
    <t>PT01548</t>
  </si>
  <si>
    <t>PT01549</t>
  </si>
  <si>
    <t>PT01550</t>
  </si>
  <si>
    <t>PT01551</t>
  </si>
  <si>
    <t>PT01552</t>
  </si>
  <si>
    <t>PT01553</t>
  </si>
  <si>
    <t>PT01554</t>
  </si>
  <si>
    <t>PT01555</t>
  </si>
  <si>
    <t>PT01556</t>
  </si>
  <si>
    <t>PT01557</t>
  </si>
  <si>
    <t>PT01558</t>
  </si>
  <si>
    <t>PT01559</t>
  </si>
  <si>
    <t>PT01560</t>
  </si>
  <si>
    <t>PT01561</t>
  </si>
  <si>
    <t>PT01562</t>
  </si>
  <si>
    <t>PT01563</t>
  </si>
  <si>
    <t>PT01564</t>
  </si>
  <si>
    <t>PT01565</t>
  </si>
  <si>
    <t>PT01566</t>
  </si>
  <si>
    <t>PT01567</t>
  </si>
  <si>
    <t>PT01568</t>
  </si>
  <si>
    <t>PT01569</t>
  </si>
  <si>
    <t>PT01570</t>
  </si>
  <si>
    <t>PT01571</t>
  </si>
  <si>
    <t>PT01572</t>
  </si>
  <si>
    <t>PT01573</t>
  </si>
  <si>
    <t>PT01574</t>
  </si>
  <si>
    <t>PT01575</t>
  </si>
  <si>
    <t>PT01576</t>
  </si>
  <si>
    <t>PT01577</t>
  </si>
  <si>
    <t>PT01578</t>
  </si>
  <si>
    <t>PT01579</t>
  </si>
  <si>
    <t>PT01580</t>
  </si>
  <si>
    <t>PT01581</t>
  </si>
  <si>
    <t>PT01582</t>
  </si>
  <si>
    <t>PT01583</t>
  </si>
  <si>
    <t>PT01584</t>
  </si>
  <si>
    <t>PT01585</t>
  </si>
  <si>
    <t>PT01586</t>
  </si>
  <si>
    <t>PT01587</t>
  </si>
  <si>
    <t>PT01588</t>
  </si>
  <si>
    <t>PT01589</t>
  </si>
  <si>
    <t>PT01590</t>
  </si>
  <si>
    <t>PT01591</t>
  </si>
  <si>
    <t>PT01592</t>
  </si>
  <si>
    <t>PT01593</t>
  </si>
  <si>
    <t>PT01594</t>
  </si>
  <si>
    <t>PT01595</t>
  </si>
  <si>
    <t>PT01596</t>
  </si>
  <si>
    <t>PT01597</t>
  </si>
  <si>
    <t>PT01598</t>
  </si>
  <si>
    <t>PT01599</t>
  </si>
  <si>
    <t>PT01600</t>
  </si>
  <si>
    <t>PT01601</t>
  </si>
  <si>
    <t>PT01602</t>
  </si>
  <si>
    <t>PT01603</t>
  </si>
  <si>
    <t>PT01604</t>
  </si>
  <si>
    <t>PT01605</t>
  </si>
  <si>
    <t>PT01606</t>
  </si>
  <si>
    <t>PT01607</t>
  </si>
  <si>
    <t>PT01608</t>
  </si>
  <si>
    <t>PT01609</t>
  </si>
  <si>
    <t>PT01610</t>
  </si>
  <si>
    <t>PT01611</t>
  </si>
  <si>
    <t>PT01612</t>
  </si>
  <si>
    <t>PT01613</t>
  </si>
  <si>
    <t>PT01614</t>
  </si>
  <si>
    <t>PT01615</t>
  </si>
  <si>
    <t>PT01616</t>
  </si>
  <si>
    <t>PT01617</t>
  </si>
  <si>
    <t>PT01618</t>
  </si>
  <si>
    <t>PT01619</t>
  </si>
  <si>
    <t>PT01620</t>
  </si>
  <si>
    <t>PT01621</t>
  </si>
  <si>
    <t>PT01622</t>
  </si>
  <si>
    <t>PT01623</t>
  </si>
  <si>
    <t>PT01624</t>
  </si>
  <si>
    <t>PT01625</t>
  </si>
  <si>
    <t>PT01626</t>
  </si>
  <si>
    <t>PT01627</t>
  </si>
  <si>
    <t>PT01628</t>
  </si>
  <si>
    <t>PT01629</t>
  </si>
  <si>
    <t>PT01630</t>
  </si>
  <si>
    <t>PT01631</t>
  </si>
  <si>
    <t>PT01632</t>
  </si>
  <si>
    <t>PT01633</t>
  </si>
  <si>
    <t>PT01634</t>
  </si>
  <si>
    <t>PT01635</t>
  </si>
  <si>
    <t>PT01636</t>
  </si>
  <si>
    <t>PT01637</t>
  </si>
  <si>
    <t>PT01638</t>
  </si>
  <si>
    <t>PT01639</t>
  </si>
  <si>
    <t>PT01640</t>
  </si>
  <si>
    <t>PT01641</t>
  </si>
  <si>
    <t>PT01642</t>
  </si>
  <si>
    <t>PT01643</t>
  </si>
  <si>
    <t>PT01644</t>
  </si>
  <si>
    <t>PT01645</t>
  </si>
  <si>
    <t>PT01646</t>
  </si>
  <si>
    <t>PT01647</t>
  </si>
  <si>
    <t>PT01648</t>
  </si>
  <si>
    <t>PT01649</t>
  </si>
  <si>
    <t>PT01650</t>
  </si>
  <si>
    <t>PT01651</t>
  </si>
  <si>
    <t>PT01652</t>
  </si>
  <si>
    <t>PT01653</t>
  </si>
  <si>
    <t>PT01654</t>
  </si>
  <si>
    <t>PT01655</t>
  </si>
  <si>
    <t>PT01656</t>
  </si>
  <si>
    <t>PT01657</t>
  </si>
  <si>
    <t>PT01658</t>
  </si>
  <si>
    <t>PT01659</t>
  </si>
  <si>
    <t>PT01660</t>
  </si>
  <si>
    <t>PT01661</t>
  </si>
  <si>
    <t>PT01662</t>
  </si>
  <si>
    <t>PT01663</t>
  </si>
  <si>
    <t>PT01664</t>
  </si>
  <si>
    <t>PT01665</t>
  </si>
  <si>
    <t>PT01666</t>
  </si>
  <si>
    <t>PT01667</t>
  </si>
  <si>
    <t>PT01668</t>
  </si>
  <si>
    <t>PT01669</t>
  </si>
  <si>
    <t>PT01670</t>
  </si>
  <si>
    <t>PT01671</t>
  </si>
  <si>
    <t>PT01672</t>
  </si>
  <si>
    <t>PT01673</t>
  </si>
  <si>
    <t>PT01674</t>
  </si>
  <si>
    <t>PT01675</t>
  </si>
  <si>
    <t>PT01676</t>
  </si>
  <si>
    <t>PT01677</t>
  </si>
  <si>
    <t>PT01678</t>
  </si>
  <si>
    <t>PT01679</t>
  </si>
  <si>
    <t>PT01680</t>
  </si>
  <si>
    <t>PT01681</t>
  </si>
  <si>
    <t>PT01682</t>
  </si>
  <si>
    <t>PT01683</t>
  </si>
  <si>
    <t>PT01684</t>
  </si>
  <si>
    <t>PT01685</t>
  </si>
  <si>
    <t>PT01686</t>
  </si>
  <si>
    <t>PT01687</t>
  </si>
  <si>
    <t>PT01688</t>
  </si>
  <si>
    <t>PT01689</t>
  </si>
  <si>
    <t>PT01690</t>
  </si>
  <si>
    <t>PT01691</t>
  </si>
  <si>
    <t>PT01692</t>
  </si>
  <si>
    <t>PT01693</t>
  </si>
  <si>
    <t>PT01694</t>
  </si>
  <si>
    <t>PT01695</t>
  </si>
  <si>
    <t>PT01696</t>
  </si>
  <si>
    <t>PT01697</t>
  </si>
  <si>
    <t>PT01698</t>
  </si>
  <si>
    <t>PT01699</t>
  </si>
  <si>
    <t>PT01700</t>
  </si>
  <si>
    <t>PT01701</t>
  </si>
  <si>
    <t>PT01702</t>
  </si>
  <si>
    <t>PT01703</t>
  </si>
  <si>
    <t>PT01704</t>
  </si>
  <si>
    <t>PT01705</t>
  </si>
  <si>
    <t>PT01706</t>
  </si>
  <si>
    <t>PT01707</t>
  </si>
  <si>
    <t>PT01708</t>
  </si>
  <si>
    <t>PT01709</t>
  </si>
  <si>
    <t>PT01710</t>
  </si>
  <si>
    <t>PT01711</t>
  </si>
  <si>
    <t>PT01712</t>
  </si>
  <si>
    <t>PT01713</t>
  </si>
  <si>
    <t>PT01714</t>
  </si>
  <si>
    <t>PT01715</t>
  </si>
  <si>
    <t>PT01716</t>
  </si>
  <si>
    <t>PT01717</t>
  </si>
  <si>
    <t>PT01718</t>
  </si>
  <si>
    <t>PT01719</t>
  </si>
  <si>
    <t>PT01720</t>
  </si>
  <si>
    <t>PT01721</t>
  </si>
  <si>
    <t>PT01722</t>
  </si>
  <si>
    <t>PT01723</t>
  </si>
  <si>
    <t>PT01724</t>
  </si>
  <si>
    <t>PT01725</t>
  </si>
  <si>
    <t>PT01726</t>
  </si>
  <si>
    <t>PT01727</t>
  </si>
  <si>
    <t>PT01728</t>
  </si>
  <si>
    <t>PT01729</t>
  </si>
  <si>
    <t>PT01730</t>
  </si>
  <si>
    <t>PT01731</t>
  </si>
  <si>
    <t>PT01732</t>
  </si>
  <si>
    <t>PT01733</t>
  </si>
  <si>
    <t>PT01734</t>
  </si>
  <si>
    <t>PT01735</t>
  </si>
  <si>
    <t>PT01736</t>
  </si>
  <si>
    <t>PT01737</t>
  </si>
  <si>
    <t>PT01738</t>
  </si>
  <si>
    <t>PT01739</t>
  </si>
  <si>
    <t>PT01740</t>
  </si>
  <si>
    <t>PT01741</t>
  </si>
  <si>
    <t>PT01742</t>
  </si>
  <si>
    <t>PT01743</t>
  </si>
  <si>
    <t>PT01744</t>
  </si>
  <si>
    <t>PT01745</t>
  </si>
  <si>
    <t>PT01746</t>
  </si>
  <si>
    <t>PT01747</t>
  </si>
  <si>
    <t>PT01748</t>
  </si>
  <si>
    <t>PT01749</t>
  </si>
  <si>
    <t>PT01750</t>
  </si>
  <si>
    <t>PT01751</t>
  </si>
  <si>
    <t>PT01752</t>
  </si>
  <si>
    <t>PT01753</t>
  </si>
  <si>
    <t>PT01754</t>
  </si>
  <si>
    <t>PT01755</t>
  </si>
  <si>
    <t>PT01756</t>
  </si>
  <si>
    <t>PT01757</t>
  </si>
  <si>
    <t>PT01758</t>
  </si>
  <si>
    <t>PT01759</t>
  </si>
  <si>
    <t>PT01760</t>
  </si>
  <si>
    <t>PT01761</t>
  </si>
  <si>
    <t>PT01762</t>
  </si>
  <si>
    <t>PT01763</t>
  </si>
  <si>
    <t>PT01764</t>
  </si>
  <si>
    <t>PT01765</t>
  </si>
  <si>
    <t>PT01766</t>
  </si>
  <si>
    <t>PT01767</t>
  </si>
  <si>
    <t>PT01768</t>
  </si>
  <si>
    <t>PT01769</t>
  </si>
  <si>
    <t>PT01770</t>
  </si>
  <si>
    <t>PT01771</t>
  </si>
  <si>
    <t>PT01772</t>
  </si>
  <si>
    <t>PT01773</t>
  </si>
  <si>
    <t>PT01774</t>
  </si>
  <si>
    <t>PT01775</t>
  </si>
  <si>
    <t>PT01776</t>
  </si>
  <si>
    <t>PT01777</t>
  </si>
  <si>
    <t>PT01778</t>
  </si>
  <si>
    <t>PT01779</t>
  </si>
  <si>
    <t>PT01780</t>
  </si>
  <si>
    <t>PT01781</t>
  </si>
  <si>
    <t>PT01782</t>
  </si>
  <si>
    <t>PT01783</t>
  </si>
  <si>
    <t>PT01784</t>
  </si>
  <si>
    <t>PT01785</t>
  </si>
  <si>
    <t>PT01786</t>
  </si>
  <si>
    <t>PT01787</t>
  </si>
  <si>
    <t>PT01788</t>
  </si>
  <si>
    <t>PT01789</t>
  </si>
  <si>
    <t>PT01790</t>
  </si>
  <si>
    <t>PT01791</t>
  </si>
  <si>
    <t>PT01792</t>
  </si>
  <si>
    <t>PT01793</t>
  </si>
  <si>
    <t>PT01794</t>
  </si>
  <si>
    <t>PT01795</t>
  </si>
  <si>
    <t>PT01796</t>
  </si>
  <si>
    <t>PT01797</t>
  </si>
  <si>
    <t>PT01798</t>
  </si>
  <si>
    <t>PT01799</t>
  </si>
  <si>
    <t>PT01800</t>
  </si>
  <si>
    <t>PT01801</t>
  </si>
  <si>
    <t>PT01802</t>
  </si>
  <si>
    <t>PT01803</t>
  </si>
  <si>
    <t>PT01804</t>
  </si>
  <si>
    <t>PT01805</t>
  </si>
  <si>
    <t>PT01806</t>
  </si>
  <si>
    <t>PT01807</t>
  </si>
  <si>
    <t>PT01808</t>
  </si>
  <si>
    <t>PT01809</t>
  </si>
  <si>
    <t>PT01810</t>
  </si>
  <si>
    <t>PT01811</t>
  </si>
  <si>
    <t>PT01812</t>
  </si>
  <si>
    <t>PT01813</t>
  </si>
  <si>
    <t>PT01814</t>
  </si>
  <si>
    <t>PT01815</t>
  </si>
  <si>
    <t>PT01816</t>
  </si>
  <si>
    <t>PT01817</t>
  </si>
  <si>
    <t>PT01818</t>
  </si>
  <si>
    <t>PT01819</t>
  </si>
  <si>
    <t>PT01820</t>
  </si>
  <si>
    <t>PT01821</t>
  </si>
  <si>
    <t>PT01822</t>
  </si>
  <si>
    <t>PT01823</t>
  </si>
  <si>
    <t>PT01824</t>
  </si>
  <si>
    <t>PT01825</t>
  </si>
  <si>
    <t>PT01826</t>
  </si>
  <si>
    <t>PT01827</t>
  </si>
  <si>
    <t>PT01828</t>
  </si>
  <si>
    <t>PT01829</t>
  </si>
  <si>
    <t>PT01830</t>
  </si>
  <si>
    <t>PT01831</t>
  </si>
  <si>
    <t>PT01832</t>
  </si>
  <si>
    <t>PT01833</t>
  </si>
  <si>
    <t>PT01834</t>
  </si>
  <si>
    <t>PT01835</t>
  </si>
  <si>
    <t>PT01836</t>
  </si>
  <si>
    <t>PT01837</t>
  </si>
  <si>
    <t>PT01838</t>
  </si>
  <si>
    <t>PT01839</t>
  </si>
  <si>
    <t>PT01840</t>
  </si>
  <si>
    <t>PT01841</t>
  </si>
  <si>
    <t>PT01842</t>
  </si>
  <si>
    <t>PT01843</t>
  </si>
  <si>
    <t>PT01844</t>
  </si>
  <si>
    <t>PT01845</t>
  </si>
  <si>
    <t>PT01846</t>
  </si>
  <si>
    <t>PT01847</t>
  </si>
  <si>
    <t>PT01848</t>
  </si>
  <si>
    <t>PT01849</t>
  </si>
  <si>
    <t>PT01850</t>
  </si>
  <si>
    <t>PT01851</t>
  </si>
  <si>
    <t>PT01852</t>
  </si>
  <si>
    <t>PT01853</t>
  </si>
  <si>
    <t>PT01854</t>
  </si>
  <si>
    <t>PT01855</t>
  </si>
  <si>
    <t>PT01856</t>
  </si>
  <si>
    <t>PT01857</t>
  </si>
  <si>
    <t>PT01858</t>
  </si>
  <si>
    <t>PT01859</t>
  </si>
  <si>
    <t>PT01860</t>
  </si>
  <si>
    <t>PT01861</t>
  </si>
  <si>
    <t>PT01862</t>
  </si>
  <si>
    <t>PT01863</t>
  </si>
  <si>
    <t>PT01864</t>
  </si>
  <si>
    <t>PT01865</t>
  </si>
  <si>
    <t>PT01866</t>
  </si>
  <si>
    <t>PT01867</t>
  </si>
  <si>
    <t>PT01868</t>
  </si>
  <si>
    <t>PT01869</t>
  </si>
  <si>
    <t>PT01870</t>
  </si>
  <si>
    <t>PT01871</t>
  </si>
  <si>
    <t>PT01872</t>
  </si>
  <si>
    <t>PT01873</t>
  </si>
  <si>
    <t>PT01874</t>
  </si>
  <si>
    <t>PT01875</t>
  </si>
  <si>
    <t>PT01876</t>
  </si>
  <si>
    <t>PT01877</t>
  </si>
  <si>
    <t>PT01878</t>
  </si>
  <si>
    <t>PT01879</t>
  </si>
  <si>
    <t>PT01880</t>
  </si>
  <si>
    <t>PT01881</t>
  </si>
  <si>
    <t>PT01882</t>
  </si>
  <si>
    <t>PT01883</t>
  </si>
  <si>
    <t>PT01884</t>
  </si>
  <si>
    <t>PT01885</t>
  </si>
  <si>
    <t>PT01886</t>
  </si>
  <si>
    <t>PT01887</t>
  </si>
  <si>
    <t>PT01888</t>
  </si>
  <si>
    <t>PT01889</t>
  </si>
  <si>
    <t>PT01890</t>
  </si>
  <si>
    <t>PT01891</t>
  </si>
  <si>
    <t>PT01892</t>
  </si>
  <si>
    <t>PT01893</t>
  </si>
  <si>
    <t>PT01894</t>
  </si>
  <si>
    <t>PT01895</t>
  </si>
  <si>
    <t>PT01896</t>
  </si>
  <si>
    <t>PT01897</t>
  </si>
  <si>
    <t>PT01898</t>
  </si>
  <si>
    <t>PT01899</t>
  </si>
  <si>
    <t>PT01900</t>
  </si>
  <si>
    <t>PT01901</t>
  </si>
  <si>
    <t>PT01902</t>
  </si>
  <si>
    <t>PT01903</t>
  </si>
  <si>
    <t>PT01904</t>
  </si>
  <si>
    <t>PT01905</t>
  </si>
  <si>
    <t>PT01906</t>
  </si>
  <si>
    <t>PT01907</t>
  </si>
  <si>
    <t>PT01908</t>
  </si>
  <si>
    <t>PT01909</t>
  </si>
  <si>
    <t>PT01910</t>
  </si>
  <si>
    <t>PT01911</t>
  </si>
  <si>
    <t>PT01912</t>
  </si>
  <si>
    <t>PT01913</t>
  </si>
  <si>
    <t>PT01914</t>
  </si>
  <si>
    <t>PT01915</t>
  </si>
  <si>
    <t>PT01916</t>
  </si>
  <si>
    <t>PT01917</t>
  </si>
  <si>
    <t>PT01918</t>
  </si>
  <si>
    <t>PT01919</t>
  </si>
  <si>
    <t>PT01920</t>
  </si>
  <si>
    <t>PT01921</t>
  </si>
  <si>
    <t>PT01922</t>
  </si>
  <si>
    <t>PT01923</t>
  </si>
  <si>
    <t>PT01924</t>
  </si>
  <si>
    <t>PT01925</t>
  </si>
  <si>
    <t>PT01926</t>
  </si>
  <si>
    <t>PT01927</t>
  </si>
  <si>
    <t>PT01928</t>
  </si>
  <si>
    <t>PT01929</t>
  </si>
  <si>
    <t>PT01930</t>
  </si>
  <si>
    <t>PT01931</t>
  </si>
  <si>
    <t>PT01932</t>
  </si>
  <si>
    <t>PT01933</t>
  </si>
  <si>
    <t>PT01934</t>
  </si>
  <si>
    <t>PT01935</t>
  </si>
  <si>
    <t>PT01936</t>
  </si>
  <si>
    <t>PT01937</t>
  </si>
  <si>
    <t>PT01938</t>
  </si>
  <si>
    <t>PT01939</t>
  </si>
  <si>
    <t>PT01940</t>
  </si>
  <si>
    <t>PT01941</t>
  </si>
  <si>
    <t>PT01942</t>
  </si>
  <si>
    <t>PT01943</t>
  </si>
  <si>
    <t>PT01944</t>
  </si>
  <si>
    <t>PT01945</t>
  </si>
  <si>
    <t>PT01946</t>
  </si>
  <si>
    <t>PT01947</t>
  </si>
  <si>
    <t>PT01948</t>
  </si>
  <si>
    <t>PT01949</t>
  </si>
  <si>
    <t>PT01950</t>
  </si>
  <si>
    <t>PT01951</t>
  </si>
  <si>
    <t>PT01952</t>
  </si>
  <si>
    <t>PT01953</t>
  </si>
  <si>
    <t>PT01954</t>
  </si>
  <si>
    <t>PT01955</t>
  </si>
  <si>
    <t>PT01956</t>
  </si>
  <si>
    <t>PT01957</t>
  </si>
  <si>
    <t>PT01958</t>
  </si>
  <si>
    <t>PT01959</t>
  </si>
  <si>
    <t>PT01960</t>
  </si>
  <si>
    <t>PT01961</t>
  </si>
  <si>
    <t>PT01962</t>
  </si>
  <si>
    <t>PT01963</t>
  </si>
  <si>
    <t>PT01964</t>
  </si>
  <si>
    <t>PT01965</t>
  </si>
  <si>
    <t>PT01966</t>
  </si>
  <si>
    <t>PT01967</t>
  </si>
  <si>
    <t>PT01968</t>
  </si>
  <si>
    <t>PT01969</t>
  </si>
  <si>
    <t>PT01970</t>
  </si>
  <si>
    <t>PT01971</t>
  </si>
  <si>
    <t>PT01972</t>
  </si>
  <si>
    <t>PT01973</t>
  </si>
  <si>
    <t>PT01974</t>
  </si>
  <si>
    <t>PT01975</t>
  </si>
  <si>
    <t>PT01976</t>
  </si>
  <si>
    <t>PT01977</t>
  </si>
  <si>
    <t>PT01978</t>
  </si>
  <si>
    <t>PT01979</t>
  </si>
  <si>
    <t>PT01980</t>
  </si>
  <si>
    <t>PT01981</t>
  </si>
  <si>
    <t>PT01982</t>
  </si>
  <si>
    <t>PT01983</t>
  </si>
  <si>
    <t>PT01984</t>
  </si>
  <si>
    <t>PT01985</t>
  </si>
  <si>
    <t>PT01986</t>
  </si>
  <si>
    <t>PT01987</t>
  </si>
  <si>
    <t>PT01988</t>
  </si>
  <si>
    <t>PT01989</t>
  </si>
  <si>
    <t>PT01990</t>
  </si>
  <si>
    <t>PT01991</t>
  </si>
  <si>
    <t>PT01992</t>
  </si>
  <si>
    <t>PT01993</t>
  </si>
  <si>
    <t>PT01994</t>
  </si>
  <si>
    <t>PT01995</t>
  </si>
  <si>
    <t>PT01996</t>
  </si>
  <si>
    <t>PT01997</t>
  </si>
  <si>
    <t>PT01998</t>
  </si>
  <si>
    <t>PT01999</t>
  </si>
  <si>
    <t>PT02000</t>
  </si>
  <si>
    <t>PT02001</t>
  </si>
  <si>
    <t>PT02002</t>
  </si>
  <si>
    <t>PT02003</t>
  </si>
  <si>
    <t>PT02004</t>
  </si>
  <si>
    <t>PT02005</t>
  </si>
  <si>
    <t>PT02006</t>
  </si>
  <si>
    <t>PT02007</t>
  </si>
  <si>
    <t>PT02008</t>
  </si>
  <si>
    <t>PT02009</t>
  </si>
  <si>
    <t>PT02010</t>
  </si>
  <si>
    <t>PT02011</t>
  </si>
  <si>
    <t>PT02012</t>
  </si>
  <si>
    <t>PT02013</t>
  </si>
  <si>
    <t>PT02014</t>
  </si>
  <si>
    <t>PT02015</t>
  </si>
  <si>
    <t>PT02016</t>
  </si>
  <si>
    <t>PT02017</t>
  </si>
  <si>
    <t>PT02018</t>
  </si>
  <si>
    <t>PT02019</t>
  </si>
  <si>
    <t>PT02020</t>
  </si>
  <si>
    <t>PT02021</t>
  </si>
  <si>
    <t>PT02022</t>
  </si>
  <si>
    <t>PT02023</t>
  </si>
  <si>
    <t>PT02024</t>
  </si>
  <si>
    <t>PT02025</t>
  </si>
  <si>
    <t>PT02026</t>
  </si>
  <si>
    <t>PT02027</t>
  </si>
  <si>
    <t>PT02028</t>
  </si>
  <si>
    <t>PT02029</t>
  </si>
  <si>
    <t>PT02030</t>
  </si>
  <si>
    <t>PT02031</t>
  </si>
  <si>
    <t>PT02032</t>
  </si>
  <si>
    <t>PT02033</t>
  </si>
  <si>
    <t>PT02034</t>
  </si>
  <si>
    <t>PT02035</t>
  </si>
  <si>
    <t>PT02036</t>
  </si>
  <si>
    <t>PT02037</t>
  </si>
  <si>
    <t>PT02038</t>
  </si>
  <si>
    <t>PT02039</t>
  </si>
  <si>
    <t>PT02040</t>
  </si>
  <si>
    <t>PT02041</t>
  </si>
  <si>
    <t>PT02042</t>
  </si>
  <si>
    <t>PT02043</t>
  </si>
  <si>
    <t>PT02044</t>
  </si>
  <si>
    <t>PT02045</t>
  </si>
  <si>
    <t>PT02046</t>
  </si>
  <si>
    <t>PT02047</t>
  </si>
  <si>
    <t>PT02048</t>
  </si>
  <si>
    <t>PT02049</t>
  </si>
  <si>
    <t>PT02050</t>
  </si>
  <si>
    <t>PT02051</t>
  </si>
  <si>
    <t>PT02052</t>
  </si>
  <si>
    <t>PT02053</t>
  </si>
  <si>
    <t>PT02054</t>
  </si>
  <si>
    <t>PT02055</t>
  </si>
  <si>
    <t>PT02056</t>
  </si>
  <si>
    <t>PT02057</t>
  </si>
  <si>
    <t>PT02058</t>
  </si>
  <si>
    <t>PT02059</t>
  </si>
  <si>
    <t>PT02060</t>
  </si>
  <si>
    <t>PT02061</t>
  </si>
  <si>
    <t>PT02062</t>
  </si>
  <si>
    <t>PT02063</t>
  </si>
  <si>
    <t>PT02064</t>
  </si>
  <si>
    <t>PT02065</t>
  </si>
  <si>
    <t>PT02066</t>
  </si>
  <si>
    <t>PT02067</t>
  </si>
  <si>
    <t>PT02068</t>
  </si>
  <si>
    <t>PT02069</t>
  </si>
  <si>
    <t>PT02070</t>
  </si>
  <si>
    <t>PT02071</t>
  </si>
  <si>
    <t>PT02072</t>
  </si>
  <si>
    <t>PT02073</t>
  </si>
  <si>
    <t>PT02074</t>
  </si>
  <si>
    <t>PT02075</t>
  </si>
  <si>
    <t>PT02076</t>
  </si>
  <si>
    <t>PT02077</t>
  </si>
  <si>
    <t>PT02078</t>
  </si>
  <si>
    <t>PT02079</t>
  </si>
  <si>
    <t>PT02080</t>
  </si>
  <si>
    <t>PT02081</t>
  </si>
  <si>
    <t>PT02082</t>
  </si>
  <si>
    <t>PT02083</t>
  </si>
  <si>
    <t>PT02084</t>
  </si>
  <si>
    <t>PT02085</t>
  </si>
  <si>
    <t>PT02086</t>
  </si>
  <si>
    <t>PT02087</t>
  </si>
  <si>
    <t>PT02088</t>
  </si>
  <si>
    <t>PT02089</t>
  </si>
  <si>
    <t>PT02090</t>
  </si>
  <si>
    <t>PT02091</t>
  </si>
  <si>
    <t>PT02092</t>
  </si>
  <si>
    <t>PT02093</t>
  </si>
  <si>
    <t>PT02094</t>
  </si>
  <si>
    <t>PT02095</t>
  </si>
  <si>
    <t>PT02096</t>
  </si>
  <si>
    <t>PT02097</t>
  </si>
  <si>
    <t>PT02098</t>
  </si>
  <si>
    <t>PT02099</t>
  </si>
  <si>
    <t>PT02100</t>
  </si>
  <si>
    <t>PT02101</t>
  </si>
  <si>
    <t>PT02102</t>
  </si>
  <si>
    <t>PT02103</t>
  </si>
  <si>
    <t>PT02104</t>
  </si>
  <si>
    <t>PT02105</t>
  </si>
  <si>
    <t>PT02106</t>
  </si>
  <si>
    <t>PT02107</t>
  </si>
  <si>
    <t>PT02108</t>
  </si>
  <si>
    <t>PT02109</t>
  </si>
  <si>
    <t>PT02110</t>
  </si>
  <si>
    <t>PT02111</t>
  </si>
  <si>
    <t>PT02112</t>
  </si>
  <si>
    <t>PT02113</t>
  </si>
  <si>
    <t>PT02114</t>
  </si>
  <si>
    <t>PT02115</t>
  </si>
  <si>
    <t>PT02116</t>
  </si>
  <si>
    <t>PT02117</t>
  </si>
  <si>
    <t>PT02118</t>
  </si>
  <si>
    <t>PT02119</t>
  </si>
  <si>
    <t>PT02120</t>
  </si>
  <si>
    <t>PT02121</t>
  </si>
  <si>
    <t>PT02122</t>
  </si>
  <si>
    <t>PT02123</t>
  </si>
  <si>
    <t>PT02124</t>
  </si>
  <si>
    <t>PT02125</t>
  </si>
  <si>
    <t>PT02126</t>
  </si>
  <si>
    <t>PT02127</t>
  </si>
  <si>
    <t>PT02128</t>
  </si>
  <si>
    <t>PT02129</t>
  </si>
  <si>
    <t>PT02130</t>
  </si>
  <si>
    <t>PT02131</t>
  </si>
  <si>
    <t>PT02132</t>
  </si>
  <si>
    <t>PT02133</t>
  </si>
  <si>
    <t>PT02134</t>
  </si>
  <si>
    <t>PT02135</t>
  </si>
  <si>
    <t>PT02136</t>
  </si>
  <si>
    <t>PT02137</t>
  </si>
  <si>
    <t>PT02138</t>
  </si>
  <si>
    <t>PT02139</t>
  </si>
  <si>
    <t>PT02140</t>
  </si>
  <si>
    <t>PT02141</t>
  </si>
  <si>
    <t>PT02142</t>
  </si>
  <si>
    <t>PT02143</t>
  </si>
  <si>
    <t>PT02144</t>
  </si>
  <si>
    <t>PT02145</t>
  </si>
  <si>
    <t>PT02146</t>
  </si>
  <si>
    <t>PT02147</t>
  </si>
  <si>
    <t>PT02148</t>
  </si>
  <si>
    <t>PT02149</t>
  </si>
  <si>
    <t>PT02150</t>
  </si>
  <si>
    <t>PT02151</t>
  </si>
  <si>
    <t>PT02152</t>
  </si>
  <si>
    <t>PT02153</t>
  </si>
  <si>
    <t>PT02154</t>
  </si>
  <si>
    <t>PT02155</t>
  </si>
  <si>
    <t>PT02156</t>
  </si>
  <si>
    <t>PT02157</t>
  </si>
  <si>
    <t>PT02158</t>
  </si>
  <si>
    <t>PT02159</t>
  </si>
  <si>
    <t>PT02160</t>
  </si>
  <si>
    <t>PT02161</t>
  </si>
  <si>
    <t>PT02162</t>
  </si>
  <si>
    <t>PT02163</t>
  </si>
  <si>
    <t>PT02164</t>
  </si>
  <si>
    <t>PT02165</t>
  </si>
  <si>
    <t>PT02166</t>
  </si>
  <si>
    <t>PT02167</t>
  </si>
  <si>
    <t>PT02168</t>
  </si>
  <si>
    <t>PT02169</t>
  </si>
  <si>
    <t>PT02170</t>
  </si>
  <si>
    <t>PT02171</t>
  </si>
  <si>
    <t>PT02172</t>
  </si>
  <si>
    <t>PT02173</t>
  </si>
  <si>
    <t>PT02174</t>
  </si>
  <si>
    <t>PT02175</t>
  </si>
  <si>
    <t>PT02176</t>
  </si>
  <si>
    <t>PT02177</t>
  </si>
  <si>
    <t>PT02178</t>
  </si>
  <si>
    <t>PT02179</t>
  </si>
  <si>
    <t>PT02180</t>
  </si>
  <si>
    <t>PT02181</t>
  </si>
  <si>
    <t>PT02182</t>
  </si>
  <si>
    <t>PT02183</t>
  </si>
  <si>
    <t>PT02184</t>
  </si>
  <si>
    <t>PT02185</t>
  </si>
  <si>
    <t>PT02186</t>
  </si>
  <si>
    <t>PT02187</t>
  </si>
  <si>
    <t>PT02188</t>
  </si>
  <si>
    <t>PT02189</t>
  </si>
  <si>
    <t>PT02190</t>
  </si>
  <si>
    <t>PT02191</t>
  </si>
  <si>
    <t>PT02192</t>
  </si>
  <si>
    <t>PT02193</t>
  </si>
  <si>
    <t>PT02194</t>
  </si>
  <si>
    <t>PT02195</t>
  </si>
  <si>
    <t>PT02196</t>
  </si>
  <si>
    <t>PT02197</t>
  </si>
  <si>
    <t>PT02198</t>
  </si>
  <si>
    <t>PT02199</t>
  </si>
  <si>
    <t>PT02200</t>
  </si>
  <si>
    <t>PT02201</t>
  </si>
  <si>
    <t>PT02202</t>
  </si>
  <si>
    <t>PT02203</t>
  </si>
  <si>
    <t>PT02204</t>
  </si>
  <si>
    <t>PT02205</t>
  </si>
  <si>
    <t>PT02206</t>
  </si>
  <si>
    <t>PT02207</t>
  </si>
  <si>
    <t>PT02208</t>
  </si>
  <si>
    <t>PT02209</t>
  </si>
  <si>
    <t>PT02210</t>
  </si>
  <si>
    <t>PT02211</t>
  </si>
  <si>
    <t>PT02212</t>
  </si>
  <si>
    <t>PT02213</t>
  </si>
  <si>
    <t>PT02214</t>
  </si>
  <si>
    <t>PT02215</t>
  </si>
  <si>
    <t>PT02216</t>
  </si>
  <si>
    <t>PT02217</t>
  </si>
  <si>
    <t>PT02218</t>
  </si>
  <si>
    <t>PT02219</t>
  </si>
  <si>
    <t>PT02220</t>
  </si>
  <si>
    <t>PT02221</t>
  </si>
  <si>
    <t>PT02222</t>
  </si>
  <si>
    <t>PT02223</t>
  </si>
  <si>
    <t>PT02224</t>
  </si>
  <si>
    <t>PT02225</t>
  </si>
  <si>
    <t>PT02226</t>
  </si>
  <si>
    <t>PT02227</t>
  </si>
  <si>
    <t>PT02228</t>
  </si>
  <si>
    <t>PT02229</t>
  </si>
  <si>
    <t>PT02230</t>
  </si>
  <si>
    <t>PT02231</t>
  </si>
  <si>
    <t>PT02232</t>
  </si>
  <si>
    <t>PT02233</t>
  </si>
  <si>
    <t>PT02234</t>
  </si>
  <si>
    <t>PT02235</t>
  </si>
  <si>
    <t>PT02236</t>
  </si>
  <si>
    <t>PT02237</t>
  </si>
  <si>
    <t>PT02238</t>
  </si>
  <si>
    <t>PT02239</t>
  </si>
  <si>
    <t>PT02240</t>
  </si>
  <si>
    <t>PT02241</t>
  </si>
  <si>
    <t>PT02242</t>
  </si>
  <si>
    <t>PT02243</t>
  </si>
  <si>
    <t>PT02244</t>
  </si>
  <si>
    <t>PT02245</t>
  </si>
  <si>
    <t>PT02246</t>
  </si>
  <si>
    <t>PT02247</t>
  </si>
  <si>
    <t>PT02248</t>
  </si>
  <si>
    <t>PT02249</t>
  </si>
  <si>
    <t>PT02250</t>
  </si>
  <si>
    <t>PT02251</t>
  </si>
  <si>
    <t>PT02252</t>
  </si>
  <si>
    <t>PT02253</t>
  </si>
  <si>
    <t>PT02254</t>
  </si>
  <si>
    <t>PT02255</t>
  </si>
  <si>
    <t>PT02256</t>
  </si>
  <si>
    <t>PT02257</t>
  </si>
  <si>
    <t>PT02258</t>
  </si>
  <si>
    <t>PT02259</t>
  </si>
  <si>
    <t>PT02260</t>
  </si>
  <si>
    <t>PT02261</t>
  </si>
  <si>
    <t>PT02262</t>
  </si>
  <si>
    <t>PT02263</t>
  </si>
  <si>
    <t>PT02264</t>
  </si>
  <si>
    <t>PT02265</t>
  </si>
  <si>
    <t>PT02266</t>
  </si>
  <si>
    <t>PT02267</t>
  </si>
  <si>
    <t>PT02268</t>
  </si>
  <si>
    <t>PT02269</t>
  </si>
  <si>
    <t>PT02270</t>
  </si>
  <si>
    <t>PT02271</t>
  </si>
  <si>
    <t>PT02272</t>
  </si>
  <si>
    <t>PT02273</t>
  </si>
  <si>
    <t>PT02274</t>
  </si>
  <si>
    <t>PT02275</t>
  </si>
  <si>
    <t>PT02276</t>
  </si>
  <si>
    <t>PT02277</t>
  </si>
  <si>
    <t>PT02278</t>
  </si>
  <si>
    <t>PT02279</t>
  </si>
  <si>
    <t>PT02280</t>
  </si>
  <si>
    <t>PT02281</t>
  </si>
  <si>
    <t>PT02282</t>
  </si>
  <si>
    <t>PT02283</t>
  </si>
  <si>
    <t>PT02284</t>
  </si>
  <si>
    <t>PT02285</t>
  </si>
  <si>
    <t>PT02286</t>
  </si>
  <si>
    <t>PT02287</t>
  </si>
  <si>
    <t>PT02288</t>
  </si>
  <si>
    <t>PT02289</t>
  </si>
  <si>
    <t>PT02290</t>
  </si>
  <si>
    <t>PT02291</t>
  </si>
  <si>
    <t>PT02292</t>
  </si>
  <si>
    <t>PT02293</t>
  </si>
  <si>
    <t>PT02294</t>
  </si>
  <si>
    <t>PT02295</t>
  </si>
  <si>
    <t>PT02296</t>
  </si>
  <si>
    <t>PT02297</t>
  </si>
  <si>
    <t>PT02298</t>
  </si>
  <si>
    <t>PT02299</t>
  </si>
  <si>
    <t>PT02300</t>
  </si>
  <si>
    <t>PT02301</t>
  </si>
  <si>
    <t>PT02302</t>
  </si>
  <si>
    <t>PT02303</t>
  </si>
  <si>
    <t>PT02304</t>
  </si>
  <si>
    <t>PT02305</t>
  </si>
  <si>
    <t>PT02306</t>
  </si>
  <si>
    <t>PT02307</t>
  </si>
  <si>
    <t>PT02308</t>
  </si>
  <si>
    <t>PT02309</t>
  </si>
  <si>
    <t>PT02310</t>
  </si>
  <si>
    <t>PT02311</t>
  </si>
  <si>
    <t>PT02312</t>
  </si>
  <si>
    <t>PT02313</t>
  </si>
  <si>
    <t>PT02314</t>
  </si>
  <si>
    <t>PT02315</t>
  </si>
  <si>
    <t>PT02316</t>
  </si>
  <si>
    <t>PT02317</t>
  </si>
  <si>
    <t>PT02318</t>
  </si>
  <si>
    <t>PT02319</t>
  </si>
  <si>
    <t>PT02320</t>
  </si>
  <si>
    <t>PT02321</t>
  </si>
  <si>
    <t>PT02322</t>
  </si>
  <si>
    <t>PT02323</t>
  </si>
  <si>
    <t>PT02324</t>
  </si>
  <si>
    <t>PT02325</t>
  </si>
  <si>
    <t>PT02326</t>
  </si>
  <si>
    <t>PT02327</t>
  </si>
  <si>
    <t>PT02328</t>
  </si>
  <si>
    <t>PT02329</t>
  </si>
  <si>
    <t>PT02330</t>
  </si>
  <si>
    <t>PT02331</t>
  </si>
  <si>
    <t>PT02332</t>
  </si>
  <si>
    <t>PT02333</t>
  </si>
  <si>
    <t>PT02334</t>
  </si>
  <si>
    <t>PT02335</t>
  </si>
  <si>
    <t>PT02336</t>
  </si>
  <si>
    <t>PT02337</t>
  </si>
  <si>
    <t>PT02338</t>
  </si>
  <si>
    <t>PT02339</t>
  </si>
  <si>
    <t>PT02340</t>
  </si>
  <si>
    <t>PT02341</t>
  </si>
  <si>
    <t>PT02342</t>
  </si>
  <si>
    <t>PT02343</t>
  </si>
  <si>
    <t>PT02344</t>
  </si>
  <si>
    <t>PT02345</t>
  </si>
  <si>
    <t>PT02346</t>
  </si>
  <si>
    <t>PT02347</t>
  </si>
  <si>
    <t>PT02348</t>
  </si>
  <si>
    <t>PT02349</t>
  </si>
  <si>
    <t>PT02350</t>
  </si>
  <si>
    <t>PT02351</t>
  </si>
  <si>
    <t>PT02352</t>
  </si>
  <si>
    <t>PT02353</t>
  </si>
  <si>
    <t>PT02354</t>
  </si>
  <si>
    <t>PT02355</t>
  </si>
  <si>
    <t>PT02356</t>
  </si>
  <si>
    <t>PT02357</t>
  </si>
  <si>
    <t>PT02358</t>
  </si>
  <si>
    <t>PT02359</t>
  </si>
  <si>
    <t>PT02360</t>
  </si>
  <si>
    <t>PT02361</t>
  </si>
  <si>
    <t>PT02362</t>
  </si>
  <si>
    <t>PT02363</t>
  </si>
  <si>
    <t>PT02364</t>
  </si>
  <si>
    <t>PT02365</t>
  </si>
  <si>
    <t>PT02366</t>
  </si>
  <si>
    <t>PT02367</t>
  </si>
  <si>
    <t>PT02368</t>
  </si>
  <si>
    <t>PT02369</t>
  </si>
  <si>
    <t>PT02370</t>
  </si>
  <si>
    <t>PT02371</t>
  </si>
  <si>
    <t>PT02372</t>
  </si>
  <si>
    <t>PT02373</t>
  </si>
  <si>
    <t>PT02374</t>
  </si>
  <si>
    <t>PT02375</t>
  </si>
  <si>
    <t>PT02376</t>
  </si>
  <si>
    <t>PT02377</t>
  </si>
  <si>
    <t>PT02378</t>
  </si>
  <si>
    <t>PT02379</t>
  </si>
  <si>
    <t>PT02380</t>
  </si>
  <si>
    <t>PT02381</t>
  </si>
  <si>
    <t>PT02382</t>
  </si>
  <si>
    <t>PT02383</t>
  </si>
  <si>
    <t>PT02384</t>
  </si>
  <si>
    <t>PT02385</t>
  </si>
  <si>
    <t>PT02386</t>
  </si>
  <si>
    <t>PT02387</t>
  </si>
  <si>
    <t>PT02388</t>
  </si>
  <si>
    <t>PT02389</t>
  </si>
  <si>
    <t>PT02390</t>
  </si>
  <si>
    <t>PT02391</t>
  </si>
  <si>
    <t>PT02392</t>
  </si>
  <si>
    <t>PT02393</t>
  </si>
  <si>
    <t>PT02394</t>
  </si>
  <si>
    <t>PT02395</t>
  </si>
  <si>
    <t>PT02396</t>
  </si>
  <si>
    <t>PT02397</t>
  </si>
  <si>
    <t>PT02398</t>
  </si>
  <si>
    <t>PT02399</t>
  </si>
  <si>
    <t>PT02400</t>
  </si>
  <si>
    <t>PT02401</t>
  </si>
  <si>
    <t>PT02402</t>
  </si>
  <si>
    <t>PT02403</t>
  </si>
  <si>
    <t>PT02404</t>
  </si>
  <si>
    <t>PT02405</t>
  </si>
  <si>
    <t>PT02406</t>
  </si>
  <si>
    <t>PT02407</t>
  </si>
  <si>
    <t>PT02408</t>
  </si>
  <si>
    <t>PT02409</t>
  </si>
  <si>
    <t>PT02410</t>
  </si>
  <si>
    <t>PT02411</t>
  </si>
  <si>
    <t>PT02412</t>
  </si>
  <si>
    <t>PT02413</t>
  </si>
  <si>
    <t>PT02414</t>
  </si>
  <si>
    <t>PT02415</t>
  </si>
  <si>
    <t>PT02416</t>
  </si>
  <si>
    <t>PT02417</t>
  </si>
  <si>
    <t>PT02418</t>
  </si>
  <si>
    <t>PT02419</t>
  </si>
  <si>
    <t>PT02420</t>
  </si>
  <si>
    <t>PT02421</t>
  </si>
  <si>
    <t>PT02422</t>
  </si>
  <si>
    <t>PT02423</t>
  </si>
  <si>
    <t>PT02424</t>
  </si>
  <si>
    <t>PT02425</t>
  </si>
  <si>
    <t>PT02426</t>
  </si>
  <si>
    <t>PT02427</t>
  </si>
  <si>
    <t>PT02428</t>
  </si>
  <si>
    <t>PT02429</t>
  </si>
  <si>
    <t>PT02430</t>
  </si>
  <si>
    <t>PT02431</t>
  </si>
  <si>
    <t>PT02432</t>
  </si>
  <si>
    <t>PT02433</t>
  </si>
  <si>
    <t>PT02434</t>
  </si>
  <si>
    <t>PT02435</t>
  </si>
  <si>
    <t>PT02436</t>
  </si>
  <si>
    <t>PT02437</t>
  </si>
  <si>
    <t>PT02438</t>
  </si>
  <si>
    <t>PT02439</t>
  </si>
  <si>
    <t>PT02440</t>
  </si>
  <si>
    <t>PT02441</t>
  </si>
  <si>
    <t>PT02442</t>
  </si>
  <si>
    <t>PT02443</t>
  </si>
  <si>
    <t>PT02444</t>
  </si>
  <si>
    <t>PT02445</t>
  </si>
  <si>
    <t>PT02446</t>
  </si>
  <si>
    <t>PT02447</t>
  </si>
  <si>
    <t>PT02448</t>
  </si>
  <si>
    <t>PT02449</t>
  </si>
  <si>
    <t>PT02450</t>
  </si>
  <si>
    <t>PT02451</t>
  </si>
  <si>
    <t>PT02452</t>
  </si>
  <si>
    <t>PT02453</t>
  </si>
  <si>
    <t>PT02454</t>
  </si>
  <si>
    <t>PT02455</t>
  </si>
  <si>
    <t>PT02456</t>
  </si>
  <si>
    <t>PT02457</t>
  </si>
  <si>
    <t>PT02458</t>
  </si>
  <si>
    <t>PT02459</t>
  </si>
  <si>
    <t>PT02460</t>
  </si>
  <si>
    <t>PT02461</t>
  </si>
  <si>
    <t>PT02462</t>
  </si>
  <si>
    <t>PT02463</t>
  </si>
  <si>
    <t>PT02464</t>
  </si>
  <si>
    <t>PT02465</t>
  </si>
  <si>
    <t>PT02466</t>
  </si>
  <si>
    <t>PT02467</t>
  </si>
  <si>
    <t>PT02468</t>
  </si>
  <si>
    <t>PT02469</t>
  </si>
  <si>
    <t>PT02470</t>
  </si>
  <si>
    <t>PT02471</t>
  </si>
  <si>
    <t>PT02472</t>
  </si>
  <si>
    <t>PT02473</t>
  </si>
  <si>
    <t>PT02474</t>
  </si>
  <si>
    <t>PT02475</t>
  </si>
  <si>
    <t>PT02476</t>
  </si>
  <si>
    <t>PT02477</t>
  </si>
  <si>
    <t>PT02478</t>
  </si>
  <si>
    <t>PT02479</t>
  </si>
  <si>
    <t>PT02480</t>
  </si>
  <si>
    <t>PT02481</t>
  </si>
  <si>
    <t>PT02482</t>
  </si>
  <si>
    <t>PT02483</t>
  </si>
  <si>
    <t>PT02484</t>
  </si>
  <si>
    <t>PT02485</t>
  </si>
  <si>
    <t>PT02486</t>
  </si>
  <si>
    <t>PT02487</t>
  </si>
  <si>
    <t>PT02488</t>
  </si>
  <si>
    <t>PT02489</t>
  </si>
  <si>
    <t>PT02490</t>
  </si>
  <si>
    <t>PT02491</t>
  </si>
  <si>
    <t>PT02492</t>
  </si>
  <si>
    <t>PT02493</t>
  </si>
  <si>
    <t>PT02494</t>
  </si>
  <si>
    <t>PT02495</t>
  </si>
  <si>
    <t>PT02496</t>
  </si>
  <si>
    <t>PT02497</t>
  </si>
  <si>
    <t>PT02498</t>
  </si>
  <si>
    <t>PT02499</t>
  </si>
  <si>
    <t>PT02500</t>
  </si>
  <si>
    <t>PT02501</t>
  </si>
  <si>
    <t>PT02502</t>
  </si>
  <si>
    <t>PT02503</t>
  </si>
  <si>
    <t>PT02504</t>
  </si>
  <si>
    <t>PT02505</t>
  </si>
  <si>
    <t>PT02506</t>
  </si>
  <si>
    <t>PT02507</t>
  </si>
  <si>
    <t>PT02508</t>
  </si>
  <si>
    <t>PT02509</t>
  </si>
  <si>
    <t>PT02510</t>
  </si>
  <si>
    <t>PT02511</t>
  </si>
  <si>
    <t>PT02512</t>
  </si>
  <si>
    <t>PT02513</t>
  </si>
  <si>
    <t>PT02514</t>
  </si>
  <si>
    <t>PT02515</t>
  </si>
  <si>
    <t>PT02516</t>
  </si>
  <si>
    <t>PT02517</t>
  </si>
  <si>
    <t>PT02518</t>
  </si>
  <si>
    <t>PT02519</t>
  </si>
  <si>
    <t>PT02520</t>
  </si>
  <si>
    <t>PT02521</t>
  </si>
  <si>
    <t>PT02522</t>
  </si>
  <si>
    <t>PT02523</t>
  </si>
  <si>
    <t>PT02524</t>
  </si>
  <si>
    <t>PT02525</t>
  </si>
  <si>
    <t>PT02526</t>
  </si>
  <si>
    <t>PT02527</t>
  </si>
  <si>
    <t>PT02528</t>
  </si>
  <si>
    <t>PT02529</t>
  </si>
  <si>
    <t>PT02530</t>
  </si>
  <si>
    <t>PT02531</t>
  </si>
  <si>
    <t>PT02532</t>
  </si>
  <si>
    <t>PT02533</t>
  </si>
  <si>
    <t>PT02534</t>
  </si>
  <si>
    <t>PT02535</t>
  </si>
  <si>
    <t>PT02536</t>
  </si>
  <si>
    <t>PT02537</t>
  </si>
  <si>
    <t>PT02538</t>
  </si>
  <si>
    <t>PT02539</t>
  </si>
  <si>
    <t>PT02540</t>
  </si>
  <si>
    <t>PT02541</t>
  </si>
  <si>
    <t>PT02542</t>
  </si>
  <si>
    <t>PT02543</t>
  </si>
  <si>
    <t>PT02544</t>
  </si>
  <si>
    <t>PT02545</t>
  </si>
  <si>
    <t>PT02546</t>
  </si>
  <si>
    <t>PT02547</t>
  </si>
  <si>
    <t>PT02548</t>
  </si>
  <si>
    <t>PT02549</t>
  </si>
  <si>
    <t>PT02550</t>
  </si>
  <si>
    <t>PT02551</t>
  </si>
  <si>
    <t>PT02552</t>
  </si>
  <si>
    <t>PT02553</t>
  </si>
  <si>
    <t>PT02554</t>
  </si>
  <si>
    <t>PT02555</t>
  </si>
  <si>
    <t>PT02556</t>
  </si>
  <si>
    <t>PT02557</t>
  </si>
  <si>
    <t>PT02558</t>
  </si>
  <si>
    <t>PT02559</t>
  </si>
  <si>
    <t>PT02560</t>
  </si>
  <si>
    <t>PT02561</t>
  </si>
  <si>
    <t>PT02562</t>
  </si>
  <si>
    <t>PT02563</t>
  </si>
  <si>
    <t>PT02564</t>
  </si>
  <si>
    <t>PT02565</t>
  </si>
  <si>
    <t>PT02566</t>
  </si>
  <si>
    <t>PT02567</t>
  </si>
  <si>
    <t>PT02568</t>
  </si>
  <si>
    <t>PT02569</t>
  </si>
  <si>
    <t>PT02570</t>
  </si>
  <si>
    <t>PT02571</t>
  </si>
  <si>
    <t>PT02572</t>
  </si>
  <si>
    <t>PT02573</t>
  </si>
  <si>
    <t>PT02574</t>
  </si>
  <si>
    <t>PT02575</t>
  </si>
  <si>
    <t>PT02576</t>
  </si>
  <si>
    <t>PT02577</t>
  </si>
  <si>
    <t>PT02578</t>
  </si>
  <si>
    <t>PT02579</t>
  </si>
  <si>
    <t>PT02580</t>
  </si>
  <si>
    <t>PT02581</t>
  </si>
  <si>
    <t>PT02582</t>
  </si>
  <si>
    <t>PT02583</t>
  </si>
  <si>
    <t>PT02584</t>
  </si>
  <si>
    <t>PT02585</t>
  </si>
  <si>
    <t>PT02586</t>
  </si>
  <si>
    <t>PT02587</t>
  </si>
  <si>
    <t>PT02588</t>
  </si>
  <si>
    <t>PT02589</t>
  </si>
  <si>
    <t>PT02590</t>
  </si>
  <si>
    <t>PT02591</t>
  </si>
  <si>
    <t>PT02592</t>
  </si>
  <si>
    <t>PT02593</t>
  </si>
  <si>
    <t>PT02594</t>
  </si>
  <si>
    <t>PT02595</t>
  </si>
  <si>
    <t>PT02596</t>
  </si>
  <si>
    <t>PT02597</t>
  </si>
  <si>
    <t>PT02598</t>
  </si>
  <si>
    <t>PT02599</t>
  </si>
  <si>
    <t>PT02600</t>
  </si>
  <si>
    <t>PT02601</t>
  </si>
  <si>
    <t>PT02602</t>
  </si>
  <si>
    <t>PT02603</t>
  </si>
  <si>
    <t>PT02604</t>
  </si>
  <si>
    <t>PT02605</t>
  </si>
  <si>
    <t>PT02606</t>
  </si>
  <si>
    <t>PT02607</t>
  </si>
  <si>
    <t>PT02608</t>
  </si>
  <si>
    <t>PT02609</t>
  </si>
  <si>
    <t>PT02610</t>
  </si>
  <si>
    <t>PT02611</t>
  </si>
  <si>
    <t>PT02612</t>
  </si>
  <si>
    <t>PT02613</t>
  </si>
  <si>
    <t>PT02614</t>
  </si>
  <si>
    <t>PT02615</t>
  </si>
  <si>
    <t>PT02616</t>
  </si>
  <si>
    <t>PT02617</t>
  </si>
  <si>
    <t>PT02618</t>
  </si>
  <si>
    <t>PT02619</t>
  </si>
  <si>
    <t>PT02620</t>
  </si>
  <si>
    <t>PT02621</t>
  </si>
  <si>
    <t>PT02622</t>
  </si>
  <si>
    <t>PT02623</t>
  </si>
  <si>
    <t>PT02624</t>
  </si>
  <si>
    <t>PT02625</t>
  </si>
  <si>
    <t>PT02626</t>
  </si>
  <si>
    <t>PT02627</t>
  </si>
  <si>
    <t>PT02628</t>
  </si>
  <si>
    <t>PT02629</t>
  </si>
  <si>
    <t>PT02630</t>
  </si>
  <si>
    <t>PT02631</t>
  </si>
  <si>
    <t>PT02632</t>
  </si>
  <si>
    <t>PT02633</t>
  </si>
  <si>
    <t>PT02634</t>
  </si>
  <si>
    <t>PT02635</t>
  </si>
  <si>
    <t>PT02636</t>
  </si>
  <si>
    <t>PT02637</t>
  </si>
  <si>
    <t>PT02638</t>
  </si>
  <si>
    <t>PT02639</t>
  </si>
  <si>
    <t>PT02640</t>
  </si>
  <si>
    <t>PT02641</t>
  </si>
  <si>
    <t>PT02642</t>
  </si>
  <si>
    <t>PT02643</t>
  </si>
  <si>
    <t>PT02644</t>
  </si>
  <si>
    <t>PT02645</t>
  </si>
  <si>
    <t>PT02646</t>
  </si>
  <si>
    <t>PT02647</t>
  </si>
  <si>
    <t>PT02648</t>
  </si>
  <si>
    <t>PT02649</t>
  </si>
  <si>
    <t>PT02650</t>
  </si>
  <si>
    <t>PT02651</t>
  </si>
  <si>
    <t>PT02652</t>
  </si>
  <si>
    <t>PT02653</t>
  </si>
  <si>
    <t>PT02654</t>
  </si>
  <si>
    <t>PT02655</t>
  </si>
  <si>
    <t>PT02656</t>
  </si>
  <si>
    <t>PT02657</t>
  </si>
  <si>
    <t>PT02658</t>
  </si>
  <si>
    <t>PT02659</t>
  </si>
  <si>
    <t>PT02660</t>
  </si>
  <si>
    <t>PT02661</t>
  </si>
  <si>
    <t>PT02662</t>
  </si>
  <si>
    <t>PT02663</t>
  </si>
  <si>
    <t>PT02664</t>
  </si>
  <si>
    <t>PT02665</t>
  </si>
  <si>
    <t>PT02666</t>
  </si>
  <si>
    <t>PT02667</t>
  </si>
  <si>
    <t>PT02668</t>
  </si>
  <si>
    <t>PT02669</t>
  </si>
  <si>
    <t>PT02670</t>
  </si>
  <si>
    <t>PT02671</t>
  </si>
  <si>
    <t>PT02672</t>
  </si>
  <si>
    <t>PT02673</t>
  </si>
  <si>
    <t>PT02674</t>
  </si>
  <si>
    <t>PT02675</t>
  </si>
  <si>
    <t>PT02676</t>
  </si>
  <si>
    <t>PT02677</t>
  </si>
  <si>
    <t>PT02678</t>
  </si>
  <si>
    <t>PT02679</t>
  </si>
  <si>
    <t>PT02680</t>
  </si>
  <si>
    <t>PT02681</t>
  </si>
  <si>
    <t>PT02682</t>
  </si>
  <si>
    <t>PT02683</t>
  </si>
  <si>
    <t>PT02684</t>
  </si>
  <si>
    <t>PT02685</t>
  </si>
  <si>
    <t>PT02686</t>
  </si>
  <si>
    <t>PT02687</t>
  </si>
  <si>
    <t>PT02688</t>
  </si>
  <si>
    <t>PT02689</t>
  </si>
  <si>
    <t>PT02690</t>
  </si>
  <si>
    <t>PT02691</t>
  </si>
  <si>
    <t>PT02692</t>
  </si>
  <si>
    <t>PT02693</t>
  </si>
  <si>
    <t>PT02694</t>
  </si>
  <si>
    <t>PT02695</t>
  </si>
  <si>
    <t>PT02696</t>
  </si>
  <si>
    <t>PT02697</t>
  </si>
  <si>
    <t>PT02698</t>
  </si>
  <si>
    <t>PT02699</t>
  </si>
  <si>
    <t>PT02700</t>
  </si>
  <si>
    <t>PT02701</t>
  </si>
  <si>
    <t>PT02702</t>
  </si>
  <si>
    <t>PT02703</t>
  </si>
  <si>
    <t>PT02704</t>
  </si>
  <si>
    <t>PT02705</t>
  </si>
  <si>
    <t>PT02706</t>
  </si>
  <si>
    <t>PT02707</t>
  </si>
  <si>
    <t>PT02708</t>
  </si>
  <si>
    <t>PT02709</t>
  </si>
  <si>
    <t>PT02710</t>
  </si>
  <si>
    <t>PT02711</t>
  </si>
  <si>
    <t>PT02712</t>
  </si>
  <si>
    <t>PT02713</t>
  </si>
  <si>
    <t>PT02714</t>
  </si>
  <si>
    <t>PT02715</t>
  </si>
  <si>
    <t>PT02716</t>
  </si>
  <si>
    <t>PT02717</t>
  </si>
  <si>
    <t>PT02718</t>
  </si>
  <si>
    <t>PT02719</t>
  </si>
  <si>
    <t>PT02720</t>
  </si>
  <si>
    <t>PT02721</t>
  </si>
  <si>
    <t>PT02722</t>
  </si>
  <si>
    <t>PT02723</t>
  </si>
  <si>
    <t>PT02724</t>
  </si>
  <si>
    <t>PT02725</t>
  </si>
  <si>
    <t>PT02726</t>
  </si>
  <si>
    <t>PT02727</t>
  </si>
  <si>
    <t>PT02728</t>
  </si>
  <si>
    <t>PT02729</t>
  </si>
  <si>
    <t>PT02730</t>
  </si>
  <si>
    <t>PT02731</t>
  </si>
  <si>
    <t>PT02732</t>
  </si>
  <si>
    <t>PT02733</t>
  </si>
  <si>
    <t>PT02734</t>
  </si>
  <si>
    <t>PT02735</t>
  </si>
  <si>
    <t>PT02736</t>
  </si>
  <si>
    <t>PT02737</t>
  </si>
  <si>
    <t>PT02738</t>
  </si>
  <si>
    <t>PT02739</t>
  </si>
  <si>
    <t>PT02740</t>
  </si>
  <si>
    <t>PT02741</t>
  </si>
  <si>
    <t>PT02742</t>
  </si>
  <si>
    <t>PT02743</t>
  </si>
  <si>
    <t>PT02744</t>
  </si>
  <si>
    <t>PT02745</t>
  </si>
  <si>
    <t>PT02746</t>
  </si>
  <si>
    <t>PT02747</t>
  </si>
  <si>
    <t>PT02748</t>
  </si>
  <si>
    <t>PT02749</t>
  </si>
  <si>
    <t>PT02750</t>
  </si>
  <si>
    <t>PT02751</t>
  </si>
  <si>
    <t>PT02752</t>
  </si>
  <si>
    <t>PT02753</t>
  </si>
  <si>
    <t>PT02754</t>
  </si>
  <si>
    <t>PT02755</t>
  </si>
  <si>
    <t>PT02756</t>
  </si>
  <si>
    <t>PT02757</t>
  </si>
  <si>
    <t>PT02758</t>
  </si>
  <si>
    <t>PT02759</t>
  </si>
  <si>
    <t>PT02760</t>
  </si>
  <si>
    <t>PT02761</t>
  </si>
  <si>
    <t>PT02762</t>
  </si>
  <si>
    <t>PT02763</t>
  </si>
  <si>
    <t>PT02764</t>
  </si>
  <si>
    <t>PT02765</t>
  </si>
  <si>
    <t>PT02766</t>
  </si>
  <si>
    <t>PT02767</t>
  </si>
  <si>
    <t>PT02768</t>
  </si>
  <si>
    <t>PT02769</t>
  </si>
  <si>
    <t>PT02770</t>
  </si>
  <si>
    <t>PT02771</t>
  </si>
  <si>
    <t>PT02772</t>
  </si>
  <si>
    <t>PT02773</t>
  </si>
  <si>
    <t>PT02774</t>
  </si>
  <si>
    <t>PT02775</t>
  </si>
  <si>
    <t>PT02776</t>
  </si>
  <si>
    <t>PT02777</t>
  </si>
  <si>
    <t>PT02778</t>
  </si>
  <si>
    <t>PT02779</t>
  </si>
  <si>
    <t>PT02780</t>
  </si>
  <si>
    <t>PT02781</t>
  </si>
  <si>
    <t>PT02782</t>
  </si>
  <si>
    <t>PT02783</t>
  </si>
  <si>
    <t>PT02784</t>
  </si>
  <si>
    <t>PT02785</t>
  </si>
  <si>
    <t>PT02786</t>
  </si>
  <si>
    <t>PT02787</t>
  </si>
  <si>
    <t>PT02788</t>
  </si>
  <si>
    <t>PT02789</t>
  </si>
  <si>
    <t>PT02790</t>
  </si>
  <si>
    <t>PT02791</t>
  </si>
  <si>
    <t>PT02792</t>
  </si>
  <si>
    <t>PT02793</t>
  </si>
  <si>
    <t>PT02794</t>
  </si>
  <si>
    <t>PT02795</t>
  </si>
  <si>
    <t>PT02796</t>
  </si>
  <si>
    <t>PT02797</t>
  </si>
  <si>
    <t>PT02798</t>
  </si>
  <si>
    <t>PT02799</t>
  </si>
  <si>
    <t>PT02800</t>
  </si>
  <si>
    <t>PT02801</t>
  </si>
  <si>
    <t>PT02802</t>
  </si>
  <si>
    <t>PT02803</t>
  </si>
  <si>
    <t>PT02804</t>
  </si>
  <si>
    <t>PT02805</t>
  </si>
  <si>
    <t>PT02806</t>
  </si>
  <si>
    <t>PT02807</t>
  </si>
  <si>
    <t>PT02808</t>
  </si>
  <si>
    <t>PT02809</t>
  </si>
  <si>
    <t>PT02810</t>
  </si>
  <si>
    <t>PT02811</t>
  </si>
  <si>
    <t>PT02812</t>
  </si>
  <si>
    <t>PT02813</t>
  </si>
  <si>
    <t>PT02814</t>
  </si>
  <si>
    <t>PT02815</t>
  </si>
  <si>
    <t>PT02816</t>
  </si>
  <si>
    <t>PT02817</t>
  </si>
  <si>
    <t>PT02818</t>
  </si>
  <si>
    <t>PT02819</t>
  </si>
  <si>
    <t>PT02820</t>
  </si>
  <si>
    <t>PT02821</t>
  </si>
  <si>
    <t>PT02822</t>
  </si>
  <si>
    <t>PT02823</t>
  </si>
  <si>
    <t>PT02824</t>
  </si>
  <si>
    <t>PT02825</t>
  </si>
  <si>
    <t>PT02826</t>
  </si>
  <si>
    <t>PT02827</t>
  </si>
  <si>
    <t>PT02828</t>
  </si>
  <si>
    <t>PT02829</t>
  </si>
  <si>
    <t>PT02830</t>
  </si>
  <si>
    <t>PT02831</t>
  </si>
  <si>
    <t>PT02832</t>
  </si>
  <si>
    <t>PT02833</t>
  </si>
  <si>
    <t>PT02834</t>
  </si>
  <si>
    <t>PT02835</t>
  </si>
  <si>
    <t>PT02836</t>
  </si>
  <si>
    <t>PT02837</t>
  </si>
  <si>
    <t>PT02838</t>
  </si>
  <si>
    <t>PT02839</t>
  </si>
  <si>
    <t>PT02840</t>
  </si>
  <si>
    <t>PT02841</t>
  </si>
  <si>
    <t>PT02842</t>
  </si>
  <si>
    <t>PT02843</t>
  </si>
  <si>
    <t>PT02844</t>
  </si>
  <si>
    <t>PT02845</t>
  </si>
  <si>
    <t>PT02846</t>
  </si>
  <si>
    <t>PT02847</t>
  </si>
  <si>
    <t>PT02848</t>
  </si>
  <si>
    <t>PT02849</t>
  </si>
  <si>
    <t>PT02850</t>
  </si>
  <si>
    <t>PT02851</t>
  </si>
  <si>
    <t>PT02852</t>
  </si>
  <si>
    <t>PT02853</t>
  </si>
  <si>
    <t>PT02854</t>
  </si>
  <si>
    <t>PT02855</t>
  </si>
  <si>
    <t>PT02856</t>
  </si>
  <si>
    <t>PT02857</t>
  </si>
  <si>
    <t>PT02858</t>
  </si>
  <si>
    <t>PT02859</t>
  </si>
  <si>
    <t>PT02860</t>
  </si>
  <si>
    <t>PT02861</t>
  </si>
  <si>
    <t>PT02862</t>
  </si>
  <si>
    <t>PT02863</t>
  </si>
  <si>
    <t>PT02864</t>
  </si>
  <si>
    <t>PT02865</t>
  </si>
  <si>
    <t>PT02866</t>
  </si>
  <si>
    <t>PT02867</t>
  </si>
  <si>
    <t>PT02868</t>
  </si>
  <si>
    <t>PT02869</t>
  </si>
  <si>
    <t>PT02870</t>
  </si>
  <si>
    <t>PT02871</t>
  </si>
  <si>
    <t>PT02872</t>
  </si>
  <si>
    <t>PT02873</t>
  </si>
  <si>
    <t>PT02874</t>
  </si>
  <si>
    <t>PT02875</t>
  </si>
  <si>
    <t>PT02876</t>
  </si>
  <si>
    <t>PT02877</t>
  </si>
  <si>
    <t>PT02878</t>
  </si>
  <si>
    <t>PT02879</t>
  </si>
  <si>
    <t>PT02880</t>
  </si>
  <si>
    <t>PT02881</t>
  </si>
  <si>
    <t>PT02882</t>
  </si>
  <si>
    <t>PT02883</t>
  </si>
  <si>
    <t>PT02884</t>
  </si>
  <si>
    <t>PT02885</t>
  </si>
  <si>
    <t>PT02886</t>
  </si>
  <si>
    <t>PT02887</t>
  </si>
  <si>
    <t>PT02888</t>
  </si>
  <si>
    <t>PT02889</t>
  </si>
  <si>
    <t>PT02890</t>
  </si>
  <si>
    <t>PT02891</t>
  </si>
  <si>
    <t>PT02892</t>
  </si>
  <si>
    <t>PT02893</t>
  </si>
  <si>
    <t>PT02894</t>
  </si>
  <si>
    <t>PT02895</t>
  </si>
  <si>
    <t>PT02896</t>
  </si>
  <si>
    <t>PT02897</t>
  </si>
  <si>
    <t>PT02898</t>
  </si>
  <si>
    <t>PT02899</t>
  </si>
  <si>
    <t>PT02900</t>
  </si>
  <si>
    <t>PT02901</t>
  </si>
  <si>
    <t>PT02902</t>
  </si>
  <si>
    <t>PT02903</t>
  </si>
  <si>
    <t>PT02904</t>
  </si>
  <si>
    <t>PT02905</t>
  </si>
  <si>
    <t>PT02906</t>
  </si>
  <si>
    <t>PT02907</t>
  </si>
  <si>
    <t>PT02908</t>
  </si>
  <si>
    <t>PT02909</t>
  </si>
  <si>
    <t>PT02910</t>
  </si>
  <si>
    <t>PT02911</t>
  </si>
  <si>
    <t>PT02912</t>
  </si>
  <si>
    <t>PT02913</t>
  </si>
  <si>
    <t>PT02914</t>
  </si>
  <si>
    <t>PT02915</t>
  </si>
  <si>
    <t>PT02916</t>
  </si>
  <si>
    <t>PT02917</t>
  </si>
  <si>
    <t>PT02918</t>
  </si>
  <si>
    <t>PT02919</t>
  </si>
  <si>
    <t>PT02920</t>
  </si>
  <si>
    <t>PT02921</t>
  </si>
  <si>
    <t>PT02922</t>
  </si>
  <si>
    <t>PT02923</t>
  </si>
  <si>
    <t>PT02924</t>
  </si>
  <si>
    <t>PT02925</t>
  </si>
  <si>
    <t>PT02926</t>
  </si>
  <si>
    <t>PT02927</t>
  </si>
  <si>
    <t>PT02928</t>
  </si>
  <si>
    <t>PT02929</t>
  </si>
  <si>
    <t>PT02930</t>
  </si>
  <si>
    <t>PT02931</t>
  </si>
  <si>
    <t>PT02932</t>
  </si>
  <si>
    <t>PT02933</t>
  </si>
  <si>
    <t>PT02934</t>
  </si>
  <si>
    <t>PT02935</t>
  </si>
  <si>
    <t>PT02936</t>
  </si>
  <si>
    <t>PT02937</t>
  </si>
  <si>
    <t>PT02938</t>
  </si>
  <si>
    <t>PT02939</t>
  </si>
  <si>
    <t>PT02940</t>
  </si>
  <si>
    <t>PT02941</t>
  </si>
  <si>
    <t>PT02942</t>
  </si>
  <si>
    <t>PT02943</t>
  </si>
  <si>
    <t>PT02944</t>
  </si>
  <si>
    <t>PT02945</t>
  </si>
  <si>
    <t>PT02946</t>
  </si>
  <si>
    <t>PT02947</t>
  </si>
  <si>
    <t>PT02948</t>
  </si>
  <si>
    <t>PT02949</t>
  </si>
  <si>
    <t>PT02950</t>
  </si>
  <si>
    <t>PT02951</t>
  </si>
  <si>
    <t>PT02952</t>
  </si>
  <si>
    <t>PT02953</t>
  </si>
  <si>
    <t>PT02954</t>
  </si>
  <si>
    <t>PT02955</t>
  </si>
  <si>
    <t>PT02956</t>
  </si>
  <si>
    <t>PT02957</t>
  </si>
  <si>
    <t>PT02958</t>
  </si>
  <si>
    <t>PT02959</t>
  </si>
  <si>
    <t>PT02960</t>
  </si>
  <si>
    <t>PT02961</t>
  </si>
  <si>
    <t>PT02962</t>
  </si>
  <si>
    <t>PT02963</t>
  </si>
  <si>
    <t>PT02964</t>
  </si>
  <si>
    <t>PT02965</t>
  </si>
  <si>
    <t>PT02966</t>
  </si>
  <si>
    <t>PT02967</t>
  </si>
  <si>
    <t>PT02968</t>
  </si>
  <si>
    <t>PT02969</t>
  </si>
  <si>
    <t>PT02970</t>
  </si>
  <si>
    <t>PT02971</t>
  </si>
  <si>
    <t>PT02972</t>
  </si>
  <si>
    <t>PT02973</t>
  </si>
  <si>
    <t>PT02974</t>
  </si>
  <si>
    <t>PT02975</t>
  </si>
  <si>
    <t>PT02976</t>
  </si>
  <si>
    <t>PT02977</t>
  </si>
  <si>
    <t>2026-01-12</t>
  </si>
  <si>
    <t>PT02978</t>
  </si>
  <si>
    <t>PT02979</t>
  </si>
  <si>
    <t>PT02980</t>
  </si>
  <si>
    <t>PT02981</t>
  </si>
  <si>
    <t>PT02982</t>
  </si>
  <si>
    <t>PT02983</t>
  </si>
  <si>
    <t>PT02984</t>
  </si>
  <si>
    <t>PT02985</t>
  </si>
  <si>
    <t>PT02986</t>
  </si>
  <si>
    <t>PT02987</t>
  </si>
  <si>
    <t>PT02988</t>
  </si>
  <si>
    <t>PT02989</t>
  </si>
  <si>
    <t>PT02990</t>
  </si>
  <si>
    <t>PT02991</t>
  </si>
  <si>
    <t>PT02992</t>
  </si>
  <si>
    <t>PT02993</t>
  </si>
  <si>
    <t>PT02994</t>
  </si>
  <si>
    <t>PT02995</t>
  </si>
  <si>
    <t>PT02996</t>
  </si>
  <si>
    <t>PT02997</t>
  </si>
  <si>
    <t>PT02998</t>
  </si>
  <si>
    <t>PT02999</t>
  </si>
  <si>
    <t>PT03000</t>
  </si>
  <si>
    <t>Which hospital departments receive the most patient admissions?</t>
  </si>
  <si>
    <t>Which age groups have the longest hospital stays?</t>
  </si>
  <si>
    <t>Which departments have the highest average treatment costs?</t>
  </si>
  <si>
    <t>Does admission type relate to the length of a hospital stay?</t>
  </si>
  <si>
    <t>What percentage of patients are readmitted within 30 days?</t>
  </si>
  <si>
    <t>Which factors are associated with longer hospital stays?</t>
  </si>
  <si>
    <t>Can we predict whether a patient's hospital stay will exceed 7 days?</t>
  </si>
  <si>
    <t>Grand Total</t>
  </si>
  <si>
    <t>Department</t>
  </si>
  <si>
    <t>Number of Patients</t>
  </si>
  <si>
    <t>age_group</t>
  </si>
  <si>
    <t>18-29</t>
  </si>
  <si>
    <t>30-44</t>
  </si>
  <si>
    <t>45-59</t>
  </si>
  <si>
    <t>60-74</t>
  </si>
  <si>
    <t>75-90</t>
  </si>
  <si>
    <t>Average_treatment_cost</t>
  </si>
  <si>
    <t>average_day_stay_length</t>
  </si>
  <si>
    <t>Average_day_stay_length</t>
  </si>
  <si>
    <t>readmitted</t>
  </si>
  <si>
    <t>percentage</t>
  </si>
  <si>
    <t>Average length of stay</t>
  </si>
  <si>
    <t>Long_Stay</t>
  </si>
  <si>
    <t>Long-Stay ?</t>
  </si>
  <si>
    <t>Count</t>
  </si>
  <si>
    <t>To be completed in Python — machine learning.</t>
  </si>
  <si>
    <t>Question</t>
  </si>
  <si>
    <t>Answer</t>
  </si>
  <si>
    <t>Insight</t>
  </si>
  <si>
    <t>Emergency and General Medicine account for a large share of the recorded admissions, so hospital administrators might examine staffing, capacity, and resource allocation in these departments.</t>
  </si>
  <si>
    <t>Oncology has the highest average treatment cost, at $13,721.75 per record, while Emergency has the lowest, at $5,604.19.</t>
  </si>
  <si>
    <t xml:space="preserve">Emergency receives the most admissions, with 826 records, followed by General Medicine with 658. </t>
  </si>
  <si>
    <t>Patients aged 75 - 90 have the longest average stay, at 6.10 days. Patients aged 45–59 have the shortest average stay, at approximately 5.08 days.</t>
  </si>
  <si>
    <t>The results suggest that older age groups may require more hospital days. This is worth investigating alongside medical complexity and other factors.</t>
  </si>
  <si>
    <t>Hospital management could investigate the services, resources, and treatment requirements contributing to higher average costs. We should also note that higher costs alone do not necessarily mean inefficiency.</t>
  </si>
  <si>
    <t>Yes, average stay lengths differ by admission type based on the dataset. Emergency admissions have the longest average stay, at 5.91 days, while elective admissions have the shortest, at 4.61 days.</t>
  </si>
  <si>
    <t>Emergency admissions may require more hospital days on average. This is an association to this data, not proof that admission type causes longer stays.</t>
  </si>
  <si>
    <t>About 16% of records are marked as readmitted within 30 days, while about 83% are marked No.</t>
  </si>
  <si>
    <t xml:space="preserve">Readmission is worth monitoring as a potential indicator of patient-care and follow-up needs. </t>
  </si>
  <si>
    <t>Department, age group, and admission type are all associated with differences in average hospital stay. Department has especially visible differences, with Oncology averaging 6.99 days compared with 4.23 days for Emergency.</t>
  </si>
  <si>
    <t xml:space="preserve">These factors could help guide further investigation of bed occupancy and resource needs.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</si>
</sst>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1"/>
      <color theme="1"/>
      <name val="Calibri"/>
      <family val="2"/>
      <scheme val="minor"/>
    </font>
    <font>
      <b/>
      <sz val="11"/>
      <name val="Calibri"/>
    </font>
    <font>
      <sz val="12"/>
      <color theme="1"/>
      <name val="Times New Roman"/>
      <family val="1"/>
    </font>
    <font>
      <b/>
      <sz val="11"/>
      <name val="Calibri"/>
      <family val="2"/>
    </font>
    <font>
      <b/>
      <sz val="11"/>
      <color theme="3"/>
      <name val="Calibri"/>
      <family val="2"/>
      <scheme val="minor"/>
    </font>
    <font>
      <b/>
      <sz val="11"/>
      <color rgb="FFFF0000"/>
      <name val="Calibri"/>
      <family val="2"/>
      <scheme val="minor"/>
    </font>
    <font>
      <b/>
      <sz val="12"/>
      <color theme="1"/>
      <name val="Times New Roman"/>
      <family val="1"/>
    </font>
    <font>
      <b/>
      <sz val="12"/>
      <color rgb="FFFF0000"/>
      <name val="Times New Roman"/>
      <family val="1"/>
    </font>
    <font>
      <b/>
      <sz val="12"/>
      <color rgb="FF00B050"/>
      <name val="Times New Roman"/>
      <family val="1"/>
    </font>
    <font>
      <b/>
      <sz val="11"/>
      <color rgb="FF7030A0"/>
      <name val="Calibri"/>
      <family val="2"/>
      <scheme val="minor"/>
    </font>
    <font>
      <b/>
      <sz val="12"/>
      <color rgb="FF7030A0"/>
      <name val="Times New Roman"/>
      <family val="1"/>
    </font>
    <font>
      <b/>
      <sz val="12"/>
      <color theme="1"/>
      <name val="Tenorite"/>
    </font>
    <font>
      <b/>
      <sz val="11"/>
      <color rgb="FF002060"/>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0" fillId="0" borderId="0" xfId="0" applyNumberFormat="1"/>
    <xf numFmtId="0" fontId="2" fillId="0" borderId="0" xfId="0" applyFon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3" fillId="0" borderId="1" xfId="0" applyFont="1" applyBorder="1" applyAlignment="1">
      <alignment horizontal="center" vertical="top"/>
    </xf>
    <xf numFmtId="2" fontId="0" fillId="0" borderId="0" xfId="0" applyNumberFormat="1"/>
    <xf numFmtId="10" fontId="0" fillId="0" borderId="0" xfId="0" applyNumberFormat="1"/>
    <xf numFmtId="0" fontId="0" fillId="0" borderId="0" xfId="0" applyNumberFormat="1"/>
    <xf numFmtId="0" fontId="0" fillId="2" borderId="0" xfId="0" applyFill="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cellXfs>
  <cellStyles count="1">
    <cellStyle name="Normal" xfId="0" builtinId="0"/>
  </cellStyles>
  <dxfs count="6">
    <dxf>
      <numFmt numFmtId="0" formatCode="General"/>
    </dxf>
    <dxf>
      <numFmt numFmtId="0" formatCode="General"/>
    </dxf>
    <dxf>
      <numFmt numFmtId="164" formatCode="&quot;$&quot;#,##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[synthetic_hospital_operations_3000.xlsx]PivotTables!PivotTable2</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Admissions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spPr>
            <a:solidFill>
              <a:schemeClr val="accent1"/>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Emergency</c:v>
                </c:pt>
                <c:pt idx="1">
                  <c:v>General Medicine</c:v>
                </c:pt>
                <c:pt idx="2">
                  <c:v>Orthopedics</c:v>
                </c:pt>
                <c:pt idx="3">
                  <c:v>Cardiology</c:v>
                </c:pt>
                <c:pt idx="4">
                  <c:v>Oncology</c:v>
                </c:pt>
                <c:pt idx="5">
                  <c:v>Neurology</c:v>
                </c:pt>
              </c:strCache>
            </c:strRef>
          </c:cat>
          <c:val>
            <c:numRef>
              <c:f>PivotTables!$B$4:$B$10</c:f>
              <c:numCache>
                <c:formatCode>General</c:formatCode>
                <c:ptCount val="6"/>
                <c:pt idx="0">
                  <c:v>398</c:v>
                </c:pt>
                <c:pt idx="1">
                  <c:v>300</c:v>
                </c:pt>
                <c:pt idx="2">
                  <c:v>238</c:v>
                </c:pt>
                <c:pt idx="3">
                  <c:v>209</c:v>
                </c:pt>
                <c:pt idx="4">
                  <c:v>154</c:v>
                </c:pt>
                <c:pt idx="5">
                  <c:v>131</c:v>
                </c:pt>
              </c:numCache>
            </c:numRef>
          </c:val>
          <c:extLst>
            <c:ext xmlns:c16="http://schemas.microsoft.com/office/drawing/2014/chart" uri="{C3380CC4-5D6E-409C-BE32-E72D297353CC}">
              <c16:uniqueId val="{00000000-0F73-4F85-B8DA-692A677C575C}"/>
            </c:ext>
          </c:extLst>
        </c:ser>
        <c:dLbls>
          <c:dLblPos val="outEnd"/>
          <c:showLegendKey val="0"/>
          <c:showVal val="1"/>
          <c:showCatName val="0"/>
          <c:showSerName val="0"/>
          <c:showPercent val="0"/>
          <c:showBubbleSize val="0"/>
        </c:dLbls>
        <c:gapWidth val="182"/>
        <c:axId val="1128219344"/>
        <c:axId val="232998960"/>
      </c:barChart>
      <c:catAx>
        <c:axId val="11282193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98960"/>
        <c:crosses val="autoZero"/>
        <c:auto val="1"/>
        <c:lblAlgn val="ctr"/>
        <c:lblOffset val="100"/>
        <c:noMultiLvlLbl val="0"/>
      </c:catAx>
      <c:valAx>
        <c:axId val="232998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Number of Admissions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1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[synthetic_hospital_operations_3000.xlsx]PivotTables!PivotTable9</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Average Stay</a:t>
            </a:r>
            <a:r>
              <a:rPr lang="en-US" b="1" baseline="0">
                <a:solidFill>
                  <a:srgbClr val="002060"/>
                </a:solidFill>
              </a:rPr>
              <a:t> Length</a:t>
            </a:r>
            <a:r>
              <a:rPr lang="en-US" b="1">
                <a:solidFill>
                  <a:srgbClr val="002060"/>
                </a:solidFill>
              </a:rPr>
              <a:t>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c:f>
              <c:strCache>
                <c:ptCount val="1"/>
                <c:pt idx="0">
                  <c:v>Total</c:v>
                </c:pt>
              </c:strCache>
            </c:strRef>
          </c:tx>
          <c:spPr>
            <a:solidFill>
              <a:schemeClr val="accent1"/>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PivotTables!$D$2:$D$7</c:f>
              <c:strCache>
                <c:ptCount val="5"/>
                <c:pt idx="0">
                  <c:v>75-90</c:v>
                </c:pt>
                <c:pt idx="1">
                  <c:v>60-74</c:v>
                </c:pt>
                <c:pt idx="2">
                  <c:v>18-29</c:v>
                </c:pt>
                <c:pt idx="3">
                  <c:v>45-59</c:v>
                </c:pt>
                <c:pt idx="4">
                  <c:v>30-44</c:v>
                </c:pt>
              </c:strCache>
            </c:strRef>
          </c:cat>
          <c:val>
            <c:numRef>
              <c:f>PivotTables!$E$2:$E$7</c:f>
              <c:numCache>
                <c:formatCode>0.00</c:formatCode>
                <c:ptCount val="5"/>
                <c:pt idx="0">
                  <c:v>6.1298701298701301</c:v>
                </c:pt>
                <c:pt idx="1">
                  <c:v>5.5340501792114694</c:v>
                </c:pt>
                <c:pt idx="2">
                  <c:v>5.2452830188679247</c:v>
                </c:pt>
                <c:pt idx="3">
                  <c:v>5.0409556313993171</c:v>
                </c:pt>
                <c:pt idx="4">
                  <c:v>4.9368421052631577</c:v>
                </c:pt>
              </c:numCache>
            </c:numRef>
          </c:val>
          <c:extLst>
            <c:ext xmlns:c16="http://schemas.microsoft.com/office/drawing/2014/chart" uri="{C3380CC4-5D6E-409C-BE32-E72D297353CC}">
              <c16:uniqueId val="{00000000-73FB-4855-B9C6-77799A475AA1}"/>
            </c:ext>
          </c:extLst>
        </c:ser>
        <c:dLbls>
          <c:dLblPos val="outEnd"/>
          <c:showLegendKey val="0"/>
          <c:showVal val="1"/>
          <c:showCatName val="0"/>
          <c:showSerName val="0"/>
          <c:showPercent val="0"/>
          <c:showBubbleSize val="0"/>
        </c:dLbls>
        <c:gapWidth val="219"/>
        <c:overlap val="-27"/>
        <c:axId val="171959360"/>
        <c:axId val="233011440"/>
      </c:barChart>
      <c:catAx>
        <c:axId val="1719593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Age Group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11440"/>
        <c:crosses val="autoZero"/>
        <c:auto val="1"/>
        <c:lblAlgn val="ctr"/>
        <c:lblOffset val="100"/>
        <c:noMultiLvlLbl val="0"/>
      </c:catAx>
      <c:valAx>
        <c:axId val="233011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Average Stay Length</a:t>
                </a:r>
                <a:r>
                  <a:rPr lang="en-CA" b="1" baseline="0"/>
                  <a:t> in Days</a:t>
                </a:r>
                <a:endParaRPr lang="en-CA"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[synthetic_hospital_operations_3000.xlsx]PivotTables!PivotTable4</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Average Treatment Cost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PivotTables!$H$1</c:f>
              <c:strCache>
                <c:ptCount val="1"/>
                <c:pt idx="0">
                  <c:v>Total</c:v>
                </c:pt>
              </c:strCache>
            </c:strRef>
          </c:tx>
          <c:spPr>
            <a:solidFill>
              <a:srgbClr val="0070C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PivotTables!$G$2:$G$8</c:f>
              <c:strCache>
                <c:ptCount val="6"/>
                <c:pt idx="0">
                  <c:v>Oncology</c:v>
                </c:pt>
                <c:pt idx="1">
                  <c:v>Neurology</c:v>
                </c:pt>
                <c:pt idx="2">
                  <c:v>Cardiology</c:v>
                </c:pt>
                <c:pt idx="3">
                  <c:v>Orthopedics</c:v>
                </c:pt>
                <c:pt idx="4">
                  <c:v>General Medicine</c:v>
                </c:pt>
                <c:pt idx="5">
                  <c:v>Emergency</c:v>
                </c:pt>
              </c:strCache>
            </c:strRef>
          </c:cat>
          <c:val>
            <c:numRef>
              <c:f>PivotTables!$H$2:$H$8</c:f>
              <c:numCache>
                <c:formatCode>"$"#,##0.00</c:formatCode>
                <c:ptCount val="6"/>
                <c:pt idx="0">
                  <c:v>13533.284740259738</c:v>
                </c:pt>
                <c:pt idx="1">
                  <c:v>11909.500458015265</c:v>
                </c:pt>
                <c:pt idx="2">
                  <c:v>11278.309856459337</c:v>
                </c:pt>
                <c:pt idx="3">
                  <c:v>9771.5106302521017</c:v>
                </c:pt>
                <c:pt idx="4">
                  <c:v>7059.6823999999988</c:v>
                </c:pt>
                <c:pt idx="5">
                  <c:v>5572.1719095477411</c:v>
                </c:pt>
              </c:numCache>
            </c:numRef>
          </c:val>
          <c:extLst>
            <c:ext xmlns:c16="http://schemas.microsoft.com/office/drawing/2014/chart" uri="{C3380CC4-5D6E-409C-BE32-E72D297353CC}">
              <c16:uniqueId val="{00000000-B3E5-4B5C-A0B8-A66A9A130F3A}"/>
            </c:ext>
          </c:extLst>
        </c:ser>
        <c:dLbls>
          <c:dLblPos val="outEnd"/>
          <c:showLegendKey val="0"/>
          <c:showVal val="1"/>
          <c:showCatName val="0"/>
          <c:showSerName val="0"/>
          <c:showPercent val="0"/>
          <c:showBubbleSize val="0"/>
        </c:dLbls>
        <c:gapWidth val="75"/>
        <c:overlap val="40"/>
        <c:axId val="1221521264"/>
        <c:axId val="232949520"/>
      </c:barChart>
      <c:catAx>
        <c:axId val="122152126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49520"/>
        <c:crosses val="autoZero"/>
        <c:auto val="1"/>
        <c:lblAlgn val="ctr"/>
        <c:lblOffset val="100"/>
        <c:noMultiLvlLbl val="0"/>
      </c:catAx>
      <c:valAx>
        <c:axId val="232949520"/>
        <c:scaling>
          <c:orientation val="minMax"/>
          <c:max val="15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Cost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21264"/>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[synthetic_hospital_operations_3000.xlsx]PivotTables!PivotTable7</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30-Day</a:t>
            </a:r>
            <a:r>
              <a:rPr lang="en-US" b="1" baseline="0">
                <a:solidFill>
                  <a:srgbClr val="002060"/>
                </a:solidFill>
              </a:rPr>
              <a:t> Patient Readmission Rate</a:t>
            </a:r>
            <a:endParaRPr lang="en-US" b="1">
              <a:solidFill>
                <a:srgbClr val="002060"/>
              </a:solidFill>
            </a:endParaRPr>
          </a:p>
        </c:rich>
      </c:tx>
      <c:layout>
        <c:manualLayout>
          <c:xMode val="edge"/>
          <c:yMode val="edge"/>
          <c:x val="0.26481178181197546"/>
          <c:y val="2.31160425335182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FF0000"/>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rgbClr val="FF0000"/>
            </a:solidFill>
          </a:ln>
          <a:effectLst/>
        </c:spPr>
      </c:pivotFmt>
      <c:pivotFmt>
        <c:idx val="6"/>
        <c:spPr>
          <a:solidFill>
            <a:schemeClr val="accent1"/>
          </a:solidFill>
          <a:ln w="19050">
            <a:solidFill>
              <a:srgbClr val="FF0000"/>
            </a:solidFill>
          </a:ln>
          <a:effectLst/>
        </c:spPr>
      </c:pivotFmt>
    </c:pivotFmts>
    <c:plotArea>
      <c:layout/>
      <c:doughnutChart>
        <c:varyColors val="1"/>
        <c:ser>
          <c:idx val="0"/>
          <c:order val="0"/>
          <c:tx>
            <c:strRef>
              <c:f>PivotTables!$H$11</c:f>
              <c:strCache>
                <c:ptCount val="1"/>
                <c:pt idx="0">
                  <c:v>Total</c:v>
                </c:pt>
              </c:strCache>
            </c:strRef>
          </c:tx>
          <c:spPr>
            <a:ln>
              <a:solidFill>
                <a:srgbClr val="FF0000"/>
              </a:solidFill>
            </a:ln>
          </c:spPr>
          <c:dPt>
            <c:idx val="0"/>
            <c:bubble3D val="0"/>
            <c:spPr>
              <a:solidFill>
                <a:schemeClr val="accent1"/>
              </a:solidFill>
              <a:ln w="19050">
                <a:solidFill>
                  <a:srgbClr val="FF0000"/>
                </a:solidFill>
              </a:ln>
              <a:effectLst/>
            </c:spPr>
            <c:extLst>
              <c:ext xmlns:c16="http://schemas.microsoft.com/office/drawing/2014/chart" uri="{C3380CC4-5D6E-409C-BE32-E72D297353CC}">
                <c16:uniqueId val="{00000001-5B8C-4A95-B81A-17B233A3988D}"/>
              </c:ext>
            </c:extLst>
          </c:dPt>
          <c:dPt>
            <c:idx val="1"/>
            <c:bubble3D val="0"/>
            <c:spPr>
              <a:solidFill>
                <a:schemeClr val="accent3"/>
              </a:solidFill>
              <a:ln w="19050">
                <a:solidFill>
                  <a:srgbClr val="FF0000"/>
                </a:solidFill>
              </a:ln>
              <a:effectLst/>
            </c:spPr>
            <c:extLst>
              <c:ext xmlns:c16="http://schemas.microsoft.com/office/drawing/2014/chart" uri="{C3380CC4-5D6E-409C-BE32-E72D297353CC}">
                <c16:uniqueId val="{00000003-5B8C-4A95-B81A-17B233A398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PivotTables!$G$12:$G$14</c:f>
              <c:strCache>
                <c:ptCount val="2"/>
                <c:pt idx="0">
                  <c:v>No</c:v>
                </c:pt>
                <c:pt idx="1">
                  <c:v>Yes</c:v>
                </c:pt>
              </c:strCache>
            </c:strRef>
          </c:cat>
          <c:val>
            <c:numRef>
              <c:f>PivotTables!$H$12:$H$14</c:f>
              <c:numCache>
                <c:formatCode>0.00%</c:formatCode>
                <c:ptCount val="2"/>
                <c:pt idx="0">
                  <c:v>0.84685314685314683</c:v>
                </c:pt>
                <c:pt idx="1">
                  <c:v>0.15314685314685314</c:v>
                </c:pt>
              </c:numCache>
            </c:numRef>
          </c:val>
          <c:extLst>
            <c:ext xmlns:c16="http://schemas.microsoft.com/office/drawing/2014/chart" uri="{C3380CC4-5D6E-409C-BE32-E72D297353CC}">
              <c16:uniqueId val="{00000004-5B8C-4A95-B81A-17B233A3988D}"/>
            </c:ext>
          </c:extLst>
        </c:ser>
        <c:dLbls>
          <c:showLegendKey val="0"/>
          <c:showVal val="0"/>
          <c:showCatName val="0"/>
          <c:showSerName val="0"/>
          <c:showPercent val="0"/>
          <c:showBubbleSize val="0"/>
          <c:showLeaderLines val="0"/>
        </c:dLbls>
        <c:firstSliceAng val="0"/>
        <c:holeSize val="53"/>
      </c:doughnutChart>
      <c:spPr>
        <a:noFill/>
        <a:ln>
          <a:noFill/>
        </a:ln>
        <a:effectLst/>
      </c:spPr>
    </c:plotArea>
    <c:legend>
      <c:legendPos val="r"/>
      <c:layout>
        <c:manualLayout>
          <c:xMode val="edge"/>
          <c:yMode val="edge"/>
          <c:x val="0.7711543614035361"/>
          <c:y val="0.47891484662683059"/>
          <c:w val="0.20902403304641429"/>
          <c:h val="0.26286945345704621"/>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[synthetic_hospital_operations_3000.xlsx]PivotTables!PivotTable1</c:name>
    <c:fmtId val="2"/>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CA" b="1">
                <a:solidFill>
                  <a:srgbClr val="002060"/>
                </a:solidFill>
              </a:rPr>
              <a:t>Average Stay Length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PivotTables!$B$13</c:f>
              <c:strCache>
                <c:ptCount val="1"/>
                <c:pt idx="0">
                  <c:v>Total</c:v>
                </c:pt>
              </c:strCache>
            </c:strRef>
          </c:tx>
          <c:spPr>
            <a:solidFill>
              <a:schemeClr val="accent1"/>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PivotTables!$A$14:$A$20</c:f>
              <c:strCache>
                <c:ptCount val="6"/>
                <c:pt idx="0">
                  <c:v>Oncology</c:v>
                </c:pt>
                <c:pt idx="1">
                  <c:v>Neurology</c:v>
                </c:pt>
                <c:pt idx="2">
                  <c:v>Cardiology</c:v>
                </c:pt>
                <c:pt idx="3">
                  <c:v>Orthopedics</c:v>
                </c:pt>
                <c:pt idx="4">
                  <c:v>General Medicine</c:v>
                </c:pt>
                <c:pt idx="5">
                  <c:v>Emergency</c:v>
                </c:pt>
              </c:strCache>
            </c:strRef>
          </c:cat>
          <c:val>
            <c:numRef>
              <c:f>PivotTables!$B$14:$B$20</c:f>
              <c:numCache>
                <c:formatCode>0.00</c:formatCode>
                <c:ptCount val="6"/>
                <c:pt idx="0">
                  <c:v>6.7857142857142856</c:v>
                </c:pt>
                <c:pt idx="1">
                  <c:v>6.7251908396946565</c:v>
                </c:pt>
                <c:pt idx="2">
                  <c:v>6.2009569377990434</c:v>
                </c:pt>
                <c:pt idx="3">
                  <c:v>5.3907563025210088</c:v>
                </c:pt>
                <c:pt idx="4">
                  <c:v>5.0166666666666666</c:v>
                </c:pt>
                <c:pt idx="5">
                  <c:v>4.2613065326633164</c:v>
                </c:pt>
              </c:numCache>
            </c:numRef>
          </c:val>
          <c:extLst>
            <c:ext xmlns:c16="http://schemas.microsoft.com/office/drawing/2014/chart" uri="{C3380CC4-5D6E-409C-BE32-E72D297353CC}">
              <c16:uniqueId val="{00000000-5ECD-42FF-90A3-19940847DA9F}"/>
            </c:ext>
          </c:extLst>
        </c:ser>
        <c:dLbls>
          <c:dLblPos val="outEnd"/>
          <c:showLegendKey val="0"/>
          <c:showVal val="1"/>
          <c:showCatName val="0"/>
          <c:showSerName val="0"/>
          <c:showPercent val="0"/>
          <c:showBubbleSize val="0"/>
        </c:dLbls>
        <c:gapWidth val="182"/>
        <c:axId val="1186824527"/>
        <c:axId val="1447528527"/>
      </c:barChart>
      <c:catAx>
        <c:axId val="11868245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Department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28527"/>
        <c:crosses val="autoZero"/>
        <c:auto val="1"/>
        <c:lblAlgn val="ctr"/>
        <c:lblOffset val="100"/>
        <c:noMultiLvlLbl val="0"/>
      </c:catAx>
      <c:valAx>
        <c:axId val="1447528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Average Stay Length in Days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8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[synthetic_hospital_operations_3000.xlsx]PivotTables!PivotTable5</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Average</a:t>
            </a:r>
            <a:r>
              <a:rPr lang="en-US" b="1" baseline="0">
                <a:solidFill>
                  <a:srgbClr val="002060"/>
                </a:solidFill>
              </a:rPr>
              <a:t> Stay Length by Admission Type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rgbClr val="FF0000"/>
            </a:solidFill>
          </a:ln>
          <a:effectLst/>
        </c:spPr>
      </c:pivotFmt>
      <c:pivotFmt>
        <c:idx val="7"/>
        <c:spPr>
          <a:solidFill>
            <a:schemeClr val="accent1"/>
          </a:solidFill>
          <a:ln w="19050">
            <a:solidFill>
              <a:srgbClr val="FF0000"/>
            </a:solidFill>
          </a:ln>
          <a:effectLst/>
        </c:spPr>
      </c:pivotFmt>
      <c:pivotFmt>
        <c:idx val="8"/>
        <c:spPr>
          <a:solidFill>
            <a:schemeClr val="accent1"/>
          </a:solidFill>
          <a:ln w="19050">
            <a:solidFill>
              <a:srgbClr val="FF0000"/>
            </a:solidFill>
          </a:ln>
          <a:effectLst/>
        </c:spPr>
      </c:pivotFmt>
    </c:pivotFmts>
    <c:plotArea>
      <c:layout/>
      <c:barChart>
        <c:barDir val="col"/>
        <c:grouping val="clustered"/>
        <c:varyColors val="0"/>
        <c:ser>
          <c:idx val="0"/>
          <c:order val="0"/>
          <c:tx>
            <c:strRef>
              <c:f>PivotTables!$K$1</c:f>
              <c:strCache>
                <c:ptCount val="1"/>
                <c:pt idx="0">
                  <c:v>Total</c:v>
                </c:pt>
              </c:strCache>
            </c:strRef>
          </c:tx>
          <c:spPr>
            <a:solidFill>
              <a:schemeClr val="accent1"/>
            </a:solidFill>
            <a:ln w="19050">
              <a:solidFill>
                <a:srgbClr val="FF0000"/>
              </a:solidFill>
            </a:ln>
            <a:effectLst/>
          </c:spPr>
          <c:invertIfNegative val="0"/>
          <c:dPt>
            <c:idx val="0"/>
            <c:invertIfNegative val="0"/>
            <c:bubble3D val="0"/>
            <c:spPr>
              <a:solidFill>
                <a:schemeClr val="accent1"/>
              </a:solidFill>
              <a:ln w="19050">
                <a:solidFill>
                  <a:srgbClr val="FF0000"/>
                </a:solidFill>
              </a:ln>
              <a:effectLst/>
            </c:spPr>
            <c:extLst>
              <c:ext xmlns:c16="http://schemas.microsoft.com/office/drawing/2014/chart" uri="{C3380CC4-5D6E-409C-BE32-E72D297353CC}">
                <c16:uniqueId val="{00000001-62CA-48D3-96CD-BA7B8B31DA9A}"/>
              </c:ext>
            </c:extLst>
          </c:dPt>
          <c:dPt>
            <c:idx val="1"/>
            <c:invertIfNegative val="0"/>
            <c:bubble3D val="0"/>
            <c:spPr>
              <a:solidFill>
                <a:schemeClr val="accent1"/>
              </a:solidFill>
              <a:ln w="19050">
                <a:solidFill>
                  <a:srgbClr val="FF0000"/>
                </a:solidFill>
              </a:ln>
              <a:effectLst/>
            </c:spPr>
            <c:extLst>
              <c:ext xmlns:c16="http://schemas.microsoft.com/office/drawing/2014/chart" uri="{C3380CC4-5D6E-409C-BE32-E72D297353CC}">
                <c16:uniqueId val="{00000003-62CA-48D3-96CD-BA7B8B31DA9A}"/>
              </c:ext>
            </c:extLst>
          </c:dPt>
          <c:dPt>
            <c:idx val="2"/>
            <c:invertIfNegative val="0"/>
            <c:bubble3D val="0"/>
            <c:spPr>
              <a:solidFill>
                <a:schemeClr val="accent1"/>
              </a:solidFill>
              <a:ln w="19050">
                <a:solidFill>
                  <a:srgbClr val="FF0000"/>
                </a:solidFill>
              </a:ln>
              <a:effectLst/>
            </c:spPr>
            <c:extLst>
              <c:ext xmlns:c16="http://schemas.microsoft.com/office/drawing/2014/chart" uri="{C3380CC4-5D6E-409C-BE32-E72D297353CC}">
                <c16:uniqueId val="{00000005-62CA-48D3-96CD-BA7B8B31DA9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PivotTables!$J$2:$J$5</c:f>
              <c:strCache>
                <c:ptCount val="3"/>
                <c:pt idx="0">
                  <c:v>Elective</c:v>
                </c:pt>
                <c:pt idx="1">
                  <c:v>Urgent</c:v>
                </c:pt>
                <c:pt idx="2">
                  <c:v>Emergency</c:v>
                </c:pt>
              </c:strCache>
            </c:strRef>
          </c:cat>
          <c:val>
            <c:numRef>
              <c:f>PivotTables!$K$2:$K$5</c:f>
              <c:numCache>
                <c:formatCode>0.00</c:formatCode>
                <c:ptCount val="3"/>
                <c:pt idx="0">
                  <c:v>4.5514705882352944</c:v>
                </c:pt>
                <c:pt idx="1">
                  <c:v>5.3582554517133953</c:v>
                </c:pt>
                <c:pt idx="2">
                  <c:v>5.8901569186875893</c:v>
                </c:pt>
              </c:numCache>
            </c:numRef>
          </c:val>
          <c:extLst>
            <c:ext xmlns:c16="http://schemas.microsoft.com/office/drawing/2014/chart" uri="{C3380CC4-5D6E-409C-BE32-E72D297353CC}">
              <c16:uniqueId val="{00000006-62CA-48D3-96CD-BA7B8B31DA9A}"/>
            </c:ext>
          </c:extLst>
        </c:ser>
        <c:dLbls>
          <c:dLblPos val="inEnd"/>
          <c:showLegendKey val="0"/>
          <c:showVal val="1"/>
          <c:showCatName val="0"/>
          <c:showSerName val="0"/>
          <c:showPercent val="0"/>
          <c:showBubbleSize val="0"/>
        </c:dLbls>
        <c:gapWidth val="100"/>
        <c:axId val="1685106351"/>
        <c:axId val="1447327407"/>
      </c:barChart>
      <c:catAx>
        <c:axId val="168510635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Admission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27407"/>
        <c:auto val="1"/>
        <c:lblAlgn val="ctr"/>
        <c:lblOffset val="100"/>
        <c:noMultiLvlLbl val="0"/>
      </c:catAx>
      <c:valAx>
        <c:axId val="144732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Average Stay Length in Days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0635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381000</xdr:colOff>
      <xdr:row>25</xdr:row>
      <xdr:rowOff>47624</xdr:rowOff>
    </xdr:from>
    <xdr:to>
      <xdr:col>16</xdr:col>
      <xdr:colOff>285750</xdr:colOff>
      <xdr:row>38</xdr:row>
      <xdr:rowOff>19048</xdr:rowOff>
    </xdr:to>
    <xdr:graphicFrame macro="">
      <xdr:nvGraphicFramePr>
        <xdr:cNvPr id="2" name="Chart 1">
          <a:extLst>
            <a:ext uri="{FF2B5EF4-FFF2-40B4-BE49-F238E27FC236}">
              <a16:creationId xmlns:a16="http://schemas.microsoft.com/office/drawing/2014/main" id="{368193B2-0A41-404D-8205-951BAD76C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97156</xdr:colOff>
      <xdr:row>10</xdr:row>
      <xdr:rowOff>102870</xdr:rowOff>
    </xdr:from>
    <xdr:to>
      <xdr:col>16</xdr:col>
      <xdr:colOff>287656</xdr:colOff>
      <xdr:row>24</xdr:row>
      <xdr:rowOff>152399</xdr:rowOff>
    </xdr:to>
    <xdr:graphicFrame macro="">
      <xdr:nvGraphicFramePr>
        <xdr:cNvPr id="3" name="Chart 2">
          <a:extLst>
            <a:ext uri="{FF2B5EF4-FFF2-40B4-BE49-F238E27FC236}">
              <a16:creationId xmlns:a16="http://schemas.microsoft.com/office/drawing/2014/main" id="{6318A0E3-F417-4B3E-93F9-E3D2AF932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22859</xdr:colOff>
      <xdr:row>10</xdr:row>
      <xdr:rowOff>112395</xdr:rowOff>
    </xdr:from>
    <xdr:to>
      <xdr:col>10</xdr:col>
      <xdr:colOff>19049</xdr:colOff>
      <xdr:row>24</xdr:row>
      <xdr:rowOff>161924</xdr:rowOff>
    </xdr:to>
    <xdr:graphicFrame macro="">
      <xdr:nvGraphicFramePr>
        <xdr:cNvPr id="9" name="Chart 8">
          <a:extLst>
            <a:ext uri="{FF2B5EF4-FFF2-40B4-BE49-F238E27FC236}">
              <a16:creationId xmlns:a16="http://schemas.microsoft.com/office/drawing/2014/main" id="{72E98E22-AF78-4FAB-BE04-426AE0C41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xdr:colOff>
      <xdr:row>25</xdr:row>
      <xdr:rowOff>9524</xdr:rowOff>
    </xdr:from>
    <xdr:to>
      <xdr:col>7</xdr:col>
      <xdr:colOff>217170</xdr:colOff>
      <xdr:row>37</xdr:row>
      <xdr:rowOff>144779</xdr:rowOff>
    </xdr:to>
    <xdr:graphicFrame macro="">
      <xdr:nvGraphicFramePr>
        <xdr:cNvPr id="10" name="Chart 9">
          <a:extLst>
            <a:ext uri="{FF2B5EF4-FFF2-40B4-BE49-F238E27FC236}">
              <a16:creationId xmlns:a16="http://schemas.microsoft.com/office/drawing/2014/main" id="{18583089-B889-4624-9CE5-0DEAAAE39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371475</xdr:colOff>
      <xdr:row>10</xdr:row>
      <xdr:rowOff>121920</xdr:rowOff>
    </xdr:from>
    <xdr:to>
      <xdr:col>23</xdr:col>
      <xdr:colOff>542925</xdr:colOff>
      <xdr:row>24</xdr:row>
      <xdr:rowOff>154305</xdr:rowOff>
    </xdr:to>
    <xdr:graphicFrame macro="">
      <xdr:nvGraphicFramePr>
        <xdr:cNvPr id="4" name="Chart 3">
          <a:extLst>
            <a:ext uri="{FF2B5EF4-FFF2-40B4-BE49-F238E27FC236}">
              <a16:creationId xmlns:a16="http://schemas.microsoft.com/office/drawing/2014/main" id="{64E985E2-0323-4093-B3B7-FE7DD8B5F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440055</xdr:colOff>
      <xdr:row>25</xdr:row>
      <xdr:rowOff>47625</xdr:rowOff>
    </xdr:from>
    <xdr:to>
      <xdr:col>23</xdr:col>
      <xdr:colOff>514350</xdr:colOff>
      <xdr:row>37</xdr:row>
      <xdr:rowOff>173354</xdr:rowOff>
    </xdr:to>
    <xdr:graphicFrame macro="">
      <xdr:nvGraphicFramePr>
        <xdr:cNvPr id="6" name="Chart 5">
          <a:extLst>
            <a:ext uri="{FF2B5EF4-FFF2-40B4-BE49-F238E27FC236}">
              <a16:creationId xmlns:a16="http://schemas.microsoft.com/office/drawing/2014/main" id="{424F2D47-DE3B-4A89-833B-98F85922C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57150</xdr:colOff>
      <xdr:row>3</xdr:row>
      <xdr:rowOff>129540</xdr:rowOff>
    </xdr:from>
    <xdr:to>
      <xdr:col>17</xdr:col>
      <xdr:colOff>419100</xdr:colOff>
      <xdr:row>10</xdr:row>
      <xdr:rowOff>40006</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358FE458-94A7-CB51-374C-3EE93DD079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587740" y="676275"/>
              <a:ext cx="2194560" cy="117348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26667</xdr:colOff>
      <xdr:row>3</xdr:row>
      <xdr:rowOff>135255</xdr:rowOff>
    </xdr:from>
    <xdr:to>
      <xdr:col>6</xdr:col>
      <xdr:colOff>409575</xdr:colOff>
      <xdr:row>10</xdr:row>
      <xdr:rowOff>59055</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35E3AF52-067D-B95C-F9BA-4A181F93D92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32457" y="674370"/>
              <a:ext cx="3432813" cy="11906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529590</xdr:colOff>
      <xdr:row>3</xdr:row>
      <xdr:rowOff>173355</xdr:rowOff>
    </xdr:from>
    <xdr:to>
      <xdr:col>10</xdr:col>
      <xdr:colOff>0</xdr:colOff>
      <xdr:row>10</xdr:row>
      <xdr:rowOff>57150</xdr:rowOff>
    </xdr:to>
    <mc:AlternateContent xmlns:mc="http://schemas.openxmlformats.org/markup-compatibility/2006">
      <mc:Choice xmlns:a14="http://schemas.microsoft.com/office/drawing/2010/main" Requires="a14">
        <xdr:graphicFrame macro="">
          <xdr:nvGraphicFramePr>
            <xdr:cNvPr id="12" name="admission_type">
              <a:extLst>
                <a:ext uri="{FF2B5EF4-FFF2-40B4-BE49-F238E27FC236}">
                  <a16:creationId xmlns:a16="http://schemas.microsoft.com/office/drawing/2014/main" id="{FD0C20D2-0245-9EBF-2889-9D0DBAADEB3C}"/>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4187190" y="712470"/>
              <a:ext cx="1908810" cy="11506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97154</xdr:colOff>
      <xdr:row>3</xdr:row>
      <xdr:rowOff>140970</xdr:rowOff>
    </xdr:from>
    <xdr:to>
      <xdr:col>13</xdr:col>
      <xdr:colOff>457199</xdr:colOff>
      <xdr:row>10</xdr:row>
      <xdr:rowOff>38101</xdr:rowOff>
    </xdr:to>
    <mc:AlternateContent xmlns:mc="http://schemas.openxmlformats.org/markup-compatibility/2006">
      <mc:Choice xmlns:a14="http://schemas.microsoft.com/office/drawing/2010/main" Requires="a14">
        <xdr:graphicFrame macro="">
          <xdr:nvGraphicFramePr>
            <xdr:cNvPr id="13" name="age_group">
              <a:extLst>
                <a:ext uri="{FF2B5EF4-FFF2-40B4-BE49-F238E27FC236}">
                  <a16:creationId xmlns:a16="http://schemas.microsoft.com/office/drawing/2014/main" id="{F1ADDE94-8924-F42D-E25C-F20C1ABD8B6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6189344" y="681990"/>
              <a:ext cx="2192655" cy="116586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554355</xdr:colOff>
      <xdr:row>3</xdr:row>
      <xdr:rowOff>123825</xdr:rowOff>
    </xdr:from>
    <xdr:to>
      <xdr:col>20</xdr:col>
      <xdr:colOff>97155</xdr:colOff>
      <xdr:row>10</xdr:row>
      <xdr:rowOff>28575</xdr:rowOff>
    </xdr:to>
    <mc:AlternateContent xmlns:mc="http://schemas.openxmlformats.org/markup-compatibility/2006">
      <mc:Choice xmlns:a14="http://schemas.microsoft.com/office/drawing/2010/main" Requires="a14">
        <xdr:graphicFrame macro="">
          <xdr:nvGraphicFramePr>
            <xdr:cNvPr id="14" name="Long_Stay">
              <a:extLst>
                <a:ext uri="{FF2B5EF4-FFF2-40B4-BE49-F238E27FC236}">
                  <a16:creationId xmlns:a16="http://schemas.microsoft.com/office/drawing/2014/main" id="{BB299153-9598-274C-2087-BB594F545A03}"/>
                </a:ext>
              </a:extLst>
            </xdr:cNvPr>
            <xdr:cNvGraphicFramePr/>
          </xdr:nvGraphicFramePr>
          <xdr:xfrm>
            <a:off x="0" y="0"/>
            <a:ext cx="0" cy="0"/>
          </xdr:xfrm>
          <a:graphic>
            <a:graphicData uri="http://schemas.microsoft.com/office/drawing/2010/slicer">
              <sle:slicer xmlns:sle="http://schemas.microsoft.com/office/drawing/2010/slicer" name="Long_Stay"/>
            </a:graphicData>
          </a:graphic>
        </xdr:graphicFrame>
      </mc:Choice>
      <mc:Fallback>
        <xdr:sp macro="" textlink="">
          <xdr:nvSpPr>
            <xdr:cNvPr id="0" name=""/>
            <xdr:cNvSpPr>
              <a:spLocks noTextEdit="1"/>
            </xdr:cNvSpPr>
          </xdr:nvSpPr>
          <xdr:spPr>
            <a:xfrm>
              <a:off x="10913745" y="668655"/>
              <a:ext cx="1371600" cy="116776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xdr:colOff>
      <xdr:row>0</xdr:row>
      <xdr:rowOff>102870</xdr:rowOff>
    </xdr:from>
    <xdr:to>
      <xdr:col>24</xdr:col>
      <xdr:colOff>26670</xdr:colOff>
      <xdr:row>3</xdr:row>
      <xdr:rowOff>66675</xdr:rowOff>
    </xdr:to>
    <xdr:sp macro="" textlink="">
      <xdr:nvSpPr>
        <xdr:cNvPr id="15" name="TextBox 14">
          <a:extLst>
            <a:ext uri="{FF2B5EF4-FFF2-40B4-BE49-F238E27FC236}">
              <a16:creationId xmlns:a16="http://schemas.microsoft.com/office/drawing/2014/main" id="{43F77225-F549-A12D-2490-F7B314039DC9}"/>
            </a:ext>
          </a:extLst>
        </xdr:cNvPr>
        <xdr:cNvSpPr txBox="1"/>
      </xdr:nvSpPr>
      <xdr:spPr>
        <a:xfrm>
          <a:off x="621030" y="102870"/>
          <a:ext cx="14036040" cy="50673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2800" b="1">
              <a:solidFill>
                <a:srgbClr val="002060"/>
              </a:solidFill>
            </a:rPr>
            <a:t>Hospital</a:t>
          </a:r>
          <a:r>
            <a:rPr lang="en-CA" sz="2800" b="1" baseline="0">
              <a:solidFill>
                <a:srgbClr val="002060"/>
              </a:solidFill>
            </a:rPr>
            <a:t> Operations &amp; </a:t>
          </a:r>
          <a:r>
            <a:rPr lang="en-CA" sz="2800" b="1">
              <a:solidFill>
                <a:srgbClr val="002060"/>
              </a:solidFill>
            </a:rPr>
            <a:t>Patient Outcomes</a:t>
          </a:r>
          <a:r>
            <a:rPr lang="en-CA" sz="2800" b="1" baseline="0">
              <a:solidFill>
                <a:srgbClr val="002060"/>
              </a:solidFill>
            </a:rPr>
            <a:t> </a:t>
          </a:r>
          <a:r>
            <a:rPr lang="en-CA" sz="2800" b="1">
              <a:solidFill>
                <a:srgbClr val="002060"/>
              </a:solidFill>
            </a:rPr>
            <a:t>Analytics Dashboard | 2025</a:t>
          </a:r>
        </a:p>
        <a:p>
          <a:pPr algn="ctr"/>
          <a:endParaRPr lang="en-CA"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00" refreshedDate="46324.527526504629" createdVersion="8" refreshedVersion="8" minRefreshableVersion="3" recordCount="3000" xr:uid="{1213BD99-2A2C-4547-ABB1-8F1EBF56A3A6}">
  <cacheSource type="worksheet">
    <worksheetSource name="Table1"/>
  </cacheSource>
  <cacheFields count="13">
    <cacheField name="patient_id" numFmtId="0">
      <sharedItems count="3000">
        <s v="PT00001"/>
        <s v="PT00002"/>
        <s v="PT00003"/>
        <s v="PT00004"/>
        <s v="PT00005"/>
        <s v="PT00006"/>
        <s v="PT00007"/>
        <s v="PT00008"/>
        <s v="PT00009"/>
        <s v="PT00010"/>
        <s v="PT00011"/>
        <s v="PT00012"/>
        <s v="PT00013"/>
        <s v="PT00014"/>
        <s v="PT00015"/>
        <s v="PT00016"/>
        <s v="PT00017"/>
        <s v="PT00018"/>
        <s v="PT00019"/>
        <s v="PT00020"/>
        <s v="PT00021"/>
        <s v="PT00022"/>
        <s v="PT00023"/>
        <s v="PT00024"/>
        <s v="PT00025"/>
        <s v="PT00026"/>
        <s v="PT00027"/>
        <s v="PT00028"/>
        <s v="PT00029"/>
        <s v="PT00030"/>
        <s v="PT00031"/>
        <s v="PT00032"/>
        <s v="PT00033"/>
        <s v="PT00034"/>
        <s v="PT00035"/>
        <s v="PT00036"/>
        <s v="PT00037"/>
        <s v="PT00038"/>
        <s v="PT00039"/>
        <s v="PT00040"/>
        <s v="PT00041"/>
        <s v="PT00042"/>
        <s v="PT00043"/>
        <s v="PT00044"/>
        <s v="PT00045"/>
        <s v="PT00046"/>
        <s v="PT00047"/>
        <s v="PT00048"/>
        <s v="PT00049"/>
        <s v="PT00050"/>
        <s v="PT00051"/>
        <s v="PT00052"/>
        <s v="PT00053"/>
        <s v="PT00054"/>
        <s v="PT00055"/>
        <s v="PT00056"/>
        <s v="PT00057"/>
        <s v="PT00058"/>
        <s v="PT00059"/>
        <s v="PT00060"/>
        <s v="PT00061"/>
        <s v="PT00062"/>
        <s v="PT00063"/>
        <s v="PT00064"/>
        <s v="PT00065"/>
        <s v="PT00066"/>
        <s v="PT00067"/>
        <s v="PT00068"/>
        <s v="PT00069"/>
        <s v="PT00070"/>
        <s v="PT00071"/>
        <s v="PT00072"/>
        <s v="PT00073"/>
        <s v="PT00074"/>
        <s v="PT00075"/>
        <s v="PT00076"/>
        <s v="PT00077"/>
        <s v="PT00078"/>
        <s v="PT00079"/>
        <s v="PT00080"/>
        <s v="PT00081"/>
        <s v="PT00082"/>
        <s v="PT00083"/>
        <s v="PT00084"/>
        <s v="PT00085"/>
        <s v="PT00086"/>
        <s v="PT00087"/>
        <s v="PT00088"/>
        <s v="PT00089"/>
        <s v="PT00090"/>
        <s v="PT00091"/>
        <s v="PT00092"/>
        <s v="PT00093"/>
        <s v="PT00094"/>
        <s v="PT00095"/>
        <s v="PT00096"/>
        <s v="PT00097"/>
        <s v="PT00098"/>
        <s v="PT00099"/>
        <s v="PT00100"/>
        <s v="PT00101"/>
        <s v="PT00102"/>
        <s v="PT00103"/>
        <s v="PT00104"/>
        <s v="PT00105"/>
        <s v="PT00106"/>
        <s v="PT00107"/>
        <s v="PT00108"/>
        <s v="PT00109"/>
        <s v="PT00110"/>
        <s v="PT00111"/>
        <s v="PT00112"/>
        <s v="PT00113"/>
        <s v="PT00114"/>
        <s v="PT00115"/>
        <s v="PT00116"/>
        <s v="PT00117"/>
        <s v="PT00118"/>
        <s v="PT00119"/>
        <s v="PT00120"/>
        <s v="PT00121"/>
        <s v="PT00122"/>
        <s v="PT00123"/>
        <s v="PT00124"/>
        <s v="PT00125"/>
        <s v="PT00126"/>
        <s v="PT00127"/>
        <s v="PT00128"/>
        <s v="PT00129"/>
        <s v="PT00130"/>
        <s v="PT00131"/>
        <s v="PT00132"/>
        <s v="PT00133"/>
        <s v="PT00134"/>
        <s v="PT00135"/>
        <s v="PT00136"/>
        <s v="PT00137"/>
        <s v="PT00138"/>
        <s v="PT00139"/>
        <s v="PT00140"/>
        <s v="PT00141"/>
        <s v="PT00142"/>
        <s v="PT00143"/>
        <s v="PT00144"/>
        <s v="PT00145"/>
        <s v="PT00146"/>
        <s v="PT00147"/>
        <s v="PT00148"/>
        <s v="PT00149"/>
        <s v="PT00150"/>
        <s v="PT00151"/>
        <s v="PT00152"/>
        <s v="PT00153"/>
        <s v="PT00154"/>
        <s v="PT00155"/>
        <s v="PT00156"/>
        <s v="PT00157"/>
        <s v="PT00158"/>
        <s v="PT00159"/>
        <s v="PT00160"/>
        <s v="PT00161"/>
        <s v="PT00162"/>
        <s v="PT00163"/>
        <s v="PT00164"/>
        <s v="PT00165"/>
        <s v="PT00166"/>
        <s v="PT00167"/>
        <s v="PT00168"/>
        <s v="PT00169"/>
        <s v="PT00170"/>
        <s v="PT00171"/>
        <s v="PT00172"/>
        <s v="PT00173"/>
        <s v="PT00174"/>
        <s v="PT00175"/>
        <s v="PT00176"/>
        <s v="PT00177"/>
        <s v="PT00178"/>
        <s v="PT00179"/>
        <s v="PT00180"/>
        <s v="PT00181"/>
        <s v="PT00182"/>
        <s v="PT00183"/>
        <s v="PT00184"/>
        <s v="PT00185"/>
        <s v="PT00186"/>
        <s v="PT00187"/>
        <s v="PT00188"/>
        <s v="PT00189"/>
        <s v="PT00190"/>
        <s v="PT00191"/>
        <s v="PT00192"/>
        <s v="PT00193"/>
        <s v="PT00194"/>
        <s v="PT00195"/>
        <s v="PT00196"/>
        <s v="PT00197"/>
        <s v="PT00198"/>
        <s v="PT00199"/>
        <s v="PT00200"/>
        <s v="PT00201"/>
        <s v="PT00202"/>
        <s v="PT00203"/>
        <s v="PT00204"/>
        <s v="PT00205"/>
        <s v="PT00206"/>
        <s v="PT00207"/>
        <s v="PT00208"/>
        <s v="PT00209"/>
        <s v="PT00210"/>
        <s v="PT00211"/>
        <s v="PT00212"/>
        <s v="PT00213"/>
        <s v="PT00214"/>
        <s v="PT00215"/>
        <s v="PT00216"/>
        <s v="PT00217"/>
        <s v="PT00218"/>
        <s v="PT00219"/>
        <s v="PT00220"/>
        <s v="PT00221"/>
        <s v="PT00222"/>
        <s v="PT00223"/>
        <s v="PT00224"/>
        <s v="PT00225"/>
        <s v="PT00226"/>
        <s v="PT00227"/>
        <s v="PT00228"/>
        <s v="PT00229"/>
        <s v="PT00230"/>
        <s v="PT00231"/>
        <s v="PT00232"/>
        <s v="PT00233"/>
        <s v="PT00234"/>
        <s v="PT00235"/>
        <s v="PT00236"/>
        <s v="PT00237"/>
        <s v="PT00238"/>
        <s v="PT00239"/>
        <s v="PT00240"/>
        <s v="PT00241"/>
        <s v="PT00242"/>
        <s v="PT00243"/>
        <s v="PT00244"/>
        <s v="PT00245"/>
        <s v="PT00246"/>
        <s v="PT00247"/>
        <s v="PT00248"/>
        <s v="PT00249"/>
        <s v="PT00250"/>
        <s v="PT00251"/>
        <s v="PT00252"/>
        <s v="PT00253"/>
        <s v="PT00254"/>
        <s v="PT00255"/>
        <s v="PT00256"/>
        <s v="PT00257"/>
        <s v="PT00258"/>
        <s v="PT00259"/>
        <s v="PT00260"/>
        <s v="PT00261"/>
        <s v="PT00262"/>
        <s v="PT00263"/>
        <s v="PT00264"/>
        <s v="PT00265"/>
        <s v="PT00266"/>
        <s v="PT00267"/>
        <s v="PT00268"/>
        <s v="PT00269"/>
        <s v="PT00270"/>
        <s v="PT00271"/>
        <s v="PT00272"/>
        <s v="PT00273"/>
        <s v="PT00274"/>
        <s v="PT00275"/>
        <s v="PT00276"/>
        <s v="PT00277"/>
        <s v="PT00278"/>
        <s v="PT00279"/>
        <s v="PT00280"/>
        <s v="PT00281"/>
        <s v="PT00282"/>
        <s v="PT00283"/>
        <s v="PT00284"/>
        <s v="PT00285"/>
        <s v="PT00286"/>
        <s v="PT00287"/>
        <s v="PT00288"/>
        <s v="PT00289"/>
        <s v="PT00290"/>
        <s v="PT00291"/>
        <s v="PT00292"/>
        <s v="PT00293"/>
        <s v="PT00294"/>
        <s v="PT00295"/>
        <s v="PT00296"/>
        <s v="PT00297"/>
        <s v="PT00298"/>
        <s v="PT00299"/>
        <s v="PT00300"/>
        <s v="PT00301"/>
        <s v="PT00302"/>
        <s v="PT00303"/>
        <s v="PT00304"/>
        <s v="PT00305"/>
        <s v="PT00306"/>
        <s v="PT00307"/>
        <s v="PT00308"/>
        <s v="PT00309"/>
        <s v="PT00310"/>
        <s v="PT00311"/>
        <s v="PT00312"/>
        <s v="PT00313"/>
        <s v="PT00314"/>
        <s v="PT00315"/>
        <s v="PT00316"/>
        <s v="PT00317"/>
        <s v="PT00318"/>
        <s v="PT00319"/>
        <s v="PT00320"/>
        <s v="PT00321"/>
        <s v="PT00322"/>
        <s v="PT00323"/>
        <s v="PT00324"/>
        <s v="PT00325"/>
        <s v="PT00326"/>
        <s v="PT00327"/>
        <s v="PT00328"/>
        <s v="PT00329"/>
        <s v="PT00330"/>
        <s v="PT00331"/>
        <s v="PT00332"/>
        <s v="PT00333"/>
        <s v="PT00334"/>
        <s v="PT00335"/>
        <s v="PT00336"/>
        <s v="PT00337"/>
        <s v="PT00338"/>
        <s v="PT00339"/>
        <s v="PT00340"/>
        <s v="PT00341"/>
        <s v="PT00342"/>
        <s v="PT00343"/>
        <s v="PT00344"/>
        <s v="PT00345"/>
        <s v="PT00346"/>
        <s v="PT00347"/>
        <s v="PT00348"/>
        <s v="PT00349"/>
        <s v="PT00350"/>
        <s v="PT00351"/>
        <s v="PT00352"/>
        <s v="PT00353"/>
        <s v="PT00354"/>
        <s v="PT00355"/>
        <s v="PT00356"/>
        <s v="PT00357"/>
        <s v="PT00358"/>
        <s v="PT00359"/>
        <s v="PT00360"/>
        <s v="PT00361"/>
        <s v="PT00362"/>
        <s v="PT00363"/>
        <s v="PT00364"/>
        <s v="PT00365"/>
        <s v="PT00366"/>
        <s v="PT00367"/>
        <s v="PT00368"/>
        <s v="PT00369"/>
        <s v="PT00370"/>
        <s v="PT00371"/>
        <s v="PT00372"/>
        <s v="PT00373"/>
        <s v="PT00374"/>
        <s v="PT00375"/>
        <s v="PT00376"/>
        <s v="PT00377"/>
        <s v="PT00378"/>
        <s v="PT00379"/>
        <s v="PT00380"/>
        <s v="PT00381"/>
        <s v="PT00382"/>
        <s v="PT00383"/>
        <s v="PT00384"/>
        <s v="PT00385"/>
        <s v="PT00386"/>
        <s v="PT00387"/>
        <s v="PT00388"/>
        <s v="PT00389"/>
        <s v="PT00390"/>
        <s v="PT00391"/>
        <s v="PT00392"/>
        <s v="PT00393"/>
        <s v="PT00394"/>
        <s v="PT00395"/>
        <s v="PT00396"/>
        <s v="PT00397"/>
        <s v="PT00398"/>
        <s v="PT00399"/>
        <s v="PT00400"/>
        <s v="PT00401"/>
        <s v="PT00402"/>
        <s v="PT00403"/>
        <s v="PT00404"/>
        <s v="PT00405"/>
        <s v="PT00406"/>
        <s v="PT00407"/>
        <s v="PT00408"/>
        <s v="PT00409"/>
        <s v="PT00410"/>
        <s v="PT00411"/>
        <s v="PT00412"/>
        <s v="PT00413"/>
        <s v="PT00414"/>
        <s v="PT00415"/>
        <s v="PT00416"/>
        <s v="PT00417"/>
        <s v="PT00418"/>
        <s v="PT00419"/>
        <s v="PT00420"/>
        <s v="PT00421"/>
        <s v="PT00422"/>
        <s v="PT00423"/>
        <s v="PT00424"/>
        <s v="PT00425"/>
        <s v="PT00426"/>
        <s v="PT00427"/>
        <s v="PT00428"/>
        <s v="PT00429"/>
        <s v="PT00430"/>
        <s v="PT00431"/>
        <s v="PT00432"/>
        <s v="PT00433"/>
        <s v="PT00434"/>
        <s v="PT00435"/>
        <s v="PT00436"/>
        <s v="PT00437"/>
        <s v="PT00438"/>
        <s v="PT00439"/>
        <s v="PT00440"/>
        <s v="PT00441"/>
        <s v="PT00442"/>
        <s v="PT00443"/>
        <s v="PT00444"/>
        <s v="PT00445"/>
        <s v="PT00446"/>
        <s v="PT00447"/>
        <s v="PT00448"/>
        <s v="PT00449"/>
        <s v="PT00450"/>
        <s v="PT00451"/>
        <s v="PT00452"/>
        <s v="PT00453"/>
        <s v="PT00454"/>
        <s v="PT00455"/>
        <s v="PT00456"/>
        <s v="PT00457"/>
        <s v="PT00458"/>
        <s v="PT00459"/>
        <s v="PT00460"/>
        <s v="PT00461"/>
        <s v="PT00462"/>
        <s v="PT00463"/>
        <s v="PT00464"/>
        <s v="PT00465"/>
        <s v="PT00466"/>
        <s v="PT00467"/>
        <s v="PT00468"/>
        <s v="PT00469"/>
        <s v="PT00470"/>
        <s v="PT00471"/>
        <s v="PT00472"/>
        <s v="PT00473"/>
        <s v="PT00474"/>
        <s v="PT00475"/>
        <s v="PT00476"/>
        <s v="PT00477"/>
        <s v="PT00478"/>
        <s v="PT00479"/>
        <s v="PT00480"/>
        <s v="PT00481"/>
        <s v="PT00482"/>
        <s v="PT00483"/>
        <s v="PT00484"/>
        <s v="PT00485"/>
        <s v="PT00486"/>
        <s v="PT00487"/>
        <s v="PT00488"/>
        <s v="PT00489"/>
        <s v="PT00490"/>
        <s v="PT00491"/>
        <s v="PT00492"/>
        <s v="PT00493"/>
        <s v="PT00494"/>
        <s v="PT00495"/>
        <s v="PT00496"/>
        <s v="PT00497"/>
        <s v="PT00498"/>
        <s v="PT00499"/>
        <s v="PT00500"/>
        <s v="PT00501"/>
        <s v="PT00502"/>
        <s v="PT00503"/>
        <s v="PT00504"/>
        <s v="PT00505"/>
        <s v="PT00506"/>
        <s v="PT00507"/>
        <s v="PT00508"/>
        <s v="PT00509"/>
        <s v="PT00510"/>
        <s v="PT00511"/>
        <s v="PT00512"/>
        <s v="PT00513"/>
        <s v="PT00514"/>
        <s v="PT00515"/>
        <s v="PT00516"/>
        <s v="PT00517"/>
        <s v="PT00518"/>
        <s v="PT00519"/>
        <s v="PT00520"/>
        <s v="PT00521"/>
        <s v="PT00522"/>
        <s v="PT00523"/>
        <s v="PT00524"/>
        <s v="PT00525"/>
        <s v="PT00526"/>
        <s v="PT00527"/>
        <s v="PT00528"/>
        <s v="PT00529"/>
        <s v="PT00530"/>
        <s v="PT00531"/>
        <s v="PT00532"/>
        <s v="PT00533"/>
        <s v="PT00534"/>
        <s v="PT00535"/>
        <s v="PT00536"/>
        <s v="PT00537"/>
        <s v="PT00538"/>
        <s v="PT00539"/>
        <s v="PT00540"/>
        <s v="PT00541"/>
        <s v="PT00542"/>
        <s v="PT00543"/>
        <s v="PT00544"/>
        <s v="PT00545"/>
        <s v="PT00546"/>
        <s v="PT00547"/>
        <s v="PT00548"/>
        <s v="PT00549"/>
        <s v="PT00550"/>
        <s v="PT00551"/>
        <s v="PT00552"/>
        <s v="PT00553"/>
        <s v="PT00554"/>
        <s v="PT00555"/>
        <s v="PT00556"/>
        <s v="PT00557"/>
        <s v="PT00558"/>
        <s v="PT00559"/>
        <s v="PT00560"/>
        <s v="PT00561"/>
        <s v="PT00562"/>
        <s v="PT00563"/>
        <s v="PT00564"/>
        <s v="PT00565"/>
        <s v="PT00566"/>
        <s v="PT00567"/>
        <s v="PT00568"/>
        <s v="PT00569"/>
        <s v="PT00570"/>
        <s v="PT00571"/>
        <s v="PT00572"/>
        <s v="PT00573"/>
        <s v="PT00574"/>
        <s v="PT00575"/>
        <s v="PT00576"/>
        <s v="PT00577"/>
        <s v="PT00578"/>
        <s v="PT00579"/>
        <s v="PT00580"/>
        <s v="PT00581"/>
        <s v="PT00582"/>
        <s v="PT00583"/>
        <s v="PT00584"/>
        <s v="PT00585"/>
        <s v="PT00586"/>
        <s v="PT00587"/>
        <s v="PT00588"/>
        <s v="PT00589"/>
        <s v="PT00590"/>
        <s v="PT00591"/>
        <s v="PT00592"/>
        <s v="PT00593"/>
        <s v="PT00594"/>
        <s v="PT00595"/>
        <s v="PT00596"/>
        <s v="PT00597"/>
        <s v="PT00598"/>
        <s v="PT00599"/>
        <s v="PT00600"/>
        <s v="PT00601"/>
        <s v="PT00602"/>
        <s v="PT00603"/>
        <s v="PT00604"/>
        <s v="PT00605"/>
        <s v="PT00606"/>
        <s v="PT00607"/>
        <s v="PT00608"/>
        <s v="PT00609"/>
        <s v="PT00610"/>
        <s v="PT00611"/>
        <s v="PT00612"/>
        <s v="PT00613"/>
        <s v="PT00614"/>
        <s v="PT00615"/>
        <s v="PT00616"/>
        <s v="PT00617"/>
        <s v="PT00618"/>
        <s v="PT00619"/>
        <s v="PT00620"/>
        <s v="PT00621"/>
        <s v="PT00622"/>
        <s v="PT00623"/>
        <s v="PT00624"/>
        <s v="PT00625"/>
        <s v="PT00626"/>
        <s v="PT00627"/>
        <s v="PT00628"/>
        <s v="PT00629"/>
        <s v="PT00630"/>
        <s v="PT00631"/>
        <s v="PT00632"/>
        <s v="PT00633"/>
        <s v="PT00634"/>
        <s v="PT00635"/>
        <s v="PT00636"/>
        <s v="PT00637"/>
        <s v="PT00638"/>
        <s v="PT00639"/>
        <s v="PT00640"/>
        <s v="PT00641"/>
        <s v="PT00642"/>
        <s v="PT00643"/>
        <s v="PT00644"/>
        <s v="PT00645"/>
        <s v="PT00646"/>
        <s v="PT00647"/>
        <s v="PT00648"/>
        <s v="PT00649"/>
        <s v="PT00650"/>
        <s v="PT00651"/>
        <s v="PT00652"/>
        <s v="PT00653"/>
        <s v="PT00654"/>
        <s v="PT00655"/>
        <s v="PT00656"/>
        <s v="PT00657"/>
        <s v="PT00658"/>
        <s v="PT00659"/>
        <s v="PT00660"/>
        <s v="PT00661"/>
        <s v="PT00662"/>
        <s v="PT00663"/>
        <s v="PT00664"/>
        <s v="PT00665"/>
        <s v="PT00666"/>
        <s v="PT00667"/>
        <s v="PT00668"/>
        <s v="PT00669"/>
        <s v="PT00670"/>
        <s v="PT00671"/>
        <s v="PT00672"/>
        <s v="PT00673"/>
        <s v="PT00674"/>
        <s v="PT00675"/>
        <s v="PT00676"/>
        <s v="PT00677"/>
        <s v="PT00678"/>
        <s v="PT00679"/>
        <s v="PT00680"/>
        <s v="PT00681"/>
        <s v="PT00682"/>
        <s v="PT00683"/>
        <s v="PT00684"/>
        <s v="PT00685"/>
        <s v="PT00686"/>
        <s v="PT00687"/>
        <s v="PT00688"/>
        <s v="PT00689"/>
        <s v="PT00690"/>
        <s v="PT00691"/>
        <s v="PT00692"/>
        <s v="PT00693"/>
        <s v="PT00694"/>
        <s v="PT00695"/>
        <s v="PT00696"/>
        <s v="PT00697"/>
        <s v="PT00698"/>
        <s v="PT00699"/>
        <s v="PT00700"/>
        <s v="PT00701"/>
        <s v="PT00702"/>
        <s v="PT00703"/>
        <s v="PT00704"/>
        <s v="PT00705"/>
        <s v="PT00706"/>
        <s v="PT00707"/>
        <s v="PT00708"/>
        <s v="PT00709"/>
        <s v="PT00710"/>
        <s v="PT00711"/>
        <s v="PT00712"/>
        <s v="PT00713"/>
        <s v="PT00714"/>
        <s v="PT00715"/>
        <s v="PT00716"/>
        <s v="PT00717"/>
        <s v="PT00718"/>
        <s v="PT00719"/>
        <s v="PT00720"/>
        <s v="PT00721"/>
        <s v="PT00722"/>
        <s v="PT00723"/>
        <s v="PT00724"/>
        <s v="PT00725"/>
        <s v="PT00726"/>
        <s v="PT00727"/>
        <s v="PT00728"/>
        <s v="PT00729"/>
        <s v="PT00730"/>
        <s v="PT00731"/>
        <s v="PT00732"/>
        <s v="PT00733"/>
        <s v="PT00734"/>
        <s v="PT00735"/>
        <s v="PT00736"/>
        <s v="PT00737"/>
        <s v="PT00738"/>
        <s v="PT00739"/>
        <s v="PT00740"/>
        <s v="PT00741"/>
        <s v="PT00742"/>
        <s v="PT00743"/>
        <s v="PT00744"/>
        <s v="PT00745"/>
        <s v="PT00746"/>
        <s v="PT00747"/>
        <s v="PT00748"/>
        <s v="PT00749"/>
        <s v="PT00750"/>
        <s v="PT00751"/>
        <s v="PT00752"/>
        <s v="PT00753"/>
        <s v="PT00754"/>
        <s v="PT00755"/>
        <s v="PT00756"/>
        <s v="PT00757"/>
        <s v="PT00758"/>
        <s v="PT00759"/>
        <s v="PT00760"/>
        <s v="PT00761"/>
        <s v="PT00762"/>
        <s v="PT00763"/>
        <s v="PT00764"/>
        <s v="PT00765"/>
        <s v="PT00766"/>
        <s v="PT00767"/>
        <s v="PT00768"/>
        <s v="PT00769"/>
        <s v="PT00770"/>
        <s v="PT00771"/>
        <s v="PT00772"/>
        <s v="PT00773"/>
        <s v="PT00774"/>
        <s v="PT00775"/>
        <s v="PT00776"/>
        <s v="PT00777"/>
        <s v="PT00778"/>
        <s v="PT00779"/>
        <s v="PT00780"/>
        <s v="PT00781"/>
        <s v="PT00782"/>
        <s v="PT00783"/>
        <s v="PT00784"/>
        <s v="PT00785"/>
        <s v="PT00786"/>
        <s v="PT00787"/>
        <s v="PT00788"/>
        <s v="PT00789"/>
        <s v="PT00790"/>
        <s v="PT00791"/>
        <s v="PT00792"/>
        <s v="PT00793"/>
        <s v="PT00794"/>
        <s v="PT00795"/>
        <s v="PT00796"/>
        <s v="PT00797"/>
        <s v="PT00798"/>
        <s v="PT00799"/>
        <s v="PT00800"/>
        <s v="PT00801"/>
        <s v="PT00802"/>
        <s v="PT00803"/>
        <s v="PT00804"/>
        <s v="PT00805"/>
        <s v="PT00806"/>
        <s v="PT00807"/>
        <s v="PT00808"/>
        <s v="PT00809"/>
        <s v="PT00810"/>
        <s v="PT00811"/>
        <s v="PT00812"/>
        <s v="PT00813"/>
        <s v="PT00814"/>
        <s v="PT00815"/>
        <s v="PT00816"/>
        <s v="PT00817"/>
        <s v="PT00818"/>
        <s v="PT00819"/>
        <s v="PT00820"/>
        <s v="PT00821"/>
        <s v="PT00822"/>
        <s v="PT00823"/>
        <s v="PT00824"/>
        <s v="PT00825"/>
        <s v="PT00826"/>
        <s v="PT00827"/>
        <s v="PT00828"/>
        <s v="PT00829"/>
        <s v="PT00830"/>
        <s v="PT00831"/>
        <s v="PT00832"/>
        <s v="PT00833"/>
        <s v="PT00834"/>
        <s v="PT00835"/>
        <s v="PT00836"/>
        <s v="PT00837"/>
        <s v="PT00838"/>
        <s v="PT00839"/>
        <s v="PT00840"/>
        <s v="PT00841"/>
        <s v="PT00842"/>
        <s v="PT00843"/>
        <s v="PT00844"/>
        <s v="PT00845"/>
        <s v="PT00846"/>
        <s v="PT00847"/>
        <s v="PT00848"/>
        <s v="PT00849"/>
        <s v="PT00850"/>
        <s v="PT00851"/>
        <s v="PT00852"/>
        <s v="PT00853"/>
        <s v="PT00854"/>
        <s v="PT00855"/>
        <s v="PT00856"/>
        <s v="PT00857"/>
        <s v="PT00858"/>
        <s v="PT00859"/>
        <s v="PT00860"/>
        <s v="PT00861"/>
        <s v="PT00862"/>
        <s v="PT00863"/>
        <s v="PT00864"/>
        <s v="PT00865"/>
        <s v="PT00866"/>
        <s v="PT00867"/>
        <s v="PT00868"/>
        <s v="PT00869"/>
        <s v="PT00870"/>
        <s v="PT00871"/>
        <s v="PT00872"/>
        <s v="PT00873"/>
        <s v="PT00874"/>
        <s v="PT00875"/>
        <s v="PT00876"/>
        <s v="PT00877"/>
        <s v="PT00878"/>
        <s v="PT00879"/>
        <s v="PT00880"/>
        <s v="PT00881"/>
        <s v="PT00882"/>
        <s v="PT00883"/>
        <s v="PT00884"/>
        <s v="PT00885"/>
        <s v="PT00886"/>
        <s v="PT00887"/>
        <s v="PT00888"/>
        <s v="PT00889"/>
        <s v="PT00890"/>
        <s v="PT00891"/>
        <s v="PT00892"/>
        <s v="PT00893"/>
        <s v="PT00894"/>
        <s v="PT00895"/>
        <s v="PT00896"/>
        <s v="PT00897"/>
        <s v="PT00898"/>
        <s v="PT00899"/>
        <s v="PT00900"/>
        <s v="PT00901"/>
        <s v="PT00902"/>
        <s v="PT00903"/>
        <s v="PT00904"/>
        <s v="PT00905"/>
        <s v="PT00906"/>
        <s v="PT00907"/>
        <s v="PT00908"/>
        <s v="PT00909"/>
        <s v="PT00910"/>
        <s v="PT00911"/>
        <s v="PT00912"/>
        <s v="PT00913"/>
        <s v="PT00914"/>
        <s v="PT00915"/>
        <s v="PT00916"/>
        <s v="PT00917"/>
        <s v="PT00918"/>
        <s v="PT00919"/>
        <s v="PT00920"/>
        <s v="PT00921"/>
        <s v="PT00922"/>
        <s v="PT00923"/>
        <s v="PT00924"/>
        <s v="PT00925"/>
        <s v="PT00926"/>
        <s v="PT00927"/>
        <s v="PT00928"/>
        <s v="PT00929"/>
        <s v="PT00930"/>
        <s v="PT00931"/>
        <s v="PT00932"/>
        <s v="PT00933"/>
        <s v="PT00934"/>
        <s v="PT00935"/>
        <s v="PT00936"/>
        <s v="PT00937"/>
        <s v="PT00938"/>
        <s v="PT00939"/>
        <s v="PT00940"/>
        <s v="PT00941"/>
        <s v="PT00942"/>
        <s v="PT00943"/>
        <s v="PT00944"/>
        <s v="PT00945"/>
        <s v="PT00946"/>
        <s v="PT00947"/>
        <s v="PT00948"/>
        <s v="PT00949"/>
        <s v="PT00950"/>
        <s v="PT00951"/>
        <s v="PT00952"/>
        <s v="PT00953"/>
        <s v="PT00954"/>
        <s v="PT00955"/>
        <s v="PT00956"/>
        <s v="PT00957"/>
        <s v="PT00958"/>
        <s v="PT00959"/>
        <s v="PT00960"/>
        <s v="PT00961"/>
        <s v="PT00962"/>
        <s v="PT00963"/>
        <s v="PT00964"/>
        <s v="PT00965"/>
        <s v="PT00966"/>
        <s v="PT00967"/>
        <s v="PT00968"/>
        <s v="PT00969"/>
        <s v="PT00970"/>
        <s v="PT00971"/>
        <s v="PT00972"/>
        <s v="PT00973"/>
        <s v="PT00974"/>
        <s v="PT00975"/>
        <s v="PT00976"/>
        <s v="PT00977"/>
        <s v="PT00978"/>
        <s v="PT00979"/>
        <s v="PT00980"/>
        <s v="PT00981"/>
        <s v="PT00982"/>
        <s v="PT00983"/>
        <s v="PT00984"/>
        <s v="PT00985"/>
        <s v="PT00986"/>
        <s v="PT00987"/>
        <s v="PT00988"/>
        <s v="PT00989"/>
        <s v="PT00990"/>
        <s v="PT00991"/>
        <s v="PT00992"/>
        <s v="PT00993"/>
        <s v="PT00994"/>
        <s v="PT00995"/>
        <s v="PT00996"/>
        <s v="PT00997"/>
        <s v="PT00998"/>
        <s v="PT00999"/>
        <s v="PT01000"/>
        <s v="PT01001"/>
        <s v="PT01002"/>
        <s v="PT01003"/>
        <s v="PT01004"/>
        <s v="PT01005"/>
        <s v="PT01006"/>
        <s v="PT01007"/>
        <s v="PT01008"/>
        <s v="PT01009"/>
        <s v="PT01010"/>
        <s v="PT01011"/>
        <s v="PT01012"/>
        <s v="PT01013"/>
        <s v="PT01014"/>
        <s v="PT01015"/>
        <s v="PT01016"/>
        <s v="PT01017"/>
        <s v="PT01018"/>
        <s v="PT01019"/>
        <s v="PT01020"/>
        <s v="PT01021"/>
        <s v="PT01022"/>
        <s v="PT01023"/>
        <s v="PT01024"/>
        <s v="PT01025"/>
        <s v="PT01026"/>
        <s v="PT01027"/>
        <s v="PT01028"/>
        <s v="PT01029"/>
        <s v="PT01030"/>
        <s v="PT01031"/>
        <s v="PT01032"/>
        <s v="PT01033"/>
        <s v="PT01034"/>
        <s v="PT01035"/>
        <s v="PT01036"/>
        <s v="PT01037"/>
        <s v="PT01038"/>
        <s v="PT01039"/>
        <s v="PT01040"/>
        <s v="PT01041"/>
        <s v="PT01042"/>
        <s v="PT01043"/>
        <s v="PT01044"/>
        <s v="PT01045"/>
        <s v="PT01046"/>
        <s v="PT01047"/>
        <s v="PT01048"/>
        <s v="PT01049"/>
        <s v="PT01050"/>
        <s v="PT01051"/>
        <s v="PT01052"/>
        <s v="PT01053"/>
        <s v="PT01054"/>
        <s v="PT01055"/>
        <s v="PT01056"/>
        <s v="PT01057"/>
        <s v="PT01058"/>
        <s v="PT01059"/>
        <s v="PT01060"/>
        <s v="PT01061"/>
        <s v="PT01062"/>
        <s v="PT01063"/>
        <s v="PT01064"/>
        <s v="PT01065"/>
        <s v="PT01066"/>
        <s v="PT01067"/>
        <s v="PT01068"/>
        <s v="PT01069"/>
        <s v="PT01070"/>
        <s v="PT01071"/>
        <s v="PT01072"/>
        <s v="PT01073"/>
        <s v="PT01074"/>
        <s v="PT01075"/>
        <s v="PT01076"/>
        <s v="PT01077"/>
        <s v="PT01078"/>
        <s v="PT01079"/>
        <s v="PT01080"/>
        <s v="PT01081"/>
        <s v="PT01082"/>
        <s v="PT01083"/>
        <s v="PT01084"/>
        <s v="PT01085"/>
        <s v="PT01086"/>
        <s v="PT01087"/>
        <s v="PT01088"/>
        <s v="PT01089"/>
        <s v="PT01090"/>
        <s v="PT01091"/>
        <s v="PT01092"/>
        <s v="PT01093"/>
        <s v="PT01094"/>
        <s v="PT01095"/>
        <s v="PT01096"/>
        <s v="PT01097"/>
        <s v="PT01098"/>
        <s v="PT01099"/>
        <s v="PT01100"/>
        <s v="PT01101"/>
        <s v="PT01102"/>
        <s v="PT01103"/>
        <s v="PT01104"/>
        <s v="PT01105"/>
        <s v="PT01106"/>
        <s v="PT01107"/>
        <s v="PT01108"/>
        <s v="PT01109"/>
        <s v="PT01110"/>
        <s v="PT01111"/>
        <s v="PT01112"/>
        <s v="PT01113"/>
        <s v="PT01114"/>
        <s v="PT01115"/>
        <s v="PT01116"/>
        <s v="PT01117"/>
        <s v="PT01118"/>
        <s v="PT01119"/>
        <s v="PT01120"/>
        <s v="PT01121"/>
        <s v="PT01122"/>
        <s v="PT01123"/>
        <s v="PT01124"/>
        <s v="PT01125"/>
        <s v="PT01126"/>
        <s v="PT01127"/>
        <s v="PT01128"/>
        <s v="PT01129"/>
        <s v="PT01130"/>
        <s v="PT01131"/>
        <s v="PT01132"/>
        <s v="PT01133"/>
        <s v="PT01134"/>
        <s v="PT01135"/>
        <s v="PT01136"/>
        <s v="PT01137"/>
        <s v="PT01138"/>
        <s v="PT01139"/>
        <s v="PT01140"/>
        <s v="PT01141"/>
        <s v="PT01142"/>
        <s v="PT01143"/>
        <s v="PT01144"/>
        <s v="PT01145"/>
        <s v="PT01146"/>
        <s v="PT01147"/>
        <s v="PT01148"/>
        <s v="PT01149"/>
        <s v="PT01150"/>
        <s v="PT01151"/>
        <s v="PT01152"/>
        <s v="PT01153"/>
        <s v="PT01154"/>
        <s v="PT01155"/>
        <s v="PT01156"/>
        <s v="PT01157"/>
        <s v="PT01158"/>
        <s v="PT01159"/>
        <s v="PT01160"/>
        <s v="PT01161"/>
        <s v="PT01162"/>
        <s v="PT01163"/>
        <s v="PT01164"/>
        <s v="PT01165"/>
        <s v="PT01166"/>
        <s v="PT01167"/>
        <s v="PT01168"/>
        <s v="PT01169"/>
        <s v="PT01170"/>
        <s v="PT01171"/>
        <s v="PT01172"/>
        <s v="PT01173"/>
        <s v="PT01174"/>
        <s v="PT01175"/>
        <s v="PT01176"/>
        <s v="PT01177"/>
        <s v="PT01178"/>
        <s v="PT01179"/>
        <s v="PT01180"/>
        <s v="PT01181"/>
        <s v="PT01182"/>
        <s v="PT01183"/>
        <s v="PT01184"/>
        <s v="PT01185"/>
        <s v="PT01186"/>
        <s v="PT01187"/>
        <s v="PT01188"/>
        <s v="PT01189"/>
        <s v="PT01190"/>
        <s v="PT01191"/>
        <s v="PT01192"/>
        <s v="PT01193"/>
        <s v="PT01194"/>
        <s v="PT01195"/>
        <s v="PT01196"/>
        <s v="PT01197"/>
        <s v="PT01198"/>
        <s v="PT01199"/>
        <s v="PT01200"/>
        <s v="PT01201"/>
        <s v="PT01202"/>
        <s v="PT01203"/>
        <s v="PT01204"/>
        <s v="PT01205"/>
        <s v="PT01206"/>
        <s v="PT01207"/>
        <s v="PT01208"/>
        <s v="PT01209"/>
        <s v="PT01210"/>
        <s v="PT01211"/>
        <s v="PT01212"/>
        <s v="PT01213"/>
        <s v="PT01214"/>
        <s v="PT01215"/>
        <s v="PT01216"/>
        <s v="PT01217"/>
        <s v="PT01218"/>
        <s v="PT01219"/>
        <s v="PT01220"/>
        <s v="PT01221"/>
        <s v="PT01222"/>
        <s v="PT01223"/>
        <s v="PT01224"/>
        <s v="PT01225"/>
        <s v="PT01226"/>
        <s v="PT01227"/>
        <s v="PT01228"/>
        <s v="PT01229"/>
        <s v="PT01230"/>
        <s v="PT01231"/>
        <s v="PT01232"/>
        <s v="PT01233"/>
        <s v="PT01234"/>
        <s v="PT01235"/>
        <s v="PT01236"/>
        <s v="PT01237"/>
        <s v="PT01238"/>
        <s v="PT01239"/>
        <s v="PT01240"/>
        <s v="PT01241"/>
        <s v="PT01242"/>
        <s v="PT01243"/>
        <s v="PT01244"/>
        <s v="PT01245"/>
        <s v="PT01246"/>
        <s v="PT01247"/>
        <s v="PT01248"/>
        <s v="PT01249"/>
        <s v="PT01250"/>
        <s v="PT01251"/>
        <s v="PT01252"/>
        <s v="PT01253"/>
        <s v="PT01254"/>
        <s v="PT01255"/>
        <s v="PT01256"/>
        <s v="PT01257"/>
        <s v="PT01258"/>
        <s v="PT01259"/>
        <s v="PT01260"/>
        <s v="PT01261"/>
        <s v="PT01262"/>
        <s v="PT01263"/>
        <s v="PT01264"/>
        <s v="PT01265"/>
        <s v="PT01266"/>
        <s v="PT01267"/>
        <s v="PT01268"/>
        <s v="PT01269"/>
        <s v="PT01270"/>
        <s v="PT01271"/>
        <s v="PT01272"/>
        <s v="PT01273"/>
        <s v="PT01274"/>
        <s v="PT01275"/>
        <s v="PT01276"/>
        <s v="PT01277"/>
        <s v="PT01278"/>
        <s v="PT01279"/>
        <s v="PT01280"/>
        <s v="PT01281"/>
        <s v="PT01282"/>
        <s v="PT01283"/>
        <s v="PT01284"/>
        <s v="PT01285"/>
        <s v="PT01286"/>
        <s v="PT01287"/>
        <s v="PT01288"/>
        <s v="PT01289"/>
        <s v="PT01290"/>
        <s v="PT01291"/>
        <s v="PT01292"/>
        <s v="PT01293"/>
        <s v="PT01294"/>
        <s v="PT01295"/>
        <s v="PT01296"/>
        <s v="PT01297"/>
        <s v="PT01298"/>
        <s v="PT01299"/>
        <s v="PT01300"/>
        <s v="PT01301"/>
        <s v="PT01302"/>
        <s v="PT01303"/>
        <s v="PT01304"/>
        <s v="PT01305"/>
        <s v="PT01306"/>
        <s v="PT01307"/>
        <s v="PT01308"/>
        <s v="PT01309"/>
        <s v="PT01310"/>
        <s v="PT01311"/>
        <s v="PT01312"/>
        <s v="PT01313"/>
        <s v="PT01314"/>
        <s v="PT01315"/>
        <s v="PT01316"/>
        <s v="PT01317"/>
        <s v="PT01318"/>
        <s v="PT01319"/>
        <s v="PT01320"/>
        <s v="PT01321"/>
        <s v="PT01322"/>
        <s v="PT01323"/>
        <s v="PT01324"/>
        <s v="PT01325"/>
        <s v="PT01326"/>
        <s v="PT01327"/>
        <s v="PT01328"/>
        <s v="PT01329"/>
        <s v="PT01330"/>
        <s v="PT01331"/>
        <s v="PT01332"/>
        <s v="PT01333"/>
        <s v="PT01334"/>
        <s v="PT01335"/>
        <s v="PT01336"/>
        <s v="PT01337"/>
        <s v="PT01338"/>
        <s v="PT01339"/>
        <s v="PT01340"/>
        <s v="PT01341"/>
        <s v="PT01342"/>
        <s v="PT01343"/>
        <s v="PT01344"/>
        <s v="PT01345"/>
        <s v="PT01346"/>
        <s v="PT01347"/>
        <s v="PT01348"/>
        <s v="PT01349"/>
        <s v="PT01350"/>
        <s v="PT01351"/>
        <s v="PT01352"/>
        <s v="PT01353"/>
        <s v="PT01354"/>
        <s v="PT01355"/>
        <s v="PT01356"/>
        <s v="PT01357"/>
        <s v="PT01358"/>
        <s v="PT01359"/>
        <s v="PT01360"/>
        <s v="PT01361"/>
        <s v="PT01362"/>
        <s v="PT01363"/>
        <s v="PT01364"/>
        <s v="PT01365"/>
        <s v="PT01366"/>
        <s v="PT01367"/>
        <s v="PT01368"/>
        <s v="PT01369"/>
        <s v="PT01370"/>
        <s v="PT01371"/>
        <s v="PT01372"/>
        <s v="PT01373"/>
        <s v="PT01374"/>
        <s v="PT01375"/>
        <s v="PT01376"/>
        <s v="PT01377"/>
        <s v="PT01378"/>
        <s v="PT01379"/>
        <s v="PT01380"/>
        <s v="PT01381"/>
        <s v="PT01382"/>
        <s v="PT01383"/>
        <s v="PT01384"/>
        <s v="PT01385"/>
        <s v="PT01386"/>
        <s v="PT01387"/>
        <s v="PT01388"/>
        <s v="PT01389"/>
        <s v="PT01390"/>
        <s v="PT01391"/>
        <s v="PT01392"/>
        <s v="PT01393"/>
        <s v="PT01394"/>
        <s v="PT01395"/>
        <s v="PT01396"/>
        <s v="PT01397"/>
        <s v="PT01398"/>
        <s v="PT01399"/>
        <s v="PT01400"/>
        <s v="PT01401"/>
        <s v="PT01402"/>
        <s v="PT01403"/>
        <s v="PT01404"/>
        <s v="PT01405"/>
        <s v="PT01406"/>
        <s v="PT01407"/>
        <s v="PT01408"/>
        <s v="PT01409"/>
        <s v="PT01410"/>
        <s v="PT01411"/>
        <s v="PT01412"/>
        <s v="PT01413"/>
        <s v="PT01414"/>
        <s v="PT01415"/>
        <s v="PT01416"/>
        <s v="PT01417"/>
        <s v="PT01418"/>
        <s v="PT01419"/>
        <s v="PT01420"/>
        <s v="PT01421"/>
        <s v="PT01422"/>
        <s v="PT01423"/>
        <s v="PT01424"/>
        <s v="PT01425"/>
        <s v="PT01426"/>
        <s v="PT01427"/>
        <s v="PT01428"/>
        <s v="PT01429"/>
        <s v="PT01430"/>
        <s v="PT01431"/>
        <s v="PT01432"/>
        <s v="PT01433"/>
        <s v="PT01434"/>
        <s v="PT01435"/>
        <s v="PT01436"/>
        <s v="PT01437"/>
        <s v="PT01438"/>
        <s v="PT01439"/>
        <s v="PT01440"/>
        <s v="PT01441"/>
        <s v="PT01442"/>
        <s v="PT01443"/>
        <s v="PT01444"/>
        <s v="PT01445"/>
        <s v="PT01446"/>
        <s v="PT01447"/>
        <s v="PT01448"/>
        <s v="PT01449"/>
        <s v="PT01450"/>
        <s v="PT01451"/>
        <s v="PT01452"/>
        <s v="PT01453"/>
        <s v="PT01454"/>
        <s v="PT01455"/>
        <s v="PT01456"/>
        <s v="PT01457"/>
        <s v="PT01458"/>
        <s v="PT01459"/>
        <s v="PT01460"/>
        <s v="PT01461"/>
        <s v="PT01462"/>
        <s v="PT01463"/>
        <s v="PT01464"/>
        <s v="PT01465"/>
        <s v="PT01466"/>
        <s v="PT01467"/>
        <s v="PT01468"/>
        <s v="PT01469"/>
        <s v="PT01470"/>
        <s v="PT01471"/>
        <s v="PT01472"/>
        <s v="PT01473"/>
        <s v="PT01474"/>
        <s v="PT01475"/>
        <s v="PT01476"/>
        <s v="PT01477"/>
        <s v="PT01478"/>
        <s v="PT01479"/>
        <s v="PT01480"/>
        <s v="PT01481"/>
        <s v="PT01482"/>
        <s v="PT01483"/>
        <s v="PT01484"/>
        <s v="PT01485"/>
        <s v="PT01486"/>
        <s v="PT01487"/>
        <s v="PT01488"/>
        <s v="PT01489"/>
        <s v="PT01490"/>
        <s v="PT01491"/>
        <s v="PT01492"/>
        <s v="PT01493"/>
        <s v="PT01494"/>
        <s v="PT01495"/>
        <s v="PT01496"/>
        <s v="PT01497"/>
        <s v="PT01498"/>
        <s v="PT01499"/>
        <s v="PT01500"/>
        <s v="PT01501"/>
        <s v="PT01502"/>
        <s v="PT01503"/>
        <s v="PT01504"/>
        <s v="PT01505"/>
        <s v="PT01506"/>
        <s v="PT01507"/>
        <s v="PT01508"/>
        <s v="PT01509"/>
        <s v="PT01510"/>
        <s v="PT01511"/>
        <s v="PT01512"/>
        <s v="PT01513"/>
        <s v="PT01514"/>
        <s v="PT01515"/>
        <s v="PT01516"/>
        <s v="PT01517"/>
        <s v="PT01518"/>
        <s v="PT01519"/>
        <s v="PT01520"/>
        <s v="PT01521"/>
        <s v="PT01522"/>
        <s v="PT01523"/>
        <s v="PT01524"/>
        <s v="PT01525"/>
        <s v="PT01526"/>
        <s v="PT01527"/>
        <s v="PT01528"/>
        <s v="PT01529"/>
        <s v="PT01530"/>
        <s v="PT01531"/>
        <s v="PT01532"/>
        <s v="PT01533"/>
        <s v="PT01534"/>
        <s v="PT01535"/>
        <s v="PT01536"/>
        <s v="PT01537"/>
        <s v="PT01538"/>
        <s v="PT01539"/>
        <s v="PT01540"/>
        <s v="PT01541"/>
        <s v="PT01542"/>
        <s v="PT01543"/>
        <s v="PT01544"/>
        <s v="PT01545"/>
        <s v="PT01546"/>
        <s v="PT01547"/>
        <s v="PT01548"/>
        <s v="PT01549"/>
        <s v="PT01550"/>
        <s v="PT01551"/>
        <s v="PT01552"/>
        <s v="PT01553"/>
        <s v="PT01554"/>
        <s v="PT01555"/>
        <s v="PT01556"/>
        <s v="PT01557"/>
        <s v="PT01558"/>
        <s v="PT01559"/>
        <s v="PT01560"/>
        <s v="PT01561"/>
        <s v="PT01562"/>
        <s v="PT01563"/>
        <s v="PT01564"/>
        <s v="PT01565"/>
        <s v="PT01566"/>
        <s v="PT01567"/>
        <s v="PT01568"/>
        <s v="PT01569"/>
        <s v="PT01570"/>
        <s v="PT01571"/>
        <s v="PT01572"/>
        <s v="PT01573"/>
        <s v="PT01574"/>
        <s v="PT01575"/>
        <s v="PT01576"/>
        <s v="PT01577"/>
        <s v="PT01578"/>
        <s v="PT01579"/>
        <s v="PT01580"/>
        <s v="PT01581"/>
        <s v="PT01582"/>
        <s v="PT01583"/>
        <s v="PT01584"/>
        <s v="PT01585"/>
        <s v="PT01586"/>
        <s v="PT01587"/>
        <s v="PT01588"/>
        <s v="PT01589"/>
        <s v="PT01590"/>
        <s v="PT01591"/>
        <s v="PT01592"/>
        <s v="PT01593"/>
        <s v="PT01594"/>
        <s v="PT01595"/>
        <s v="PT01596"/>
        <s v="PT01597"/>
        <s v="PT01598"/>
        <s v="PT01599"/>
        <s v="PT01600"/>
        <s v="PT01601"/>
        <s v="PT01602"/>
        <s v="PT01603"/>
        <s v="PT01604"/>
        <s v="PT01605"/>
        <s v="PT01606"/>
        <s v="PT01607"/>
        <s v="PT01608"/>
        <s v="PT01609"/>
        <s v="PT01610"/>
        <s v="PT01611"/>
        <s v="PT01612"/>
        <s v="PT01613"/>
        <s v="PT01614"/>
        <s v="PT01615"/>
        <s v="PT01616"/>
        <s v="PT01617"/>
        <s v="PT01618"/>
        <s v="PT01619"/>
        <s v="PT01620"/>
        <s v="PT01621"/>
        <s v="PT01622"/>
        <s v="PT01623"/>
        <s v="PT01624"/>
        <s v="PT01625"/>
        <s v="PT01626"/>
        <s v="PT01627"/>
        <s v="PT01628"/>
        <s v="PT01629"/>
        <s v="PT01630"/>
        <s v="PT01631"/>
        <s v="PT01632"/>
        <s v="PT01633"/>
        <s v="PT01634"/>
        <s v="PT01635"/>
        <s v="PT01636"/>
        <s v="PT01637"/>
        <s v="PT01638"/>
        <s v="PT01639"/>
        <s v="PT01640"/>
        <s v="PT01641"/>
        <s v="PT01642"/>
        <s v="PT01643"/>
        <s v="PT01644"/>
        <s v="PT01645"/>
        <s v="PT01646"/>
        <s v="PT01647"/>
        <s v="PT01648"/>
        <s v="PT01649"/>
        <s v="PT01650"/>
        <s v="PT01651"/>
        <s v="PT01652"/>
        <s v="PT01653"/>
        <s v="PT01654"/>
        <s v="PT01655"/>
        <s v="PT01656"/>
        <s v="PT01657"/>
        <s v="PT01658"/>
        <s v="PT01659"/>
        <s v="PT01660"/>
        <s v="PT01661"/>
        <s v="PT01662"/>
        <s v="PT01663"/>
        <s v="PT01664"/>
        <s v="PT01665"/>
        <s v="PT01666"/>
        <s v="PT01667"/>
        <s v="PT01668"/>
        <s v="PT01669"/>
        <s v="PT01670"/>
        <s v="PT01671"/>
        <s v="PT01672"/>
        <s v="PT01673"/>
        <s v="PT01674"/>
        <s v="PT01675"/>
        <s v="PT01676"/>
        <s v="PT01677"/>
        <s v="PT01678"/>
        <s v="PT01679"/>
        <s v="PT01680"/>
        <s v="PT01681"/>
        <s v="PT01682"/>
        <s v="PT01683"/>
        <s v="PT01684"/>
        <s v="PT01685"/>
        <s v="PT01686"/>
        <s v="PT01687"/>
        <s v="PT01688"/>
        <s v="PT01689"/>
        <s v="PT01690"/>
        <s v="PT01691"/>
        <s v="PT01692"/>
        <s v="PT01693"/>
        <s v="PT01694"/>
        <s v="PT01695"/>
        <s v="PT01696"/>
        <s v="PT01697"/>
        <s v="PT01698"/>
        <s v="PT01699"/>
        <s v="PT01700"/>
        <s v="PT01701"/>
        <s v="PT01702"/>
        <s v="PT01703"/>
        <s v="PT01704"/>
        <s v="PT01705"/>
        <s v="PT01706"/>
        <s v="PT01707"/>
        <s v="PT01708"/>
        <s v="PT01709"/>
        <s v="PT01710"/>
        <s v="PT01711"/>
        <s v="PT01712"/>
        <s v="PT01713"/>
        <s v="PT01714"/>
        <s v="PT01715"/>
        <s v="PT01716"/>
        <s v="PT01717"/>
        <s v="PT01718"/>
        <s v="PT01719"/>
        <s v="PT01720"/>
        <s v="PT01721"/>
        <s v="PT01722"/>
        <s v="PT01723"/>
        <s v="PT01724"/>
        <s v="PT01725"/>
        <s v="PT01726"/>
        <s v="PT01727"/>
        <s v="PT01728"/>
        <s v="PT01729"/>
        <s v="PT01730"/>
        <s v="PT01731"/>
        <s v="PT01732"/>
        <s v="PT01733"/>
        <s v="PT01734"/>
        <s v="PT01735"/>
        <s v="PT01736"/>
        <s v="PT01737"/>
        <s v="PT01738"/>
        <s v="PT01739"/>
        <s v="PT01740"/>
        <s v="PT01741"/>
        <s v="PT01742"/>
        <s v="PT01743"/>
        <s v="PT01744"/>
        <s v="PT01745"/>
        <s v="PT01746"/>
        <s v="PT01747"/>
        <s v="PT01748"/>
        <s v="PT01749"/>
        <s v="PT01750"/>
        <s v="PT01751"/>
        <s v="PT01752"/>
        <s v="PT01753"/>
        <s v="PT01754"/>
        <s v="PT01755"/>
        <s v="PT01756"/>
        <s v="PT01757"/>
        <s v="PT01758"/>
        <s v="PT01759"/>
        <s v="PT01760"/>
        <s v="PT01761"/>
        <s v="PT01762"/>
        <s v="PT01763"/>
        <s v="PT01764"/>
        <s v="PT01765"/>
        <s v="PT01766"/>
        <s v="PT01767"/>
        <s v="PT01768"/>
        <s v="PT01769"/>
        <s v="PT01770"/>
        <s v="PT01771"/>
        <s v="PT01772"/>
        <s v="PT01773"/>
        <s v="PT01774"/>
        <s v="PT01775"/>
        <s v="PT01776"/>
        <s v="PT01777"/>
        <s v="PT01778"/>
        <s v="PT01779"/>
        <s v="PT01780"/>
        <s v="PT01781"/>
        <s v="PT01782"/>
        <s v="PT01783"/>
        <s v="PT01784"/>
        <s v="PT01785"/>
        <s v="PT01786"/>
        <s v="PT01787"/>
        <s v="PT01788"/>
        <s v="PT01789"/>
        <s v="PT01790"/>
        <s v="PT01791"/>
        <s v="PT01792"/>
        <s v="PT01793"/>
        <s v="PT01794"/>
        <s v="PT01795"/>
        <s v="PT01796"/>
        <s v="PT01797"/>
        <s v="PT01798"/>
        <s v="PT01799"/>
        <s v="PT01800"/>
        <s v="PT01801"/>
        <s v="PT01802"/>
        <s v="PT01803"/>
        <s v="PT01804"/>
        <s v="PT01805"/>
        <s v="PT01806"/>
        <s v="PT01807"/>
        <s v="PT01808"/>
        <s v="PT01809"/>
        <s v="PT01810"/>
        <s v="PT01811"/>
        <s v="PT01812"/>
        <s v="PT01813"/>
        <s v="PT01814"/>
        <s v="PT01815"/>
        <s v="PT01816"/>
        <s v="PT01817"/>
        <s v="PT01818"/>
        <s v="PT01819"/>
        <s v="PT01820"/>
        <s v="PT01821"/>
        <s v="PT01822"/>
        <s v="PT01823"/>
        <s v="PT01824"/>
        <s v="PT01825"/>
        <s v="PT01826"/>
        <s v="PT01827"/>
        <s v="PT01828"/>
        <s v="PT01829"/>
        <s v="PT01830"/>
        <s v="PT01831"/>
        <s v="PT01832"/>
        <s v="PT01833"/>
        <s v="PT01834"/>
        <s v="PT01835"/>
        <s v="PT01836"/>
        <s v="PT01837"/>
        <s v="PT01838"/>
        <s v="PT01839"/>
        <s v="PT01840"/>
        <s v="PT01841"/>
        <s v="PT01842"/>
        <s v="PT01843"/>
        <s v="PT01844"/>
        <s v="PT01845"/>
        <s v="PT01846"/>
        <s v="PT01847"/>
        <s v="PT01848"/>
        <s v="PT01849"/>
        <s v="PT01850"/>
        <s v="PT01851"/>
        <s v="PT01852"/>
        <s v="PT01853"/>
        <s v="PT01854"/>
        <s v="PT01855"/>
        <s v="PT01856"/>
        <s v="PT01857"/>
        <s v="PT01858"/>
        <s v="PT01859"/>
        <s v="PT01860"/>
        <s v="PT01861"/>
        <s v="PT01862"/>
        <s v="PT01863"/>
        <s v="PT01864"/>
        <s v="PT01865"/>
        <s v="PT01866"/>
        <s v="PT01867"/>
        <s v="PT01868"/>
        <s v="PT01869"/>
        <s v="PT01870"/>
        <s v="PT01871"/>
        <s v="PT01872"/>
        <s v="PT01873"/>
        <s v="PT01874"/>
        <s v="PT01875"/>
        <s v="PT01876"/>
        <s v="PT01877"/>
        <s v="PT01878"/>
        <s v="PT01879"/>
        <s v="PT01880"/>
        <s v="PT01881"/>
        <s v="PT01882"/>
        <s v="PT01883"/>
        <s v="PT01884"/>
        <s v="PT01885"/>
        <s v="PT01886"/>
        <s v="PT01887"/>
        <s v="PT01888"/>
        <s v="PT01889"/>
        <s v="PT01890"/>
        <s v="PT01891"/>
        <s v="PT01892"/>
        <s v="PT01893"/>
        <s v="PT01894"/>
        <s v="PT01895"/>
        <s v="PT01896"/>
        <s v="PT01897"/>
        <s v="PT01898"/>
        <s v="PT01899"/>
        <s v="PT01900"/>
        <s v="PT01901"/>
        <s v="PT01902"/>
        <s v="PT01903"/>
        <s v="PT01904"/>
        <s v="PT01905"/>
        <s v="PT01906"/>
        <s v="PT01907"/>
        <s v="PT01908"/>
        <s v="PT01909"/>
        <s v="PT01910"/>
        <s v="PT01911"/>
        <s v="PT01912"/>
        <s v="PT01913"/>
        <s v="PT01914"/>
        <s v="PT01915"/>
        <s v="PT01916"/>
        <s v="PT01917"/>
        <s v="PT01918"/>
        <s v="PT01919"/>
        <s v="PT01920"/>
        <s v="PT01921"/>
        <s v="PT01922"/>
        <s v="PT01923"/>
        <s v="PT01924"/>
        <s v="PT01925"/>
        <s v="PT01926"/>
        <s v="PT01927"/>
        <s v="PT01928"/>
        <s v="PT01929"/>
        <s v="PT01930"/>
        <s v="PT01931"/>
        <s v="PT01932"/>
        <s v="PT01933"/>
        <s v="PT01934"/>
        <s v="PT01935"/>
        <s v="PT01936"/>
        <s v="PT01937"/>
        <s v="PT01938"/>
        <s v="PT01939"/>
        <s v="PT01940"/>
        <s v="PT01941"/>
        <s v="PT01942"/>
        <s v="PT01943"/>
        <s v="PT01944"/>
        <s v="PT01945"/>
        <s v="PT01946"/>
        <s v="PT01947"/>
        <s v="PT01948"/>
        <s v="PT01949"/>
        <s v="PT01950"/>
        <s v="PT01951"/>
        <s v="PT01952"/>
        <s v="PT01953"/>
        <s v="PT01954"/>
        <s v="PT01955"/>
        <s v="PT01956"/>
        <s v="PT01957"/>
        <s v="PT01958"/>
        <s v="PT01959"/>
        <s v="PT01960"/>
        <s v="PT01961"/>
        <s v="PT01962"/>
        <s v="PT01963"/>
        <s v="PT01964"/>
        <s v="PT01965"/>
        <s v="PT01966"/>
        <s v="PT01967"/>
        <s v="PT01968"/>
        <s v="PT01969"/>
        <s v="PT01970"/>
        <s v="PT01971"/>
        <s v="PT01972"/>
        <s v="PT01973"/>
        <s v="PT01974"/>
        <s v="PT01975"/>
        <s v="PT01976"/>
        <s v="PT01977"/>
        <s v="PT01978"/>
        <s v="PT01979"/>
        <s v="PT01980"/>
        <s v="PT01981"/>
        <s v="PT01982"/>
        <s v="PT01983"/>
        <s v="PT01984"/>
        <s v="PT01985"/>
        <s v="PT01986"/>
        <s v="PT01987"/>
        <s v="PT01988"/>
        <s v="PT01989"/>
        <s v="PT01990"/>
        <s v="PT01991"/>
        <s v="PT01992"/>
        <s v="PT01993"/>
        <s v="PT01994"/>
        <s v="PT01995"/>
        <s v="PT01996"/>
        <s v="PT01997"/>
        <s v="PT01998"/>
        <s v="PT01999"/>
        <s v="PT02000"/>
        <s v="PT02001"/>
        <s v="PT02002"/>
        <s v="PT02003"/>
        <s v="PT02004"/>
        <s v="PT02005"/>
        <s v="PT02006"/>
        <s v="PT02007"/>
        <s v="PT02008"/>
        <s v="PT02009"/>
        <s v="PT02010"/>
        <s v="PT02011"/>
        <s v="PT02012"/>
        <s v="PT02013"/>
        <s v="PT02014"/>
        <s v="PT02015"/>
        <s v="PT02016"/>
        <s v="PT02017"/>
        <s v="PT02018"/>
        <s v="PT02019"/>
        <s v="PT02020"/>
        <s v="PT02021"/>
        <s v="PT02022"/>
        <s v="PT02023"/>
        <s v="PT02024"/>
        <s v="PT02025"/>
        <s v="PT02026"/>
        <s v="PT02027"/>
        <s v="PT02028"/>
        <s v="PT02029"/>
        <s v="PT02030"/>
        <s v="PT02031"/>
        <s v="PT02032"/>
        <s v="PT02033"/>
        <s v="PT02034"/>
        <s v="PT02035"/>
        <s v="PT02036"/>
        <s v="PT02037"/>
        <s v="PT02038"/>
        <s v="PT02039"/>
        <s v="PT02040"/>
        <s v="PT02041"/>
        <s v="PT02042"/>
        <s v="PT02043"/>
        <s v="PT02044"/>
        <s v="PT02045"/>
        <s v="PT02046"/>
        <s v="PT02047"/>
        <s v="PT02048"/>
        <s v="PT02049"/>
        <s v="PT02050"/>
        <s v="PT02051"/>
        <s v="PT02052"/>
        <s v="PT02053"/>
        <s v="PT02054"/>
        <s v="PT02055"/>
        <s v="PT02056"/>
        <s v="PT02057"/>
        <s v="PT02058"/>
        <s v="PT02059"/>
        <s v="PT02060"/>
        <s v="PT02061"/>
        <s v="PT02062"/>
        <s v="PT02063"/>
        <s v="PT02064"/>
        <s v="PT02065"/>
        <s v="PT02066"/>
        <s v="PT02067"/>
        <s v="PT02068"/>
        <s v="PT02069"/>
        <s v="PT02070"/>
        <s v="PT02071"/>
        <s v="PT02072"/>
        <s v="PT02073"/>
        <s v="PT02074"/>
        <s v="PT02075"/>
        <s v="PT02076"/>
        <s v="PT02077"/>
        <s v="PT02078"/>
        <s v="PT02079"/>
        <s v="PT02080"/>
        <s v="PT02081"/>
        <s v="PT02082"/>
        <s v="PT02083"/>
        <s v="PT02084"/>
        <s v="PT02085"/>
        <s v="PT02086"/>
        <s v="PT02087"/>
        <s v="PT02088"/>
        <s v="PT02089"/>
        <s v="PT02090"/>
        <s v="PT02091"/>
        <s v="PT02092"/>
        <s v="PT02093"/>
        <s v="PT02094"/>
        <s v="PT02095"/>
        <s v="PT02096"/>
        <s v="PT02097"/>
        <s v="PT02098"/>
        <s v="PT02099"/>
        <s v="PT02100"/>
        <s v="PT02101"/>
        <s v="PT02102"/>
        <s v="PT02103"/>
        <s v="PT02104"/>
        <s v="PT02105"/>
        <s v="PT02106"/>
        <s v="PT02107"/>
        <s v="PT02108"/>
        <s v="PT02109"/>
        <s v="PT02110"/>
        <s v="PT02111"/>
        <s v="PT02112"/>
        <s v="PT02113"/>
        <s v="PT02114"/>
        <s v="PT02115"/>
        <s v="PT02116"/>
        <s v="PT02117"/>
        <s v="PT02118"/>
        <s v="PT02119"/>
        <s v="PT02120"/>
        <s v="PT02121"/>
        <s v="PT02122"/>
        <s v="PT02123"/>
        <s v="PT02124"/>
        <s v="PT02125"/>
        <s v="PT02126"/>
        <s v="PT02127"/>
        <s v="PT02128"/>
        <s v="PT02129"/>
        <s v="PT02130"/>
        <s v="PT02131"/>
        <s v="PT02132"/>
        <s v="PT02133"/>
        <s v="PT02134"/>
        <s v="PT02135"/>
        <s v="PT02136"/>
        <s v="PT02137"/>
        <s v="PT02138"/>
        <s v="PT02139"/>
        <s v="PT02140"/>
        <s v="PT02141"/>
        <s v="PT02142"/>
        <s v="PT02143"/>
        <s v="PT02144"/>
        <s v="PT02145"/>
        <s v="PT02146"/>
        <s v="PT02147"/>
        <s v="PT02148"/>
        <s v="PT02149"/>
        <s v="PT02150"/>
        <s v="PT02151"/>
        <s v="PT02152"/>
        <s v="PT02153"/>
        <s v="PT02154"/>
        <s v="PT02155"/>
        <s v="PT02156"/>
        <s v="PT02157"/>
        <s v="PT02158"/>
        <s v="PT02159"/>
        <s v="PT02160"/>
        <s v="PT02161"/>
        <s v="PT02162"/>
        <s v="PT02163"/>
        <s v="PT02164"/>
        <s v="PT02165"/>
        <s v="PT02166"/>
        <s v="PT02167"/>
        <s v="PT02168"/>
        <s v="PT02169"/>
        <s v="PT02170"/>
        <s v="PT02171"/>
        <s v="PT02172"/>
        <s v="PT02173"/>
        <s v="PT02174"/>
        <s v="PT02175"/>
        <s v="PT02176"/>
        <s v="PT02177"/>
        <s v="PT02178"/>
        <s v="PT02179"/>
        <s v="PT02180"/>
        <s v="PT02181"/>
        <s v="PT02182"/>
        <s v="PT02183"/>
        <s v="PT02184"/>
        <s v="PT02185"/>
        <s v="PT02186"/>
        <s v="PT02187"/>
        <s v="PT02188"/>
        <s v="PT02189"/>
        <s v="PT02190"/>
        <s v="PT02191"/>
        <s v="PT02192"/>
        <s v="PT02193"/>
        <s v="PT02194"/>
        <s v="PT02195"/>
        <s v="PT02196"/>
        <s v="PT02197"/>
        <s v="PT02198"/>
        <s v="PT02199"/>
        <s v="PT02200"/>
        <s v="PT02201"/>
        <s v="PT02202"/>
        <s v="PT02203"/>
        <s v="PT02204"/>
        <s v="PT02205"/>
        <s v="PT02206"/>
        <s v="PT02207"/>
        <s v="PT02208"/>
        <s v="PT02209"/>
        <s v="PT02210"/>
        <s v="PT02211"/>
        <s v="PT02212"/>
        <s v="PT02213"/>
        <s v="PT02214"/>
        <s v="PT02215"/>
        <s v="PT02216"/>
        <s v="PT02217"/>
        <s v="PT02218"/>
        <s v="PT02219"/>
        <s v="PT02220"/>
        <s v="PT02221"/>
        <s v="PT02222"/>
        <s v="PT02223"/>
        <s v="PT02224"/>
        <s v="PT02225"/>
        <s v="PT02226"/>
        <s v="PT02227"/>
        <s v="PT02228"/>
        <s v="PT02229"/>
        <s v="PT02230"/>
        <s v="PT02231"/>
        <s v="PT02232"/>
        <s v="PT02233"/>
        <s v="PT02234"/>
        <s v="PT02235"/>
        <s v="PT02236"/>
        <s v="PT02237"/>
        <s v="PT02238"/>
        <s v="PT02239"/>
        <s v="PT02240"/>
        <s v="PT02241"/>
        <s v="PT02242"/>
        <s v="PT02243"/>
        <s v="PT02244"/>
        <s v="PT02245"/>
        <s v="PT02246"/>
        <s v="PT02247"/>
        <s v="PT02248"/>
        <s v="PT02249"/>
        <s v="PT02250"/>
        <s v="PT02251"/>
        <s v="PT02252"/>
        <s v="PT02253"/>
        <s v="PT02254"/>
        <s v="PT02255"/>
        <s v="PT02256"/>
        <s v="PT02257"/>
        <s v="PT02258"/>
        <s v="PT02259"/>
        <s v="PT02260"/>
        <s v="PT02261"/>
        <s v="PT02262"/>
        <s v="PT02263"/>
        <s v="PT02264"/>
        <s v="PT02265"/>
        <s v="PT02266"/>
        <s v="PT02267"/>
        <s v="PT02268"/>
        <s v="PT02269"/>
        <s v="PT02270"/>
        <s v="PT02271"/>
        <s v="PT02272"/>
        <s v="PT02273"/>
        <s v="PT02274"/>
        <s v="PT02275"/>
        <s v="PT02276"/>
        <s v="PT02277"/>
        <s v="PT02278"/>
        <s v="PT02279"/>
        <s v="PT02280"/>
        <s v="PT02281"/>
        <s v="PT02282"/>
        <s v="PT02283"/>
        <s v="PT02284"/>
        <s v="PT02285"/>
        <s v="PT02286"/>
        <s v="PT02287"/>
        <s v="PT02288"/>
        <s v="PT02289"/>
        <s v="PT02290"/>
        <s v="PT02291"/>
        <s v="PT02292"/>
        <s v="PT02293"/>
        <s v="PT02294"/>
        <s v="PT02295"/>
        <s v="PT02296"/>
        <s v="PT02297"/>
        <s v="PT02298"/>
        <s v="PT02299"/>
        <s v="PT02300"/>
        <s v="PT02301"/>
        <s v="PT02302"/>
        <s v="PT02303"/>
        <s v="PT02304"/>
        <s v="PT02305"/>
        <s v="PT02306"/>
        <s v="PT02307"/>
        <s v="PT02308"/>
        <s v="PT02309"/>
        <s v="PT02310"/>
        <s v="PT02311"/>
        <s v="PT02312"/>
        <s v="PT02313"/>
        <s v="PT02314"/>
        <s v="PT02315"/>
        <s v="PT02316"/>
        <s v="PT02317"/>
        <s v="PT02318"/>
        <s v="PT02319"/>
        <s v="PT02320"/>
        <s v="PT02321"/>
        <s v="PT02322"/>
        <s v="PT02323"/>
        <s v="PT02324"/>
        <s v="PT02325"/>
        <s v="PT02326"/>
        <s v="PT02327"/>
        <s v="PT02328"/>
        <s v="PT02329"/>
        <s v="PT02330"/>
        <s v="PT02331"/>
        <s v="PT02332"/>
        <s v="PT02333"/>
        <s v="PT02334"/>
        <s v="PT02335"/>
        <s v="PT02336"/>
        <s v="PT02337"/>
        <s v="PT02338"/>
        <s v="PT02339"/>
        <s v="PT02340"/>
        <s v="PT02341"/>
        <s v="PT02342"/>
        <s v="PT02343"/>
        <s v="PT02344"/>
        <s v="PT02345"/>
        <s v="PT02346"/>
        <s v="PT02347"/>
        <s v="PT02348"/>
        <s v="PT02349"/>
        <s v="PT02350"/>
        <s v="PT02351"/>
        <s v="PT02352"/>
        <s v="PT02353"/>
        <s v="PT02354"/>
        <s v="PT02355"/>
        <s v="PT02356"/>
        <s v="PT02357"/>
        <s v="PT02358"/>
        <s v="PT02359"/>
        <s v="PT02360"/>
        <s v="PT02361"/>
        <s v="PT02362"/>
        <s v="PT02363"/>
        <s v="PT02364"/>
        <s v="PT02365"/>
        <s v="PT02366"/>
        <s v="PT02367"/>
        <s v="PT02368"/>
        <s v="PT02369"/>
        <s v="PT02370"/>
        <s v="PT02371"/>
        <s v="PT02372"/>
        <s v="PT02373"/>
        <s v="PT02374"/>
        <s v="PT02375"/>
        <s v="PT02376"/>
        <s v="PT02377"/>
        <s v="PT02378"/>
        <s v="PT02379"/>
        <s v="PT02380"/>
        <s v="PT02381"/>
        <s v="PT02382"/>
        <s v="PT02383"/>
        <s v="PT02384"/>
        <s v="PT02385"/>
        <s v="PT02386"/>
        <s v="PT02387"/>
        <s v="PT02388"/>
        <s v="PT02389"/>
        <s v="PT02390"/>
        <s v="PT02391"/>
        <s v="PT02392"/>
        <s v="PT02393"/>
        <s v="PT02394"/>
        <s v="PT02395"/>
        <s v="PT02396"/>
        <s v="PT02397"/>
        <s v="PT02398"/>
        <s v="PT02399"/>
        <s v="PT02400"/>
        <s v="PT02401"/>
        <s v="PT02402"/>
        <s v="PT02403"/>
        <s v="PT02404"/>
        <s v="PT02405"/>
        <s v="PT02406"/>
        <s v="PT02407"/>
        <s v="PT02408"/>
        <s v="PT02409"/>
        <s v="PT02410"/>
        <s v="PT02411"/>
        <s v="PT02412"/>
        <s v="PT02413"/>
        <s v="PT02414"/>
        <s v="PT02415"/>
        <s v="PT02416"/>
        <s v="PT02417"/>
        <s v="PT02418"/>
        <s v="PT02419"/>
        <s v="PT02420"/>
        <s v="PT02421"/>
        <s v="PT02422"/>
        <s v="PT02423"/>
        <s v="PT02424"/>
        <s v="PT02425"/>
        <s v="PT02426"/>
        <s v="PT02427"/>
        <s v="PT02428"/>
        <s v="PT02429"/>
        <s v="PT02430"/>
        <s v="PT02431"/>
        <s v="PT02432"/>
        <s v="PT02433"/>
        <s v="PT02434"/>
        <s v="PT02435"/>
        <s v="PT02436"/>
        <s v="PT02437"/>
        <s v="PT02438"/>
        <s v="PT02439"/>
        <s v="PT02440"/>
        <s v="PT02441"/>
        <s v="PT02442"/>
        <s v="PT02443"/>
        <s v="PT02444"/>
        <s v="PT02445"/>
        <s v="PT02446"/>
        <s v="PT02447"/>
        <s v="PT02448"/>
        <s v="PT02449"/>
        <s v="PT02450"/>
        <s v="PT02451"/>
        <s v="PT02452"/>
        <s v="PT02453"/>
        <s v="PT02454"/>
        <s v="PT02455"/>
        <s v="PT02456"/>
        <s v="PT02457"/>
        <s v="PT02458"/>
        <s v="PT02459"/>
        <s v="PT02460"/>
        <s v="PT02461"/>
        <s v="PT02462"/>
        <s v="PT02463"/>
        <s v="PT02464"/>
        <s v="PT02465"/>
        <s v="PT02466"/>
        <s v="PT02467"/>
        <s v="PT02468"/>
        <s v="PT02469"/>
        <s v="PT02470"/>
        <s v="PT02471"/>
        <s v="PT02472"/>
        <s v="PT02473"/>
        <s v="PT02474"/>
        <s v="PT02475"/>
        <s v="PT02476"/>
        <s v="PT02477"/>
        <s v="PT02478"/>
        <s v="PT02479"/>
        <s v="PT02480"/>
        <s v="PT02481"/>
        <s v="PT02482"/>
        <s v="PT02483"/>
        <s v="PT02484"/>
        <s v="PT02485"/>
        <s v="PT02486"/>
        <s v="PT02487"/>
        <s v="PT02488"/>
        <s v="PT02489"/>
        <s v="PT02490"/>
        <s v="PT02491"/>
        <s v="PT02492"/>
        <s v="PT02493"/>
        <s v="PT02494"/>
        <s v="PT02495"/>
        <s v="PT02496"/>
        <s v="PT02497"/>
        <s v="PT02498"/>
        <s v="PT02499"/>
        <s v="PT02500"/>
        <s v="PT02501"/>
        <s v="PT02502"/>
        <s v="PT02503"/>
        <s v="PT02504"/>
        <s v="PT02505"/>
        <s v="PT02506"/>
        <s v="PT02507"/>
        <s v="PT02508"/>
        <s v="PT02509"/>
        <s v="PT02510"/>
        <s v="PT02511"/>
        <s v="PT02512"/>
        <s v="PT02513"/>
        <s v="PT02514"/>
        <s v="PT02515"/>
        <s v="PT02516"/>
        <s v="PT02517"/>
        <s v="PT02518"/>
        <s v="PT02519"/>
        <s v="PT02520"/>
        <s v="PT02521"/>
        <s v="PT02522"/>
        <s v="PT02523"/>
        <s v="PT02524"/>
        <s v="PT02525"/>
        <s v="PT02526"/>
        <s v="PT02527"/>
        <s v="PT02528"/>
        <s v="PT02529"/>
        <s v="PT02530"/>
        <s v="PT02531"/>
        <s v="PT02532"/>
        <s v="PT02533"/>
        <s v="PT02534"/>
        <s v="PT02535"/>
        <s v="PT02536"/>
        <s v="PT02537"/>
        <s v="PT02538"/>
        <s v="PT02539"/>
        <s v="PT02540"/>
        <s v="PT02541"/>
        <s v="PT02542"/>
        <s v="PT02543"/>
        <s v="PT02544"/>
        <s v="PT02545"/>
        <s v="PT02546"/>
        <s v="PT02547"/>
        <s v="PT02548"/>
        <s v="PT02549"/>
        <s v="PT02550"/>
        <s v="PT02551"/>
        <s v="PT02552"/>
        <s v="PT02553"/>
        <s v="PT02554"/>
        <s v="PT02555"/>
        <s v="PT02556"/>
        <s v="PT02557"/>
        <s v="PT02558"/>
        <s v="PT02559"/>
        <s v="PT02560"/>
        <s v="PT02561"/>
        <s v="PT02562"/>
        <s v="PT02563"/>
        <s v="PT02564"/>
        <s v="PT02565"/>
        <s v="PT02566"/>
        <s v="PT02567"/>
        <s v="PT02568"/>
        <s v="PT02569"/>
        <s v="PT02570"/>
        <s v="PT02571"/>
        <s v="PT02572"/>
        <s v="PT02573"/>
        <s v="PT02574"/>
        <s v="PT02575"/>
        <s v="PT02576"/>
        <s v="PT02577"/>
        <s v="PT02578"/>
        <s v="PT02579"/>
        <s v="PT02580"/>
        <s v="PT02581"/>
        <s v="PT02582"/>
        <s v="PT02583"/>
        <s v="PT02584"/>
        <s v="PT02585"/>
        <s v="PT02586"/>
        <s v="PT02587"/>
        <s v="PT02588"/>
        <s v="PT02589"/>
        <s v="PT02590"/>
        <s v="PT02591"/>
        <s v="PT02592"/>
        <s v="PT02593"/>
        <s v="PT02594"/>
        <s v="PT02595"/>
        <s v="PT02596"/>
        <s v="PT02597"/>
        <s v="PT02598"/>
        <s v="PT02599"/>
        <s v="PT02600"/>
        <s v="PT02601"/>
        <s v="PT02602"/>
        <s v="PT02603"/>
        <s v="PT02604"/>
        <s v="PT02605"/>
        <s v="PT02606"/>
        <s v="PT02607"/>
        <s v="PT02608"/>
        <s v="PT02609"/>
        <s v="PT02610"/>
        <s v="PT02611"/>
        <s v="PT02612"/>
        <s v="PT02613"/>
        <s v="PT02614"/>
        <s v="PT02615"/>
        <s v="PT02616"/>
        <s v="PT02617"/>
        <s v="PT02618"/>
        <s v="PT02619"/>
        <s v="PT02620"/>
        <s v="PT02621"/>
        <s v="PT02622"/>
        <s v="PT02623"/>
        <s v="PT02624"/>
        <s v="PT02625"/>
        <s v="PT02626"/>
        <s v="PT02627"/>
        <s v="PT02628"/>
        <s v="PT02629"/>
        <s v="PT02630"/>
        <s v="PT02631"/>
        <s v="PT02632"/>
        <s v="PT02633"/>
        <s v="PT02634"/>
        <s v="PT02635"/>
        <s v="PT02636"/>
        <s v="PT02637"/>
        <s v="PT02638"/>
        <s v="PT02639"/>
        <s v="PT02640"/>
        <s v="PT02641"/>
        <s v="PT02642"/>
        <s v="PT02643"/>
        <s v="PT02644"/>
        <s v="PT02645"/>
        <s v="PT02646"/>
        <s v="PT02647"/>
        <s v="PT02648"/>
        <s v="PT02649"/>
        <s v="PT02650"/>
        <s v="PT02651"/>
        <s v="PT02652"/>
        <s v="PT02653"/>
        <s v="PT02654"/>
        <s v="PT02655"/>
        <s v="PT02656"/>
        <s v="PT02657"/>
        <s v="PT02658"/>
        <s v="PT02659"/>
        <s v="PT02660"/>
        <s v="PT02661"/>
        <s v="PT02662"/>
        <s v="PT02663"/>
        <s v="PT02664"/>
        <s v="PT02665"/>
        <s v="PT02666"/>
        <s v="PT02667"/>
        <s v="PT02668"/>
        <s v="PT02669"/>
        <s v="PT02670"/>
        <s v="PT02671"/>
        <s v="PT02672"/>
        <s v="PT02673"/>
        <s v="PT02674"/>
        <s v="PT02675"/>
        <s v="PT02676"/>
        <s v="PT02677"/>
        <s v="PT02678"/>
        <s v="PT02679"/>
        <s v="PT02680"/>
        <s v="PT02681"/>
        <s v="PT02682"/>
        <s v="PT02683"/>
        <s v="PT02684"/>
        <s v="PT02685"/>
        <s v="PT02686"/>
        <s v="PT02687"/>
        <s v="PT02688"/>
        <s v="PT02689"/>
        <s v="PT02690"/>
        <s v="PT02691"/>
        <s v="PT02692"/>
        <s v="PT02693"/>
        <s v="PT02694"/>
        <s v="PT02695"/>
        <s v="PT02696"/>
        <s v="PT02697"/>
        <s v="PT02698"/>
        <s v="PT02699"/>
        <s v="PT02700"/>
        <s v="PT02701"/>
        <s v="PT02702"/>
        <s v="PT02703"/>
        <s v="PT02704"/>
        <s v="PT02705"/>
        <s v="PT02706"/>
        <s v="PT02707"/>
        <s v="PT02708"/>
        <s v="PT02709"/>
        <s v="PT02710"/>
        <s v="PT02711"/>
        <s v="PT02712"/>
        <s v="PT02713"/>
        <s v="PT02714"/>
        <s v="PT02715"/>
        <s v="PT02716"/>
        <s v="PT02717"/>
        <s v="PT02718"/>
        <s v="PT02719"/>
        <s v="PT02720"/>
        <s v="PT02721"/>
        <s v="PT02722"/>
        <s v="PT02723"/>
        <s v="PT02724"/>
        <s v="PT02725"/>
        <s v="PT02726"/>
        <s v="PT02727"/>
        <s v="PT02728"/>
        <s v="PT02729"/>
        <s v="PT02730"/>
        <s v="PT02731"/>
        <s v="PT02732"/>
        <s v="PT02733"/>
        <s v="PT02734"/>
        <s v="PT02735"/>
        <s v="PT02736"/>
        <s v="PT02737"/>
        <s v="PT02738"/>
        <s v="PT02739"/>
        <s v="PT02740"/>
        <s v="PT02741"/>
        <s v="PT02742"/>
        <s v="PT02743"/>
        <s v="PT02744"/>
        <s v="PT02745"/>
        <s v="PT02746"/>
        <s v="PT02747"/>
        <s v="PT02748"/>
        <s v="PT02749"/>
        <s v="PT02750"/>
        <s v="PT02751"/>
        <s v="PT02752"/>
        <s v="PT02753"/>
        <s v="PT02754"/>
        <s v="PT02755"/>
        <s v="PT02756"/>
        <s v="PT02757"/>
        <s v="PT02758"/>
        <s v="PT02759"/>
        <s v="PT02760"/>
        <s v="PT02761"/>
        <s v="PT02762"/>
        <s v="PT02763"/>
        <s v="PT02764"/>
        <s v="PT02765"/>
        <s v="PT02766"/>
        <s v="PT02767"/>
        <s v="PT02768"/>
        <s v="PT02769"/>
        <s v="PT02770"/>
        <s v="PT02771"/>
        <s v="PT02772"/>
        <s v="PT02773"/>
        <s v="PT02774"/>
        <s v="PT02775"/>
        <s v="PT02776"/>
        <s v="PT02777"/>
        <s v="PT02778"/>
        <s v="PT02779"/>
        <s v="PT02780"/>
        <s v="PT02781"/>
        <s v="PT02782"/>
        <s v="PT02783"/>
        <s v="PT02784"/>
        <s v="PT02785"/>
        <s v="PT02786"/>
        <s v="PT02787"/>
        <s v="PT02788"/>
        <s v="PT02789"/>
        <s v="PT02790"/>
        <s v="PT02791"/>
        <s v="PT02792"/>
        <s v="PT02793"/>
        <s v="PT02794"/>
        <s v="PT02795"/>
        <s v="PT02796"/>
        <s v="PT02797"/>
        <s v="PT02798"/>
        <s v="PT02799"/>
        <s v="PT02800"/>
        <s v="PT02801"/>
        <s v="PT02802"/>
        <s v="PT02803"/>
        <s v="PT02804"/>
        <s v="PT02805"/>
        <s v="PT02806"/>
        <s v="PT02807"/>
        <s v="PT02808"/>
        <s v="PT02809"/>
        <s v="PT02810"/>
        <s v="PT02811"/>
        <s v="PT02812"/>
        <s v="PT02813"/>
        <s v="PT02814"/>
        <s v="PT02815"/>
        <s v="PT02816"/>
        <s v="PT02817"/>
        <s v="PT02818"/>
        <s v="PT02819"/>
        <s v="PT02820"/>
        <s v="PT02821"/>
        <s v="PT02822"/>
        <s v="PT02823"/>
        <s v="PT02824"/>
        <s v="PT02825"/>
        <s v="PT02826"/>
        <s v="PT02827"/>
        <s v="PT02828"/>
        <s v="PT02829"/>
        <s v="PT02830"/>
        <s v="PT02831"/>
        <s v="PT02832"/>
        <s v="PT02833"/>
        <s v="PT02834"/>
        <s v="PT02835"/>
        <s v="PT02836"/>
        <s v="PT02837"/>
        <s v="PT02838"/>
        <s v="PT02839"/>
        <s v="PT02840"/>
        <s v="PT02841"/>
        <s v="PT02842"/>
        <s v="PT02843"/>
        <s v="PT02844"/>
        <s v="PT02845"/>
        <s v="PT02846"/>
        <s v="PT02847"/>
        <s v="PT02848"/>
        <s v="PT02849"/>
        <s v="PT02850"/>
        <s v="PT02851"/>
        <s v="PT02852"/>
        <s v="PT02853"/>
        <s v="PT02854"/>
        <s v="PT02855"/>
        <s v="PT02856"/>
        <s v="PT02857"/>
        <s v="PT02858"/>
        <s v="PT02859"/>
        <s v="PT02860"/>
        <s v="PT02861"/>
        <s v="PT02862"/>
        <s v="PT02863"/>
        <s v="PT02864"/>
        <s v="PT02865"/>
        <s v="PT02866"/>
        <s v="PT02867"/>
        <s v="PT02868"/>
        <s v="PT02869"/>
        <s v="PT02870"/>
        <s v="PT02871"/>
        <s v="PT02872"/>
        <s v="PT02873"/>
        <s v="PT02874"/>
        <s v="PT02875"/>
        <s v="PT02876"/>
        <s v="PT02877"/>
        <s v="PT02878"/>
        <s v="PT02879"/>
        <s v="PT02880"/>
        <s v="PT02881"/>
        <s v="PT02882"/>
        <s v="PT02883"/>
        <s v="PT02884"/>
        <s v="PT02885"/>
        <s v="PT02886"/>
        <s v="PT02887"/>
        <s v="PT02888"/>
        <s v="PT02889"/>
        <s v="PT02890"/>
        <s v="PT02891"/>
        <s v="PT02892"/>
        <s v="PT02893"/>
        <s v="PT02894"/>
        <s v="PT02895"/>
        <s v="PT02896"/>
        <s v="PT02897"/>
        <s v="PT02898"/>
        <s v="PT02899"/>
        <s v="PT02900"/>
        <s v="PT02901"/>
        <s v="PT02902"/>
        <s v="PT02903"/>
        <s v="PT02904"/>
        <s v="PT02905"/>
        <s v="PT02906"/>
        <s v="PT02907"/>
        <s v="PT02908"/>
        <s v="PT02909"/>
        <s v="PT02910"/>
        <s v="PT02911"/>
        <s v="PT02912"/>
        <s v="PT02913"/>
        <s v="PT02914"/>
        <s v="PT02915"/>
        <s v="PT02916"/>
        <s v="PT02917"/>
        <s v="PT02918"/>
        <s v="PT02919"/>
        <s v="PT02920"/>
        <s v="PT02921"/>
        <s v="PT02922"/>
        <s v="PT02923"/>
        <s v="PT02924"/>
        <s v="PT02925"/>
        <s v="PT02926"/>
        <s v="PT02927"/>
        <s v="PT02928"/>
        <s v="PT02929"/>
        <s v="PT02930"/>
        <s v="PT02931"/>
        <s v="PT02932"/>
        <s v="PT02933"/>
        <s v="PT02934"/>
        <s v="PT02935"/>
        <s v="PT02936"/>
        <s v="PT02937"/>
        <s v="PT02938"/>
        <s v="PT02939"/>
        <s v="PT02940"/>
        <s v="PT02941"/>
        <s v="PT02942"/>
        <s v="PT02943"/>
        <s v="PT02944"/>
        <s v="PT02945"/>
        <s v="PT02946"/>
        <s v="PT02947"/>
        <s v="PT02948"/>
        <s v="PT02949"/>
        <s v="PT02950"/>
        <s v="PT02951"/>
        <s v="PT02952"/>
        <s v="PT02953"/>
        <s v="PT02954"/>
        <s v="PT02955"/>
        <s v="PT02956"/>
        <s v="PT02957"/>
        <s v="PT02958"/>
        <s v="PT02959"/>
        <s v="PT02960"/>
        <s v="PT02961"/>
        <s v="PT02962"/>
        <s v="PT02963"/>
        <s v="PT02964"/>
        <s v="PT02965"/>
        <s v="PT02966"/>
        <s v="PT02967"/>
        <s v="PT02968"/>
        <s v="PT02969"/>
        <s v="PT02970"/>
        <s v="PT02971"/>
        <s v="PT02972"/>
        <s v="PT02973"/>
        <s v="PT02974"/>
        <s v="PT02975"/>
        <s v="PT02976"/>
        <s v="PT02977"/>
        <s v="PT02978"/>
        <s v="PT02979"/>
        <s v="PT02980"/>
        <s v="PT02981"/>
        <s v="PT02982"/>
        <s v="PT02983"/>
        <s v="PT02984"/>
        <s v="PT02985"/>
        <s v="PT02986"/>
        <s v="PT02987"/>
        <s v="PT02988"/>
        <s v="PT02989"/>
        <s v="PT02990"/>
        <s v="PT02991"/>
        <s v="PT02992"/>
        <s v="PT02993"/>
        <s v="PT02994"/>
        <s v="PT02995"/>
        <s v="PT02996"/>
        <s v="PT02997"/>
        <s v="PT02998"/>
        <s v="PT02999"/>
        <s v="PT03000"/>
      </sharedItems>
    </cacheField>
    <cacheField name="age" numFmtId="0">
      <sharedItems containsSemiMixedTypes="0" containsString="0" containsNumber="1" containsInteger="1" minValue="18" maxValue="90" count="73">
        <n v="27"/>
        <n v="28"/>
        <n v="49"/>
        <n v="18"/>
        <n v="68"/>
        <n v="29"/>
        <n v="77"/>
        <n v="36"/>
        <n v="78"/>
        <n v="40"/>
        <n v="38"/>
        <n v="72"/>
        <n v="66"/>
        <n v="51"/>
        <n v="23"/>
        <n v="50"/>
        <n v="43"/>
        <n v="61"/>
        <n v="75"/>
        <n v="71"/>
        <n v="22"/>
        <n v="41"/>
        <n v="89"/>
        <n v="90"/>
        <n v="69"/>
        <n v="63"/>
        <n v="86"/>
        <n v="46"/>
        <n v="39"/>
        <n v="85"/>
        <n v="24"/>
        <n v="73"/>
        <n v="81"/>
        <n v="74"/>
        <n v="67"/>
        <n v="32"/>
        <n v="55"/>
        <n v="45"/>
        <n v="19"/>
        <n v="44"/>
        <n v="59"/>
        <n v="52"/>
        <n v="33"/>
        <n v="65"/>
        <n v="53"/>
        <n v="58"/>
        <n v="54"/>
        <n v="34"/>
        <n v="20"/>
        <n v="26"/>
        <n v="25"/>
        <n v="47"/>
        <n v="35"/>
        <n v="42"/>
        <n v="62"/>
        <n v="30"/>
        <n v="21"/>
        <n v="88"/>
        <n v="70"/>
        <n v="82"/>
        <n v="76"/>
        <n v="31"/>
        <n v="64"/>
        <n v="79"/>
        <n v="37"/>
        <n v="87"/>
        <n v="48"/>
        <n v="80"/>
        <n v="83"/>
        <n v="84"/>
        <n v="57"/>
        <n v="56"/>
        <n v="60"/>
      </sharedItems>
    </cacheField>
    <cacheField name="gender" numFmtId="0">
      <sharedItems count="3">
        <s v="Male"/>
        <s v="Female"/>
        <s v="Other/Not recorded"/>
      </sharedItems>
    </cacheField>
    <cacheField name="department" numFmtId="0">
      <sharedItems count="6">
        <s v="General Medicine"/>
        <s v="Emergency"/>
        <s v="Cardiology"/>
        <s v="Oncology"/>
        <s v="Neurology"/>
        <s v="Orthopedics"/>
      </sharedItems>
    </cacheField>
    <cacheField name="admission_type" numFmtId="0">
      <sharedItems count="3">
        <s v="Elective"/>
        <s v="Urgent"/>
        <s v="Emergency"/>
      </sharedItems>
    </cacheField>
    <cacheField name="admission_date" numFmtId="0">
      <sharedItems/>
    </cacheField>
    <cacheField name="discharge_date" numFmtId="0">
      <sharedItems containsBlank="1"/>
    </cacheField>
    <cacheField name="length_of_stay_days" numFmtId="0">
      <sharedItems containsSemiMixedTypes="0" containsString="0" containsNumber="1" containsInteger="1" minValue="1" maxValue="15"/>
    </cacheField>
    <cacheField name="treatment_cost_cad" numFmtId="164">
      <sharedItems containsSemiMixedTypes="0" containsString="0" containsNumber="1" minValue="350" maxValue="19892.23"/>
    </cacheField>
    <cacheField name="readmitted_within_30_days" numFmtId="0">
      <sharedItems count="2">
        <s v="No"/>
        <s v="Yes"/>
      </sharedItems>
    </cacheField>
    <cacheField name="discharge_outcome" numFmtId="0">
      <sharedItems/>
    </cacheField>
    <cacheField name="age_group" numFmtId="0">
      <sharedItems count="5">
        <s v="18-29"/>
        <s v="45-59"/>
        <s v="60-74"/>
        <s v="75-90"/>
        <s v="30-44"/>
      </sharedItems>
    </cacheField>
    <cacheField name="Long_Stay" numFmtId="0">
      <sharedItems count="2">
        <s v="No"/>
        <s v="Yes"/>
      </sharedItems>
    </cacheField>
  </cacheFields>
  <extLst>
    <ext xmlns:x14="http://schemas.microsoft.com/office/spreadsheetml/2009/9/main" uri="{725AE2AE-9491-48be-B2B4-4EB974FC3084}">
      <x14:pivotCacheDefinition pivotCacheId="191300810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s v="2025-02-05"/>
    <s v="2025-02-10"/>
    <n v="5"/>
    <n v="6891.8"/>
    <x v="0"/>
    <s v="Discharged"/>
    <x v="0"/>
    <x v="0"/>
  </r>
  <r>
    <x v="1"/>
    <x v="1"/>
    <x v="1"/>
    <x v="0"/>
    <x v="1"/>
    <s v="2025-04-29"/>
    <s v="2025-05-02"/>
    <n v="3"/>
    <n v="6722.78"/>
    <x v="0"/>
    <s v="Discharged"/>
    <x v="0"/>
    <x v="0"/>
  </r>
  <r>
    <x v="2"/>
    <x v="2"/>
    <x v="1"/>
    <x v="0"/>
    <x v="0"/>
    <s v="2025-06-03"/>
    <s v="2025-06-07"/>
    <n v="4"/>
    <n v="5762.72"/>
    <x v="0"/>
    <s v="Discharged"/>
    <x v="1"/>
    <x v="0"/>
  </r>
  <r>
    <x v="3"/>
    <x v="3"/>
    <x v="1"/>
    <x v="1"/>
    <x v="0"/>
    <s v="2025-09-27"/>
    <s v="2025-10-02"/>
    <n v="5"/>
    <n v="7010.41"/>
    <x v="0"/>
    <s v="Discharged"/>
    <x v="0"/>
    <x v="0"/>
  </r>
  <r>
    <x v="4"/>
    <x v="4"/>
    <x v="1"/>
    <x v="2"/>
    <x v="0"/>
    <s v="2025-07-17"/>
    <s v="2025-07-19"/>
    <n v="2"/>
    <n v="9232.7999999999993"/>
    <x v="0"/>
    <s v="Discharged"/>
    <x v="2"/>
    <x v="0"/>
  </r>
  <r>
    <x v="5"/>
    <x v="5"/>
    <x v="1"/>
    <x v="1"/>
    <x v="0"/>
    <s v="2025-10-04"/>
    <s v="2025-10-08"/>
    <n v="4"/>
    <n v="3041.89"/>
    <x v="0"/>
    <s v="Discharged"/>
    <x v="0"/>
    <x v="0"/>
  </r>
  <r>
    <x v="6"/>
    <x v="6"/>
    <x v="0"/>
    <x v="1"/>
    <x v="2"/>
    <s v="2025-06-21"/>
    <s v="2025-06-24"/>
    <n v="3"/>
    <n v="5710.54"/>
    <x v="0"/>
    <s v="Discharged"/>
    <x v="3"/>
    <x v="0"/>
  </r>
  <r>
    <x v="7"/>
    <x v="7"/>
    <x v="0"/>
    <x v="2"/>
    <x v="2"/>
    <s v="2025-11-08"/>
    <s v="2025-11-12"/>
    <n v="4"/>
    <n v="9229.14"/>
    <x v="0"/>
    <s v="Transferred"/>
    <x v="4"/>
    <x v="0"/>
  </r>
  <r>
    <x v="8"/>
    <x v="8"/>
    <x v="0"/>
    <x v="3"/>
    <x v="1"/>
    <s v="2025-03-25"/>
    <s v="2025-04-03"/>
    <n v="9"/>
    <n v="15904.48"/>
    <x v="1"/>
    <s v="Discharged"/>
    <x v="3"/>
    <x v="1"/>
  </r>
  <r>
    <x v="9"/>
    <x v="1"/>
    <x v="0"/>
    <x v="4"/>
    <x v="1"/>
    <s v="2025-01-16"/>
    <s v="2025-01-25"/>
    <n v="9"/>
    <n v="12892.82"/>
    <x v="0"/>
    <s v="Discharged"/>
    <x v="0"/>
    <x v="1"/>
  </r>
  <r>
    <x v="10"/>
    <x v="9"/>
    <x v="0"/>
    <x v="5"/>
    <x v="2"/>
    <s v="2025-04-07"/>
    <m/>
    <n v="8"/>
    <n v="11781.63"/>
    <x v="0"/>
    <s v="Discharged"/>
    <x v="4"/>
    <x v="1"/>
  </r>
  <r>
    <x v="11"/>
    <x v="10"/>
    <x v="1"/>
    <x v="3"/>
    <x v="2"/>
    <s v="2025-08-26"/>
    <s v="2025-08-31"/>
    <n v="5"/>
    <n v="12763.14"/>
    <x v="0"/>
    <s v="Discharged"/>
    <x v="4"/>
    <x v="0"/>
  </r>
  <r>
    <x v="12"/>
    <x v="3"/>
    <x v="0"/>
    <x v="4"/>
    <x v="2"/>
    <s v="2025-11-05"/>
    <s v="2025-11-07"/>
    <n v="2"/>
    <n v="9582.1299999999992"/>
    <x v="0"/>
    <s v="Discharged"/>
    <x v="0"/>
    <x v="0"/>
  </r>
  <r>
    <x v="13"/>
    <x v="11"/>
    <x v="1"/>
    <x v="4"/>
    <x v="0"/>
    <s v="2025-12-20"/>
    <s v="2025-12-27"/>
    <n v="7"/>
    <n v="12291.27"/>
    <x v="0"/>
    <s v="Discharged"/>
    <x v="2"/>
    <x v="0"/>
  </r>
  <r>
    <x v="14"/>
    <x v="12"/>
    <x v="1"/>
    <x v="2"/>
    <x v="1"/>
    <s v="2025-12-09"/>
    <s v="2025-12-16"/>
    <n v="7"/>
    <n v="11375.14"/>
    <x v="0"/>
    <s v="Transferred"/>
    <x v="2"/>
    <x v="0"/>
  </r>
  <r>
    <x v="15"/>
    <x v="13"/>
    <x v="2"/>
    <x v="1"/>
    <x v="0"/>
    <s v="2025-10-19"/>
    <s v="2025-10-20"/>
    <n v="1"/>
    <n v="2977.67"/>
    <x v="0"/>
    <s v="Discharged"/>
    <x v="1"/>
    <x v="0"/>
  </r>
  <r>
    <x v="16"/>
    <x v="14"/>
    <x v="1"/>
    <x v="1"/>
    <x v="0"/>
    <s v="2025-03-13"/>
    <s v="2025-03-17"/>
    <n v="4"/>
    <n v="5261.29"/>
    <x v="0"/>
    <s v="Discharged"/>
    <x v="0"/>
    <x v="0"/>
  </r>
  <r>
    <x v="17"/>
    <x v="5"/>
    <x v="1"/>
    <x v="5"/>
    <x v="1"/>
    <s v="2025-01-08"/>
    <s v="2025-01-14"/>
    <n v="6"/>
    <n v="12386.24"/>
    <x v="0"/>
    <s v="Discharged"/>
    <x v="0"/>
    <x v="0"/>
  </r>
  <r>
    <x v="18"/>
    <x v="15"/>
    <x v="1"/>
    <x v="1"/>
    <x v="0"/>
    <s v="2025-12-28"/>
    <s v="2026-01-03"/>
    <n v="6"/>
    <n v="6048.46"/>
    <x v="0"/>
    <s v="Discharged"/>
    <x v="1"/>
    <x v="0"/>
  </r>
  <r>
    <x v="19"/>
    <x v="16"/>
    <x v="1"/>
    <x v="4"/>
    <x v="2"/>
    <s v="2025-12-25"/>
    <s v="2026-01-01"/>
    <n v="7"/>
    <n v="13384.61"/>
    <x v="0"/>
    <s v="Discharged"/>
    <x v="4"/>
    <x v="0"/>
  </r>
  <r>
    <x v="20"/>
    <x v="17"/>
    <x v="1"/>
    <x v="3"/>
    <x v="2"/>
    <s v="2025-05-26"/>
    <s v="2025-06-04"/>
    <n v="9"/>
    <n v="14463.58"/>
    <x v="0"/>
    <s v="Transferred"/>
    <x v="2"/>
    <x v="1"/>
  </r>
  <r>
    <x v="21"/>
    <x v="18"/>
    <x v="1"/>
    <x v="0"/>
    <x v="2"/>
    <s v="2025-02-16"/>
    <s v="2025-02-24"/>
    <n v="8"/>
    <n v="10205.77"/>
    <x v="0"/>
    <s v="Discharged"/>
    <x v="3"/>
    <x v="1"/>
  </r>
  <r>
    <x v="22"/>
    <x v="19"/>
    <x v="0"/>
    <x v="4"/>
    <x v="1"/>
    <s v="2025-05-05"/>
    <s v="2025-05-13"/>
    <n v="8"/>
    <n v="14260.9"/>
    <x v="0"/>
    <s v="Discharged"/>
    <x v="2"/>
    <x v="1"/>
  </r>
  <r>
    <x v="23"/>
    <x v="20"/>
    <x v="0"/>
    <x v="1"/>
    <x v="0"/>
    <s v="2025-07-03"/>
    <s v="2025-07-06"/>
    <n v="3"/>
    <n v="5034.6899999999996"/>
    <x v="0"/>
    <s v="Discharged"/>
    <x v="0"/>
    <x v="0"/>
  </r>
  <r>
    <x v="24"/>
    <x v="21"/>
    <x v="1"/>
    <x v="4"/>
    <x v="1"/>
    <s v="2025-02-27"/>
    <s v="2025-03-04"/>
    <n v="5"/>
    <n v="10002.02"/>
    <x v="0"/>
    <s v="Discharged"/>
    <x v="4"/>
    <x v="0"/>
  </r>
  <r>
    <x v="25"/>
    <x v="10"/>
    <x v="0"/>
    <x v="1"/>
    <x v="2"/>
    <s v="2025-11-03"/>
    <s v="2025-11-05"/>
    <n v="2"/>
    <n v="6669.65"/>
    <x v="1"/>
    <s v="Transferred"/>
    <x v="4"/>
    <x v="0"/>
  </r>
  <r>
    <x v="26"/>
    <x v="22"/>
    <x v="1"/>
    <x v="3"/>
    <x v="1"/>
    <s v="2025-11-12"/>
    <s v="2025-11-21"/>
    <n v="9"/>
    <n v="14130.12"/>
    <x v="0"/>
    <s v="Discharged"/>
    <x v="3"/>
    <x v="1"/>
  </r>
  <r>
    <x v="27"/>
    <x v="11"/>
    <x v="1"/>
    <x v="0"/>
    <x v="2"/>
    <s v="2025-08-17"/>
    <s v="2025-08-23"/>
    <n v="6"/>
    <n v="8313.68"/>
    <x v="0"/>
    <s v="Discharged"/>
    <x v="2"/>
    <x v="0"/>
  </r>
  <r>
    <x v="28"/>
    <x v="12"/>
    <x v="0"/>
    <x v="0"/>
    <x v="2"/>
    <s v="2025-06-08"/>
    <s v="2025-06-14"/>
    <n v="6"/>
    <n v="8922.07"/>
    <x v="1"/>
    <s v="Discharged"/>
    <x v="2"/>
    <x v="0"/>
  </r>
  <r>
    <x v="29"/>
    <x v="23"/>
    <x v="1"/>
    <x v="2"/>
    <x v="2"/>
    <s v="2025-08-28"/>
    <s v="2025-09-06"/>
    <n v="9"/>
    <n v="14873.03"/>
    <x v="1"/>
    <s v="Discharged"/>
    <x v="3"/>
    <x v="1"/>
  </r>
  <r>
    <x v="30"/>
    <x v="24"/>
    <x v="1"/>
    <x v="4"/>
    <x v="1"/>
    <s v="2025-12-09"/>
    <s v="2025-12-15"/>
    <n v="6"/>
    <n v="10913.93"/>
    <x v="0"/>
    <s v="Discharged"/>
    <x v="2"/>
    <x v="0"/>
  </r>
  <r>
    <x v="31"/>
    <x v="25"/>
    <x v="1"/>
    <x v="4"/>
    <x v="2"/>
    <s v="2025-10-02"/>
    <s v="2025-10-11"/>
    <n v="9"/>
    <n v="16946.82"/>
    <x v="1"/>
    <s v="Discharged"/>
    <x v="2"/>
    <x v="1"/>
  </r>
  <r>
    <x v="32"/>
    <x v="26"/>
    <x v="1"/>
    <x v="1"/>
    <x v="1"/>
    <s v="2025-01-29"/>
    <s v="2025-02-04"/>
    <n v="6"/>
    <n v="6243.16"/>
    <x v="0"/>
    <s v="Discharged"/>
    <x v="3"/>
    <x v="0"/>
  </r>
  <r>
    <x v="33"/>
    <x v="27"/>
    <x v="1"/>
    <x v="3"/>
    <x v="0"/>
    <s v="2025-11-01"/>
    <s v="2025-11-08"/>
    <n v="7"/>
    <n v="14095.04"/>
    <x v="0"/>
    <s v="Discharged"/>
    <x v="1"/>
    <x v="0"/>
  </r>
  <r>
    <x v="34"/>
    <x v="28"/>
    <x v="0"/>
    <x v="1"/>
    <x v="1"/>
    <s v="2025-09-03"/>
    <s v="2025-09-10"/>
    <n v="7"/>
    <n v="8175.07"/>
    <x v="1"/>
    <s v="Discharged"/>
    <x v="4"/>
    <x v="0"/>
  </r>
  <r>
    <x v="35"/>
    <x v="29"/>
    <x v="0"/>
    <x v="1"/>
    <x v="2"/>
    <s v="2025-09-09"/>
    <s v="2025-09-17"/>
    <n v="8"/>
    <n v="8810.93"/>
    <x v="0"/>
    <s v="Discharged"/>
    <x v="3"/>
    <x v="1"/>
  </r>
  <r>
    <x v="36"/>
    <x v="0"/>
    <x v="1"/>
    <x v="0"/>
    <x v="2"/>
    <s v="2025-09-22"/>
    <s v="2025-09-25"/>
    <n v="3"/>
    <n v="5250.48"/>
    <x v="1"/>
    <s v="Discharged"/>
    <x v="0"/>
    <x v="0"/>
  </r>
  <r>
    <x v="37"/>
    <x v="30"/>
    <x v="1"/>
    <x v="4"/>
    <x v="2"/>
    <s v="2025-08-11"/>
    <s v="2025-08-20"/>
    <n v="9"/>
    <n v="13369.49"/>
    <x v="0"/>
    <s v="Discharged"/>
    <x v="0"/>
    <x v="1"/>
  </r>
  <r>
    <x v="38"/>
    <x v="31"/>
    <x v="0"/>
    <x v="3"/>
    <x v="0"/>
    <s v="2025-04-28"/>
    <s v="2025-05-05"/>
    <n v="7"/>
    <n v="12705.96"/>
    <x v="0"/>
    <s v="Discharged"/>
    <x v="2"/>
    <x v="0"/>
  </r>
  <r>
    <x v="39"/>
    <x v="0"/>
    <x v="0"/>
    <x v="1"/>
    <x v="0"/>
    <s v="2025-01-30"/>
    <s v="2025-02-01"/>
    <n v="2"/>
    <n v="2965.92"/>
    <x v="0"/>
    <s v="Discharged"/>
    <x v="0"/>
    <x v="0"/>
  </r>
  <r>
    <x v="40"/>
    <x v="22"/>
    <x v="1"/>
    <x v="0"/>
    <x v="1"/>
    <s v="2025-03-31"/>
    <s v="2025-04-04"/>
    <n v="4"/>
    <n v="3129.76"/>
    <x v="0"/>
    <s v="Discharged"/>
    <x v="3"/>
    <x v="0"/>
  </r>
  <r>
    <x v="41"/>
    <x v="3"/>
    <x v="1"/>
    <x v="1"/>
    <x v="2"/>
    <s v="2025-07-09"/>
    <s v="2025-07-11"/>
    <n v="2"/>
    <n v="1876.61"/>
    <x v="0"/>
    <s v="Discharged"/>
    <x v="0"/>
    <x v="0"/>
  </r>
  <r>
    <x v="42"/>
    <x v="2"/>
    <x v="1"/>
    <x v="4"/>
    <x v="2"/>
    <s v="2025-03-17"/>
    <s v="2025-03-22"/>
    <n v="5"/>
    <n v="12535.91"/>
    <x v="0"/>
    <s v="Discharged"/>
    <x v="1"/>
    <x v="0"/>
  </r>
  <r>
    <x v="43"/>
    <x v="32"/>
    <x v="0"/>
    <x v="0"/>
    <x v="2"/>
    <s v="2025-01-19"/>
    <s v="2025-01-26"/>
    <n v="7"/>
    <n v="6026.85"/>
    <x v="0"/>
    <s v="Transferred"/>
    <x v="3"/>
    <x v="0"/>
  </r>
  <r>
    <x v="44"/>
    <x v="0"/>
    <x v="1"/>
    <x v="1"/>
    <x v="0"/>
    <s v="2025-09-01"/>
    <s v="2025-09-04"/>
    <n v="3"/>
    <n v="6009.14"/>
    <x v="0"/>
    <s v="Discharged"/>
    <x v="0"/>
    <x v="0"/>
  </r>
  <r>
    <x v="45"/>
    <x v="33"/>
    <x v="0"/>
    <x v="0"/>
    <x v="0"/>
    <s v="2025-10-28"/>
    <s v="2025-11-02"/>
    <n v="5"/>
    <n v="3996.35"/>
    <x v="1"/>
    <s v="Discharged"/>
    <x v="2"/>
    <x v="0"/>
  </r>
  <r>
    <x v="46"/>
    <x v="11"/>
    <x v="0"/>
    <x v="3"/>
    <x v="2"/>
    <s v="2025-01-12"/>
    <s v="2025-01-18"/>
    <n v="6"/>
    <n v="11163.23"/>
    <x v="0"/>
    <s v="Discharged"/>
    <x v="2"/>
    <x v="0"/>
  </r>
  <r>
    <x v="47"/>
    <x v="17"/>
    <x v="0"/>
    <x v="0"/>
    <x v="2"/>
    <s v="2025-01-18"/>
    <s v="2025-01-25"/>
    <n v="7"/>
    <n v="7806.04"/>
    <x v="0"/>
    <s v="Discharged"/>
    <x v="2"/>
    <x v="0"/>
  </r>
  <r>
    <x v="48"/>
    <x v="6"/>
    <x v="1"/>
    <x v="4"/>
    <x v="2"/>
    <s v="2025-08-23"/>
    <s v="2025-08-31"/>
    <n v="8"/>
    <n v="12924.18"/>
    <x v="0"/>
    <s v="Discharged"/>
    <x v="3"/>
    <x v="1"/>
  </r>
  <r>
    <x v="49"/>
    <x v="9"/>
    <x v="0"/>
    <x v="1"/>
    <x v="1"/>
    <s v="2025-04-09"/>
    <s v="2025-04-18"/>
    <n v="9"/>
    <n v="7071.67"/>
    <x v="0"/>
    <s v="Discharged"/>
    <x v="4"/>
    <x v="1"/>
  </r>
  <r>
    <x v="50"/>
    <x v="27"/>
    <x v="1"/>
    <x v="5"/>
    <x v="0"/>
    <s v="2025-12-30"/>
    <s v="2025-12-31"/>
    <n v="1"/>
    <n v="5681.66"/>
    <x v="0"/>
    <s v="Discharged"/>
    <x v="1"/>
    <x v="0"/>
  </r>
  <r>
    <x v="51"/>
    <x v="34"/>
    <x v="1"/>
    <x v="4"/>
    <x v="0"/>
    <s v="2025-12-07"/>
    <s v="2025-12-13"/>
    <n v="6"/>
    <n v="11240.7"/>
    <x v="0"/>
    <s v="Discharged"/>
    <x v="2"/>
    <x v="0"/>
  </r>
  <r>
    <x v="52"/>
    <x v="7"/>
    <x v="0"/>
    <x v="0"/>
    <x v="0"/>
    <s v="2025-09-07"/>
    <s v="2025-09-09"/>
    <n v="2"/>
    <n v="4353.57"/>
    <x v="0"/>
    <s v="Transferred"/>
    <x v="4"/>
    <x v="0"/>
  </r>
  <r>
    <x v="53"/>
    <x v="35"/>
    <x v="0"/>
    <x v="2"/>
    <x v="2"/>
    <s v="2025-04-12"/>
    <s v="2025-04-19"/>
    <n v="7"/>
    <n v="14998.35"/>
    <x v="0"/>
    <s v="Discharged"/>
    <x v="4"/>
    <x v="0"/>
  </r>
  <r>
    <x v="54"/>
    <x v="27"/>
    <x v="2"/>
    <x v="3"/>
    <x v="1"/>
    <s v="2025-08-26"/>
    <s v="2025-09-01"/>
    <n v="6"/>
    <n v="12907.5"/>
    <x v="0"/>
    <s v="Discharged"/>
    <x v="1"/>
    <x v="0"/>
  </r>
  <r>
    <x v="55"/>
    <x v="15"/>
    <x v="1"/>
    <x v="0"/>
    <x v="0"/>
    <s v="2025-08-27"/>
    <s v="2025-09-01"/>
    <n v="5"/>
    <n v="3357.02"/>
    <x v="0"/>
    <s v="Discharged"/>
    <x v="1"/>
    <x v="0"/>
  </r>
  <r>
    <x v="56"/>
    <x v="16"/>
    <x v="0"/>
    <x v="0"/>
    <x v="2"/>
    <s v="2025-07-30"/>
    <s v="2025-08-06"/>
    <n v="7"/>
    <n v="9927.8799999999992"/>
    <x v="1"/>
    <s v="Discharged"/>
    <x v="4"/>
    <x v="0"/>
  </r>
  <r>
    <x v="57"/>
    <x v="24"/>
    <x v="1"/>
    <x v="5"/>
    <x v="2"/>
    <s v="2025-04-29"/>
    <s v="2025-05-10"/>
    <n v="11"/>
    <n v="13377.48"/>
    <x v="0"/>
    <s v="Discharged"/>
    <x v="2"/>
    <x v="1"/>
  </r>
  <r>
    <x v="58"/>
    <x v="36"/>
    <x v="0"/>
    <x v="3"/>
    <x v="2"/>
    <s v="2025-01-21"/>
    <s v="2025-01-29"/>
    <n v="8"/>
    <n v="13548.92"/>
    <x v="0"/>
    <s v="Discharged"/>
    <x v="1"/>
    <x v="1"/>
  </r>
  <r>
    <x v="59"/>
    <x v="34"/>
    <x v="0"/>
    <x v="1"/>
    <x v="0"/>
    <s v="2025-05-30"/>
    <s v="2025-06-03"/>
    <n v="4"/>
    <n v="5790.9"/>
    <x v="0"/>
    <s v="Transferred"/>
    <x v="2"/>
    <x v="0"/>
  </r>
  <r>
    <x v="60"/>
    <x v="37"/>
    <x v="1"/>
    <x v="1"/>
    <x v="2"/>
    <s v="2025-09-01"/>
    <m/>
    <n v="1"/>
    <n v="3956.13"/>
    <x v="0"/>
    <s v="Discharged"/>
    <x v="1"/>
    <x v="0"/>
  </r>
  <r>
    <x v="61"/>
    <x v="38"/>
    <x v="0"/>
    <x v="0"/>
    <x v="2"/>
    <s v="2025-03-30"/>
    <s v="2025-04-05"/>
    <n v="6"/>
    <n v="8505.34"/>
    <x v="0"/>
    <s v="Discharged"/>
    <x v="0"/>
    <x v="0"/>
  </r>
  <r>
    <x v="62"/>
    <x v="18"/>
    <x v="0"/>
    <x v="1"/>
    <x v="1"/>
    <s v="2025-07-29"/>
    <s v="2025-08-06"/>
    <n v="8"/>
    <n v="8512.24"/>
    <x v="1"/>
    <s v="Discharged"/>
    <x v="3"/>
    <x v="1"/>
  </r>
  <r>
    <x v="63"/>
    <x v="30"/>
    <x v="1"/>
    <x v="1"/>
    <x v="2"/>
    <s v="2025-01-24"/>
    <s v="2025-01-27"/>
    <n v="3"/>
    <n v="7228.8"/>
    <x v="0"/>
    <s v="Discharged"/>
    <x v="0"/>
    <x v="0"/>
  </r>
  <r>
    <x v="64"/>
    <x v="27"/>
    <x v="0"/>
    <x v="0"/>
    <x v="0"/>
    <s v="2025-11-07"/>
    <s v="2025-11-12"/>
    <n v="5"/>
    <n v="5114.43"/>
    <x v="0"/>
    <s v="Discharged"/>
    <x v="1"/>
    <x v="0"/>
  </r>
  <r>
    <x v="65"/>
    <x v="39"/>
    <x v="1"/>
    <x v="1"/>
    <x v="0"/>
    <s v="2025-10-04"/>
    <s v="2025-10-06"/>
    <n v="2"/>
    <n v="6781.95"/>
    <x v="0"/>
    <s v="Discharged"/>
    <x v="4"/>
    <x v="0"/>
  </r>
  <r>
    <x v="66"/>
    <x v="26"/>
    <x v="1"/>
    <x v="1"/>
    <x v="2"/>
    <s v="2025-01-01"/>
    <s v="2025-01-06"/>
    <n v="5"/>
    <n v="5173.18"/>
    <x v="0"/>
    <s v="Discharged"/>
    <x v="3"/>
    <x v="0"/>
  </r>
  <r>
    <x v="67"/>
    <x v="14"/>
    <x v="1"/>
    <x v="1"/>
    <x v="1"/>
    <s v="2025-03-17"/>
    <s v="2025-03-21"/>
    <n v="4"/>
    <n v="5647.29"/>
    <x v="1"/>
    <s v="Discharged"/>
    <x v="0"/>
    <x v="0"/>
  </r>
  <r>
    <x v="68"/>
    <x v="21"/>
    <x v="1"/>
    <x v="3"/>
    <x v="2"/>
    <s v="2025-09-07"/>
    <s v="2025-09-13"/>
    <n v="6"/>
    <n v="14153.05"/>
    <x v="0"/>
    <s v="Discharged"/>
    <x v="4"/>
    <x v="0"/>
  </r>
  <r>
    <x v="69"/>
    <x v="19"/>
    <x v="1"/>
    <x v="3"/>
    <x v="2"/>
    <s v="2025-05-21"/>
    <s v="2025-05-29"/>
    <n v="8"/>
    <n v="14360.9"/>
    <x v="0"/>
    <s v="Discharged"/>
    <x v="2"/>
    <x v="1"/>
  </r>
  <r>
    <x v="70"/>
    <x v="40"/>
    <x v="0"/>
    <x v="1"/>
    <x v="0"/>
    <s v="2025-01-16"/>
    <s v="2025-01-20"/>
    <n v="4"/>
    <n v="5717.45"/>
    <x v="0"/>
    <s v="Discharged"/>
    <x v="1"/>
    <x v="0"/>
  </r>
  <r>
    <x v="71"/>
    <x v="27"/>
    <x v="0"/>
    <x v="1"/>
    <x v="0"/>
    <s v="2025-07-17"/>
    <s v="2025-07-18"/>
    <n v="1"/>
    <n v="1933.06"/>
    <x v="0"/>
    <s v="Discharged"/>
    <x v="1"/>
    <x v="0"/>
  </r>
  <r>
    <x v="72"/>
    <x v="41"/>
    <x v="1"/>
    <x v="0"/>
    <x v="2"/>
    <s v="2025-02-14"/>
    <s v="2025-02-16"/>
    <n v="2"/>
    <n v="4275.82"/>
    <x v="0"/>
    <s v="Discharged"/>
    <x v="1"/>
    <x v="0"/>
  </r>
  <r>
    <x v="73"/>
    <x v="38"/>
    <x v="1"/>
    <x v="3"/>
    <x v="2"/>
    <s v="2025-08-05"/>
    <s v="2025-08-13"/>
    <n v="8"/>
    <n v="15764.41"/>
    <x v="0"/>
    <s v="Discharged"/>
    <x v="0"/>
    <x v="1"/>
  </r>
  <r>
    <x v="74"/>
    <x v="3"/>
    <x v="1"/>
    <x v="0"/>
    <x v="2"/>
    <s v="2025-12-18"/>
    <s v="2025-12-25"/>
    <n v="7"/>
    <n v="8868.33"/>
    <x v="0"/>
    <s v="Discharged"/>
    <x v="0"/>
    <x v="0"/>
  </r>
  <r>
    <x v="75"/>
    <x v="20"/>
    <x v="1"/>
    <x v="0"/>
    <x v="1"/>
    <s v="2025-05-23"/>
    <s v="2025-05-27"/>
    <n v="4"/>
    <n v="8737.73"/>
    <x v="0"/>
    <s v="Other"/>
    <x v="0"/>
    <x v="0"/>
  </r>
  <r>
    <x v="76"/>
    <x v="14"/>
    <x v="1"/>
    <x v="1"/>
    <x v="0"/>
    <s v="2025-07-02"/>
    <s v="2025-07-07"/>
    <n v="5"/>
    <n v="4623.8"/>
    <x v="0"/>
    <s v="Discharged"/>
    <x v="0"/>
    <x v="0"/>
  </r>
  <r>
    <x v="77"/>
    <x v="42"/>
    <x v="0"/>
    <x v="2"/>
    <x v="2"/>
    <s v="2025-06-11"/>
    <s v="2025-06-15"/>
    <n v="4"/>
    <n v="11154.45"/>
    <x v="0"/>
    <s v="Discharged"/>
    <x v="4"/>
    <x v="0"/>
  </r>
  <r>
    <x v="78"/>
    <x v="27"/>
    <x v="0"/>
    <x v="3"/>
    <x v="2"/>
    <s v="2025-04-14"/>
    <s v="2025-04-23"/>
    <n v="9"/>
    <n v="13914.45"/>
    <x v="0"/>
    <s v="Discharged"/>
    <x v="1"/>
    <x v="1"/>
  </r>
  <r>
    <x v="79"/>
    <x v="43"/>
    <x v="1"/>
    <x v="2"/>
    <x v="2"/>
    <s v="2025-11-19"/>
    <s v="2025-11-24"/>
    <n v="5"/>
    <n v="10009.16"/>
    <x v="1"/>
    <s v="Discharged"/>
    <x v="2"/>
    <x v="0"/>
  </r>
  <r>
    <x v="80"/>
    <x v="7"/>
    <x v="1"/>
    <x v="4"/>
    <x v="0"/>
    <s v="2025-02-04"/>
    <s v="2025-02-05"/>
    <n v="1"/>
    <n v="7298.17"/>
    <x v="0"/>
    <s v="Discharged"/>
    <x v="4"/>
    <x v="0"/>
  </r>
  <r>
    <x v="81"/>
    <x v="44"/>
    <x v="1"/>
    <x v="0"/>
    <x v="2"/>
    <s v="2025-07-03"/>
    <s v="2025-07-07"/>
    <n v="4"/>
    <n v="7292.25"/>
    <x v="0"/>
    <s v="Discharged"/>
    <x v="1"/>
    <x v="0"/>
  </r>
  <r>
    <x v="82"/>
    <x v="15"/>
    <x v="1"/>
    <x v="5"/>
    <x v="2"/>
    <s v="2025-07-14"/>
    <s v="2025-07-19"/>
    <n v="5"/>
    <n v="8992.35"/>
    <x v="0"/>
    <s v="Discharged"/>
    <x v="1"/>
    <x v="0"/>
  </r>
  <r>
    <x v="83"/>
    <x v="26"/>
    <x v="1"/>
    <x v="2"/>
    <x v="0"/>
    <s v="2025-12-10"/>
    <s v="2025-12-16"/>
    <n v="6"/>
    <n v="10027.51"/>
    <x v="1"/>
    <s v="Discharged"/>
    <x v="3"/>
    <x v="0"/>
  </r>
  <r>
    <x v="84"/>
    <x v="16"/>
    <x v="0"/>
    <x v="2"/>
    <x v="1"/>
    <s v="2025-06-19"/>
    <s v="2025-06-24"/>
    <n v="5"/>
    <n v="11578.71"/>
    <x v="0"/>
    <s v="Discharged"/>
    <x v="4"/>
    <x v="0"/>
  </r>
  <r>
    <x v="85"/>
    <x v="0"/>
    <x v="0"/>
    <x v="2"/>
    <x v="2"/>
    <s v="2025-01-31"/>
    <s v="2025-02-09"/>
    <n v="9"/>
    <n v="15546.18"/>
    <x v="0"/>
    <s v="Discharged"/>
    <x v="0"/>
    <x v="1"/>
  </r>
  <r>
    <x v="86"/>
    <x v="5"/>
    <x v="1"/>
    <x v="1"/>
    <x v="2"/>
    <s v="2025-06-30"/>
    <s v="2025-07-02"/>
    <n v="2"/>
    <n v="6906"/>
    <x v="1"/>
    <s v="Discharged"/>
    <x v="0"/>
    <x v="0"/>
  </r>
  <r>
    <x v="87"/>
    <x v="32"/>
    <x v="0"/>
    <x v="1"/>
    <x v="2"/>
    <s v="2025-02-20"/>
    <s v="2025-02-27"/>
    <n v="7"/>
    <n v="7062.54"/>
    <x v="0"/>
    <s v="Discharged"/>
    <x v="3"/>
    <x v="0"/>
  </r>
  <r>
    <x v="88"/>
    <x v="10"/>
    <x v="0"/>
    <x v="2"/>
    <x v="0"/>
    <s v="2025-03-01"/>
    <s v="2025-03-04"/>
    <n v="3"/>
    <n v="6628.26"/>
    <x v="1"/>
    <s v="Discharged"/>
    <x v="4"/>
    <x v="0"/>
  </r>
  <r>
    <x v="89"/>
    <x v="45"/>
    <x v="0"/>
    <x v="0"/>
    <x v="0"/>
    <s v="2025-05-21"/>
    <s v="2025-05-23"/>
    <n v="2"/>
    <n v="4737.21"/>
    <x v="0"/>
    <s v="Discharged"/>
    <x v="1"/>
    <x v="0"/>
  </r>
  <r>
    <x v="90"/>
    <x v="42"/>
    <x v="1"/>
    <x v="2"/>
    <x v="1"/>
    <s v="2025-06-06"/>
    <s v="2025-06-13"/>
    <n v="7"/>
    <n v="11274.22"/>
    <x v="0"/>
    <s v="Discharged"/>
    <x v="4"/>
    <x v="0"/>
  </r>
  <r>
    <x v="91"/>
    <x v="46"/>
    <x v="0"/>
    <x v="1"/>
    <x v="1"/>
    <s v="2025-04-20"/>
    <s v="2025-04-24"/>
    <n v="4"/>
    <n v="5539.76"/>
    <x v="0"/>
    <s v="Discharged"/>
    <x v="1"/>
    <x v="0"/>
  </r>
  <r>
    <x v="92"/>
    <x v="47"/>
    <x v="0"/>
    <x v="5"/>
    <x v="0"/>
    <s v="2025-08-28"/>
    <s v="2025-09-02"/>
    <n v="5"/>
    <n v="9717.3799999999992"/>
    <x v="0"/>
    <s v="Discharged"/>
    <x v="4"/>
    <x v="0"/>
  </r>
  <r>
    <x v="93"/>
    <x v="48"/>
    <x v="1"/>
    <x v="4"/>
    <x v="0"/>
    <s v="2025-08-16"/>
    <s v="2025-08-18"/>
    <n v="2"/>
    <n v="8611.34"/>
    <x v="1"/>
    <s v="Transferred"/>
    <x v="0"/>
    <x v="0"/>
  </r>
  <r>
    <x v="94"/>
    <x v="49"/>
    <x v="1"/>
    <x v="2"/>
    <x v="0"/>
    <s v="2025-06-14"/>
    <s v="2025-06-17"/>
    <n v="3"/>
    <n v="8939.86"/>
    <x v="0"/>
    <s v="Discharged"/>
    <x v="0"/>
    <x v="0"/>
  </r>
  <r>
    <x v="95"/>
    <x v="50"/>
    <x v="0"/>
    <x v="1"/>
    <x v="2"/>
    <s v="2025-03-25"/>
    <s v="2025-03-29"/>
    <n v="4"/>
    <n v="4961.3"/>
    <x v="0"/>
    <s v="Discharged"/>
    <x v="0"/>
    <x v="0"/>
  </r>
  <r>
    <x v="96"/>
    <x v="7"/>
    <x v="1"/>
    <x v="5"/>
    <x v="1"/>
    <s v="2025-09-29"/>
    <s v="2025-10-01"/>
    <n v="2"/>
    <n v="5665.38"/>
    <x v="0"/>
    <s v="Discharged"/>
    <x v="4"/>
    <x v="0"/>
  </r>
  <r>
    <x v="97"/>
    <x v="44"/>
    <x v="0"/>
    <x v="2"/>
    <x v="2"/>
    <s v="2025-04-28"/>
    <s v="2025-05-04"/>
    <n v="6"/>
    <n v="11364.41"/>
    <x v="0"/>
    <s v="Discharged"/>
    <x v="1"/>
    <x v="0"/>
  </r>
  <r>
    <x v="98"/>
    <x v="51"/>
    <x v="1"/>
    <x v="0"/>
    <x v="2"/>
    <s v="2025-05-12"/>
    <s v="2025-05-19"/>
    <n v="7"/>
    <n v="10420.24"/>
    <x v="0"/>
    <s v="Discharged"/>
    <x v="1"/>
    <x v="0"/>
  </r>
  <r>
    <x v="99"/>
    <x v="21"/>
    <x v="1"/>
    <x v="2"/>
    <x v="2"/>
    <s v="2025-08-26"/>
    <s v="2025-08-31"/>
    <n v="5"/>
    <n v="12525.38"/>
    <x v="0"/>
    <s v="Discharged"/>
    <x v="4"/>
    <x v="0"/>
  </r>
  <r>
    <x v="100"/>
    <x v="12"/>
    <x v="1"/>
    <x v="5"/>
    <x v="0"/>
    <s v="2025-04-04"/>
    <s v="2025-04-05"/>
    <n v="1"/>
    <n v="4658.97"/>
    <x v="0"/>
    <s v="Discharged"/>
    <x v="2"/>
    <x v="0"/>
  </r>
  <r>
    <x v="101"/>
    <x v="20"/>
    <x v="1"/>
    <x v="4"/>
    <x v="2"/>
    <s v="2025-05-08"/>
    <s v="2025-05-12"/>
    <n v="4"/>
    <n v="10838.92"/>
    <x v="0"/>
    <s v="Discharged"/>
    <x v="0"/>
    <x v="0"/>
  </r>
  <r>
    <x v="102"/>
    <x v="52"/>
    <x v="0"/>
    <x v="1"/>
    <x v="2"/>
    <s v="2025-03-19"/>
    <s v="2025-03-23"/>
    <n v="4"/>
    <n v="5492"/>
    <x v="0"/>
    <s v="Discharged"/>
    <x v="4"/>
    <x v="0"/>
  </r>
  <r>
    <x v="103"/>
    <x v="15"/>
    <x v="1"/>
    <x v="5"/>
    <x v="0"/>
    <s v="2025-06-10"/>
    <s v="2025-06-12"/>
    <n v="2"/>
    <n v="8115.53"/>
    <x v="0"/>
    <s v="Discharged"/>
    <x v="1"/>
    <x v="0"/>
  </r>
  <r>
    <x v="104"/>
    <x v="53"/>
    <x v="1"/>
    <x v="1"/>
    <x v="0"/>
    <s v="2025-09-05"/>
    <s v="2025-09-10"/>
    <n v="5"/>
    <n v="6261.71"/>
    <x v="1"/>
    <s v="Discharged"/>
    <x v="4"/>
    <x v="0"/>
  </r>
  <r>
    <x v="105"/>
    <x v="43"/>
    <x v="1"/>
    <x v="3"/>
    <x v="0"/>
    <s v="2025-12-31"/>
    <s v="2026-01-04"/>
    <n v="4"/>
    <n v="13468.29"/>
    <x v="0"/>
    <s v="Transferred"/>
    <x v="2"/>
    <x v="0"/>
  </r>
  <r>
    <x v="106"/>
    <x v="3"/>
    <x v="1"/>
    <x v="2"/>
    <x v="2"/>
    <s v="2025-07-27"/>
    <s v="2025-08-02"/>
    <n v="6"/>
    <n v="10818.4"/>
    <x v="0"/>
    <s v="Discharged"/>
    <x v="0"/>
    <x v="0"/>
  </r>
  <r>
    <x v="107"/>
    <x v="0"/>
    <x v="0"/>
    <x v="0"/>
    <x v="2"/>
    <s v="2025-06-22"/>
    <s v="2025-06-27"/>
    <n v="5"/>
    <n v="5425.47"/>
    <x v="0"/>
    <s v="Discharged"/>
    <x v="0"/>
    <x v="0"/>
  </r>
  <r>
    <x v="108"/>
    <x v="30"/>
    <x v="1"/>
    <x v="1"/>
    <x v="2"/>
    <s v="2025-04-25"/>
    <s v="2025-05-03"/>
    <n v="8"/>
    <n v="9547.14"/>
    <x v="0"/>
    <s v="Discharged"/>
    <x v="0"/>
    <x v="1"/>
  </r>
  <r>
    <x v="109"/>
    <x v="54"/>
    <x v="1"/>
    <x v="1"/>
    <x v="2"/>
    <s v="2025-06-22"/>
    <s v="2025-06-25"/>
    <n v="3"/>
    <n v="3796.78"/>
    <x v="0"/>
    <s v="Discharged"/>
    <x v="2"/>
    <x v="0"/>
  </r>
  <r>
    <x v="110"/>
    <x v="14"/>
    <x v="1"/>
    <x v="0"/>
    <x v="0"/>
    <s v="2025-06-30"/>
    <s v="2025-07-02"/>
    <n v="2"/>
    <n v="4739.03"/>
    <x v="0"/>
    <s v="Discharged"/>
    <x v="0"/>
    <x v="0"/>
  </r>
  <r>
    <x v="111"/>
    <x v="19"/>
    <x v="1"/>
    <x v="3"/>
    <x v="0"/>
    <s v="2025-10-20"/>
    <s v="2025-10-24"/>
    <n v="4"/>
    <n v="13313.32"/>
    <x v="0"/>
    <s v="Discharged"/>
    <x v="2"/>
    <x v="0"/>
  </r>
  <r>
    <x v="112"/>
    <x v="7"/>
    <x v="0"/>
    <x v="4"/>
    <x v="0"/>
    <s v="2025-07-18"/>
    <s v="2025-07-23"/>
    <n v="5"/>
    <n v="11361.79"/>
    <x v="0"/>
    <s v="Discharged"/>
    <x v="4"/>
    <x v="0"/>
  </r>
  <r>
    <x v="113"/>
    <x v="55"/>
    <x v="1"/>
    <x v="1"/>
    <x v="0"/>
    <s v="2025-04-26"/>
    <s v="2025-04-30"/>
    <n v="4"/>
    <n v="3506.35"/>
    <x v="0"/>
    <s v="Discharged"/>
    <x v="4"/>
    <x v="0"/>
  </r>
  <r>
    <x v="114"/>
    <x v="56"/>
    <x v="1"/>
    <x v="5"/>
    <x v="2"/>
    <s v="2025-02-13"/>
    <s v="2025-02-18"/>
    <n v="5"/>
    <n v="11267.53"/>
    <x v="0"/>
    <s v="Discharged"/>
    <x v="0"/>
    <x v="0"/>
  </r>
  <r>
    <x v="115"/>
    <x v="57"/>
    <x v="0"/>
    <x v="1"/>
    <x v="0"/>
    <s v="2025-11-13"/>
    <s v="2025-11-16"/>
    <n v="3"/>
    <n v="2889.48"/>
    <x v="0"/>
    <s v="Discharged"/>
    <x v="3"/>
    <x v="0"/>
  </r>
  <r>
    <x v="116"/>
    <x v="35"/>
    <x v="0"/>
    <x v="5"/>
    <x v="2"/>
    <s v="2025-05-02"/>
    <s v="2025-05-07"/>
    <n v="5"/>
    <n v="11657.01"/>
    <x v="0"/>
    <s v="Discharged"/>
    <x v="4"/>
    <x v="0"/>
  </r>
  <r>
    <x v="117"/>
    <x v="47"/>
    <x v="0"/>
    <x v="5"/>
    <x v="2"/>
    <s v="2025-02-11"/>
    <s v="2025-02-15"/>
    <n v="4"/>
    <n v="12641.54"/>
    <x v="0"/>
    <s v="Discharged"/>
    <x v="4"/>
    <x v="0"/>
  </r>
  <r>
    <x v="118"/>
    <x v="5"/>
    <x v="0"/>
    <x v="5"/>
    <x v="2"/>
    <s v="2025-04-21"/>
    <s v="2025-04-22"/>
    <n v="1"/>
    <n v="8205.39"/>
    <x v="1"/>
    <s v="Discharged"/>
    <x v="0"/>
    <x v="0"/>
  </r>
  <r>
    <x v="119"/>
    <x v="22"/>
    <x v="0"/>
    <x v="0"/>
    <x v="1"/>
    <s v="2025-03-18"/>
    <s v="2025-03-25"/>
    <n v="7"/>
    <n v="9263.68"/>
    <x v="0"/>
    <s v="Discharged"/>
    <x v="3"/>
    <x v="0"/>
  </r>
  <r>
    <x v="120"/>
    <x v="5"/>
    <x v="0"/>
    <x v="0"/>
    <x v="2"/>
    <s v="2025-08-25"/>
    <s v="2025-08-30"/>
    <n v="5"/>
    <n v="5752.84"/>
    <x v="0"/>
    <s v="Transferred"/>
    <x v="0"/>
    <x v="0"/>
  </r>
  <r>
    <x v="121"/>
    <x v="47"/>
    <x v="0"/>
    <x v="1"/>
    <x v="2"/>
    <s v="2025-11-03"/>
    <s v="2025-11-06"/>
    <n v="3"/>
    <n v="2885.16"/>
    <x v="0"/>
    <s v="Discharged"/>
    <x v="4"/>
    <x v="0"/>
  </r>
  <r>
    <x v="122"/>
    <x v="58"/>
    <x v="1"/>
    <x v="4"/>
    <x v="0"/>
    <s v="2025-03-25"/>
    <s v="2025-03-29"/>
    <n v="4"/>
    <n v="10605.79"/>
    <x v="0"/>
    <s v="Discharged"/>
    <x v="2"/>
    <x v="0"/>
  </r>
  <r>
    <x v="123"/>
    <x v="54"/>
    <x v="0"/>
    <x v="5"/>
    <x v="0"/>
    <s v="2025-01-29"/>
    <s v="2025-02-02"/>
    <n v="4"/>
    <n v="9585.39"/>
    <x v="0"/>
    <s v="Discharged"/>
    <x v="2"/>
    <x v="0"/>
  </r>
  <r>
    <x v="124"/>
    <x v="20"/>
    <x v="0"/>
    <x v="1"/>
    <x v="2"/>
    <s v="2025-05-11"/>
    <s v="2025-05-19"/>
    <n v="8"/>
    <n v="7670.95"/>
    <x v="0"/>
    <s v="Discharged"/>
    <x v="0"/>
    <x v="1"/>
  </r>
  <r>
    <x v="125"/>
    <x v="29"/>
    <x v="1"/>
    <x v="2"/>
    <x v="0"/>
    <s v="2025-11-09"/>
    <s v="2025-11-12"/>
    <n v="3"/>
    <n v="8503.2199999999993"/>
    <x v="0"/>
    <s v="Discharged"/>
    <x v="3"/>
    <x v="0"/>
  </r>
  <r>
    <x v="126"/>
    <x v="9"/>
    <x v="1"/>
    <x v="3"/>
    <x v="1"/>
    <s v="2025-08-10"/>
    <s v="2025-08-20"/>
    <n v="10"/>
    <n v="13478.39"/>
    <x v="0"/>
    <s v="Discharged"/>
    <x v="4"/>
    <x v="1"/>
  </r>
  <r>
    <x v="127"/>
    <x v="38"/>
    <x v="1"/>
    <x v="1"/>
    <x v="2"/>
    <s v="2025-04-10"/>
    <s v="2025-04-15"/>
    <n v="5"/>
    <n v="6957.2"/>
    <x v="0"/>
    <s v="Discharged"/>
    <x v="0"/>
    <x v="0"/>
  </r>
  <r>
    <x v="128"/>
    <x v="59"/>
    <x v="0"/>
    <x v="0"/>
    <x v="2"/>
    <s v="2025-12-16"/>
    <s v="2025-12-19"/>
    <n v="3"/>
    <n v="4698.6499999999996"/>
    <x v="0"/>
    <s v="Discharged"/>
    <x v="3"/>
    <x v="0"/>
  </r>
  <r>
    <x v="129"/>
    <x v="22"/>
    <x v="1"/>
    <x v="3"/>
    <x v="0"/>
    <s v="2025-01-18"/>
    <s v="2025-01-22"/>
    <n v="4"/>
    <n v="9323.7800000000007"/>
    <x v="1"/>
    <s v="Discharged"/>
    <x v="3"/>
    <x v="0"/>
  </r>
  <r>
    <x v="130"/>
    <x v="38"/>
    <x v="1"/>
    <x v="0"/>
    <x v="1"/>
    <s v="2025-03-29"/>
    <s v="2025-04-01"/>
    <n v="3"/>
    <n v="4918.1400000000003"/>
    <x v="0"/>
    <s v="Discharged"/>
    <x v="0"/>
    <x v="0"/>
  </r>
  <r>
    <x v="131"/>
    <x v="17"/>
    <x v="1"/>
    <x v="0"/>
    <x v="0"/>
    <s v="2025-06-02"/>
    <s v="2025-06-06"/>
    <n v="4"/>
    <n v="8334.84"/>
    <x v="0"/>
    <s v="Discharged"/>
    <x v="2"/>
    <x v="0"/>
  </r>
  <r>
    <x v="132"/>
    <x v="21"/>
    <x v="0"/>
    <x v="2"/>
    <x v="2"/>
    <s v="2025-05-28"/>
    <s v="2025-06-04"/>
    <n v="7"/>
    <n v="11832.24"/>
    <x v="0"/>
    <s v="Discharged"/>
    <x v="4"/>
    <x v="0"/>
  </r>
  <r>
    <x v="133"/>
    <x v="45"/>
    <x v="0"/>
    <x v="4"/>
    <x v="1"/>
    <s v="2025-11-20"/>
    <s v="2025-11-25"/>
    <n v="5"/>
    <n v="12688.61"/>
    <x v="1"/>
    <s v="Discharged"/>
    <x v="1"/>
    <x v="0"/>
  </r>
  <r>
    <x v="134"/>
    <x v="50"/>
    <x v="0"/>
    <x v="0"/>
    <x v="1"/>
    <s v="2025-09-30"/>
    <s v="2025-10-05"/>
    <n v="5"/>
    <n v="4973.03"/>
    <x v="1"/>
    <s v="Discharged"/>
    <x v="0"/>
    <x v="0"/>
  </r>
  <r>
    <x v="135"/>
    <x v="17"/>
    <x v="1"/>
    <x v="5"/>
    <x v="2"/>
    <s v="2025-10-25"/>
    <s v="2025-10-30"/>
    <n v="5"/>
    <n v="10045.77"/>
    <x v="0"/>
    <s v="Discharged"/>
    <x v="2"/>
    <x v="0"/>
  </r>
  <r>
    <x v="136"/>
    <x v="14"/>
    <x v="1"/>
    <x v="0"/>
    <x v="2"/>
    <s v="2025-10-26"/>
    <s v="2025-10-31"/>
    <n v="5"/>
    <n v="7181.65"/>
    <x v="0"/>
    <s v="Discharged"/>
    <x v="0"/>
    <x v="0"/>
  </r>
  <r>
    <x v="137"/>
    <x v="34"/>
    <x v="1"/>
    <x v="3"/>
    <x v="1"/>
    <s v="2025-06-20"/>
    <s v="2025-07-01"/>
    <n v="11"/>
    <n v="14658.23"/>
    <x v="0"/>
    <s v="Discharged"/>
    <x v="2"/>
    <x v="1"/>
  </r>
  <r>
    <x v="138"/>
    <x v="60"/>
    <x v="1"/>
    <x v="1"/>
    <x v="1"/>
    <s v="2025-01-19"/>
    <s v="2025-01-21"/>
    <n v="2"/>
    <n v="3166.06"/>
    <x v="0"/>
    <s v="Discharged"/>
    <x v="3"/>
    <x v="0"/>
  </r>
  <r>
    <x v="139"/>
    <x v="16"/>
    <x v="0"/>
    <x v="0"/>
    <x v="2"/>
    <s v="2025-04-23"/>
    <s v="2025-05-02"/>
    <n v="9"/>
    <n v="10022.209999999999"/>
    <x v="0"/>
    <s v="Discharged"/>
    <x v="4"/>
    <x v="1"/>
  </r>
  <r>
    <x v="140"/>
    <x v="26"/>
    <x v="0"/>
    <x v="1"/>
    <x v="2"/>
    <s v="2025-11-18"/>
    <s v="2025-11-23"/>
    <n v="5"/>
    <n v="4639.7700000000004"/>
    <x v="1"/>
    <s v="Discharged"/>
    <x v="3"/>
    <x v="0"/>
  </r>
  <r>
    <x v="141"/>
    <x v="61"/>
    <x v="0"/>
    <x v="2"/>
    <x v="2"/>
    <s v="2025-04-03"/>
    <s v="2025-04-10"/>
    <n v="7"/>
    <n v="9279.02"/>
    <x v="0"/>
    <s v="Discharged"/>
    <x v="4"/>
    <x v="0"/>
  </r>
  <r>
    <x v="142"/>
    <x v="55"/>
    <x v="1"/>
    <x v="0"/>
    <x v="1"/>
    <s v="2025-01-06"/>
    <s v="2025-01-12"/>
    <n v="6"/>
    <n v="8341.85"/>
    <x v="1"/>
    <s v="Discharged"/>
    <x v="4"/>
    <x v="0"/>
  </r>
  <r>
    <x v="143"/>
    <x v="62"/>
    <x v="1"/>
    <x v="2"/>
    <x v="2"/>
    <s v="2025-06-27"/>
    <s v="2025-07-05"/>
    <n v="8"/>
    <n v="15404.9"/>
    <x v="0"/>
    <s v="Discharged"/>
    <x v="2"/>
    <x v="1"/>
  </r>
  <r>
    <x v="144"/>
    <x v="58"/>
    <x v="1"/>
    <x v="2"/>
    <x v="0"/>
    <s v="2025-03-26"/>
    <s v="2025-04-05"/>
    <n v="10"/>
    <n v="12529.52"/>
    <x v="0"/>
    <s v="Discharged"/>
    <x v="2"/>
    <x v="1"/>
  </r>
  <r>
    <x v="145"/>
    <x v="39"/>
    <x v="0"/>
    <x v="1"/>
    <x v="0"/>
    <s v="2025-11-13"/>
    <s v="2025-11-16"/>
    <n v="3"/>
    <n v="5149.95"/>
    <x v="0"/>
    <s v="Discharged"/>
    <x v="4"/>
    <x v="0"/>
  </r>
  <r>
    <x v="146"/>
    <x v="5"/>
    <x v="0"/>
    <x v="0"/>
    <x v="0"/>
    <s v="2025-07-10"/>
    <s v="2025-07-15"/>
    <n v="5"/>
    <n v="5760.25"/>
    <x v="0"/>
    <s v="Discharged"/>
    <x v="0"/>
    <x v="0"/>
  </r>
  <r>
    <x v="147"/>
    <x v="45"/>
    <x v="1"/>
    <x v="1"/>
    <x v="2"/>
    <s v="2025-07-08"/>
    <s v="2025-07-11"/>
    <n v="3"/>
    <n v="5367.23"/>
    <x v="0"/>
    <s v="Discharged"/>
    <x v="1"/>
    <x v="0"/>
  </r>
  <r>
    <x v="148"/>
    <x v="15"/>
    <x v="0"/>
    <x v="0"/>
    <x v="1"/>
    <s v="2025-09-22"/>
    <s v="2025-09-28"/>
    <n v="6"/>
    <n v="4971.26"/>
    <x v="0"/>
    <s v="Discharged"/>
    <x v="1"/>
    <x v="0"/>
  </r>
  <r>
    <x v="149"/>
    <x v="13"/>
    <x v="1"/>
    <x v="1"/>
    <x v="1"/>
    <s v="2025-04-06"/>
    <s v="2025-04-07"/>
    <n v="1"/>
    <n v="4770.7299999999996"/>
    <x v="0"/>
    <s v="Transferred"/>
    <x v="1"/>
    <x v="0"/>
  </r>
  <r>
    <x v="150"/>
    <x v="58"/>
    <x v="1"/>
    <x v="2"/>
    <x v="2"/>
    <s v="2025-09-01"/>
    <s v="2025-09-08"/>
    <n v="7"/>
    <n v="11599.94"/>
    <x v="0"/>
    <s v="Discharged"/>
    <x v="2"/>
    <x v="0"/>
  </r>
  <r>
    <x v="151"/>
    <x v="11"/>
    <x v="1"/>
    <x v="1"/>
    <x v="2"/>
    <s v="2025-04-15"/>
    <s v="2025-04-22"/>
    <n v="7"/>
    <n v="6540.54"/>
    <x v="0"/>
    <s v="Discharged"/>
    <x v="2"/>
    <x v="0"/>
  </r>
  <r>
    <x v="152"/>
    <x v="63"/>
    <x v="1"/>
    <x v="1"/>
    <x v="2"/>
    <s v="2025-06-14"/>
    <s v="2025-06-21"/>
    <n v="7"/>
    <n v="9215.9599999999991"/>
    <x v="0"/>
    <s v="Discharged"/>
    <x v="3"/>
    <x v="0"/>
  </r>
  <r>
    <x v="153"/>
    <x v="13"/>
    <x v="0"/>
    <x v="1"/>
    <x v="1"/>
    <s v="2025-04-19"/>
    <s v="2025-04-21"/>
    <n v="2"/>
    <n v="3313.43"/>
    <x v="0"/>
    <s v="Discharged"/>
    <x v="1"/>
    <x v="0"/>
  </r>
  <r>
    <x v="154"/>
    <x v="20"/>
    <x v="0"/>
    <x v="0"/>
    <x v="0"/>
    <s v="2025-09-12"/>
    <s v="2025-09-20"/>
    <n v="8"/>
    <n v="8385.92"/>
    <x v="0"/>
    <s v="Discharged"/>
    <x v="0"/>
    <x v="1"/>
  </r>
  <r>
    <x v="155"/>
    <x v="36"/>
    <x v="0"/>
    <x v="1"/>
    <x v="2"/>
    <s v="2025-03-13"/>
    <s v="2025-03-17"/>
    <n v="4"/>
    <n v="4245.2700000000004"/>
    <x v="0"/>
    <s v="Discharged"/>
    <x v="1"/>
    <x v="0"/>
  </r>
  <r>
    <x v="156"/>
    <x v="50"/>
    <x v="0"/>
    <x v="0"/>
    <x v="1"/>
    <s v="2025-08-19"/>
    <s v="2025-08-25"/>
    <n v="6"/>
    <n v="5698.51"/>
    <x v="0"/>
    <s v="Discharged"/>
    <x v="0"/>
    <x v="0"/>
  </r>
  <r>
    <x v="157"/>
    <x v="0"/>
    <x v="0"/>
    <x v="3"/>
    <x v="2"/>
    <s v="2025-08-27"/>
    <s v="2025-09-03"/>
    <n v="7"/>
    <n v="13322.62"/>
    <x v="1"/>
    <s v="Discharged"/>
    <x v="0"/>
    <x v="0"/>
  </r>
  <r>
    <x v="158"/>
    <x v="2"/>
    <x v="0"/>
    <x v="5"/>
    <x v="1"/>
    <s v="2025-12-08"/>
    <s v="2025-12-16"/>
    <n v="8"/>
    <n v="10594.19"/>
    <x v="0"/>
    <s v="Discharged"/>
    <x v="1"/>
    <x v="1"/>
  </r>
  <r>
    <x v="159"/>
    <x v="64"/>
    <x v="0"/>
    <x v="0"/>
    <x v="2"/>
    <s v="2025-11-01"/>
    <s v="2025-11-05"/>
    <n v="4"/>
    <n v="5865.3"/>
    <x v="0"/>
    <s v="Discharged"/>
    <x v="4"/>
    <x v="0"/>
  </r>
  <r>
    <x v="160"/>
    <x v="53"/>
    <x v="0"/>
    <x v="0"/>
    <x v="1"/>
    <s v="2025-06-26"/>
    <s v="2025-06-30"/>
    <n v="4"/>
    <n v="6042.05"/>
    <x v="0"/>
    <s v="Discharged"/>
    <x v="4"/>
    <x v="0"/>
  </r>
  <r>
    <x v="161"/>
    <x v="14"/>
    <x v="0"/>
    <x v="0"/>
    <x v="0"/>
    <s v="2025-02-16"/>
    <s v="2025-02-20"/>
    <n v="4"/>
    <n v="7990.16"/>
    <x v="0"/>
    <s v="Discharged"/>
    <x v="0"/>
    <x v="0"/>
  </r>
  <r>
    <x v="162"/>
    <x v="41"/>
    <x v="1"/>
    <x v="5"/>
    <x v="2"/>
    <s v="2025-09-27"/>
    <s v="2025-10-03"/>
    <n v="6"/>
    <n v="7997.93"/>
    <x v="0"/>
    <s v="Discharged"/>
    <x v="1"/>
    <x v="0"/>
  </r>
  <r>
    <x v="163"/>
    <x v="18"/>
    <x v="0"/>
    <x v="1"/>
    <x v="0"/>
    <s v="2025-11-26"/>
    <s v="2025-11-28"/>
    <n v="2"/>
    <n v="4491.53"/>
    <x v="0"/>
    <s v="Discharged"/>
    <x v="3"/>
    <x v="0"/>
  </r>
  <r>
    <x v="164"/>
    <x v="7"/>
    <x v="0"/>
    <x v="2"/>
    <x v="1"/>
    <s v="2025-08-03"/>
    <m/>
    <n v="3"/>
    <n v="10748.91"/>
    <x v="0"/>
    <s v="Discharged"/>
    <x v="4"/>
    <x v="0"/>
  </r>
  <r>
    <x v="165"/>
    <x v="26"/>
    <x v="1"/>
    <x v="2"/>
    <x v="0"/>
    <s v="2025-12-11"/>
    <s v="2025-12-20"/>
    <n v="9"/>
    <n v="13568.66"/>
    <x v="0"/>
    <s v="Discharged"/>
    <x v="3"/>
    <x v="1"/>
  </r>
  <r>
    <x v="166"/>
    <x v="45"/>
    <x v="0"/>
    <x v="1"/>
    <x v="0"/>
    <s v="2025-10-31"/>
    <s v="2025-11-01"/>
    <n v="1"/>
    <n v="2732.22"/>
    <x v="0"/>
    <s v="Discharged"/>
    <x v="1"/>
    <x v="0"/>
  </r>
  <r>
    <x v="167"/>
    <x v="13"/>
    <x v="2"/>
    <x v="2"/>
    <x v="2"/>
    <s v="2025-08-28"/>
    <s v="2025-09-04"/>
    <n v="7"/>
    <n v="13408.53"/>
    <x v="0"/>
    <s v="Discharged"/>
    <x v="1"/>
    <x v="0"/>
  </r>
  <r>
    <x v="168"/>
    <x v="54"/>
    <x v="1"/>
    <x v="2"/>
    <x v="2"/>
    <s v="2025-01-26"/>
    <s v="2025-02-02"/>
    <n v="7"/>
    <n v="11040.08"/>
    <x v="0"/>
    <s v="Discharged"/>
    <x v="2"/>
    <x v="0"/>
  </r>
  <r>
    <x v="169"/>
    <x v="16"/>
    <x v="1"/>
    <x v="4"/>
    <x v="1"/>
    <s v="2025-10-31"/>
    <s v="2025-11-08"/>
    <n v="8"/>
    <n v="12504.88"/>
    <x v="0"/>
    <s v="Discharged"/>
    <x v="4"/>
    <x v="1"/>
  </r>
  <r>
    <x v="170"/>
    <x v="65"/>
    <x v="0"/>
    <x v="4"/>
    <x v="2"/>
    <s v="2025-05-14"/>
    <s v="2025-05-25"/>
    <n v="11"/>
    <n v="14191.43"/>
    <x v="0"/>
    <s v="Discharged"/>
    <x v="3"/>
    <x v="1"/>
  </r>
  <r>
    <x v="171"/>
    <x v="55"/>
    <x v="0"/>
    <x v="5"/>
    <x v="2"/>
    <s v="2025-09-02"/>
    <s v="2025-09-05"/>
    <n v="3"/>
    <n v="8123.05"/>
    <x v="0"/>
    <s v="Discharged"/>
    <x v="4"/>
    <x v="0"/>
  </r>
  <r>
    <x v="172"/>
    <x v="12"/>
    <x v="0"/>
    <x v="0"/>
    <x v="1"/>
    <s v="2025-07-19"/>
    <s v="2025-07-24"/>
    <n v="5"/>
    <n v="8092.56"/>
    <x v="0"/>
    <s v="Discharged"/>
    <x v="2"/>
    <x v="0"/>
  </r>
  <r>
    <x v="173"/>
    <x v="56"/>
    <x v="0"/>
    <x v="4"/>
    <x v="2"/>
    <s v="2025-01-03"/>
    <s v="2025-01-13"/>
    <n v="10"/>
    <n v="14725.22"/>
    <x v="0"/>
    <s v="Discharged"/>
    <x v="0"/>
    <x v="1"/>
  </r>
  <r>
    <x v="174"/>
    <x v="49"/>
    <x v="1"/>
    <x v="5"/>
    <x v="1"/>
    <s v="2025-11-17"/>
    <s v="2025-11-19"/>
    <n v="2"/>
    <n v="9153.56"/>
    <x v="0"/>
    <s v="Discharged"/>
    <x v="0"/>
    <x v="0"/>
  </r>
  <r>
    <x v="175"/>
    <x v="9"/>
    <x v="1"/>
    <x v="0"/>
    <x v="2"/>
    <s v="2025-03-19"/>
    <s v="2025-03-21"/>
    <n v="2"/>
    <n v="3484.27"/>
    <x v="0"/>
    <s v="Discharged"/>
    <x v="4"/>
    <x v="0"/>
  </r>
  <r>
    <x v="176"/>
    <x v="26"/>
    <x v="1"/>
    <x v="0"/>
    <x v="1"/>
    <s v="2025-10-07"/>
    <s v="2025-10-16"/>
    <n v="9"/>
    <n v="8126.71"/>
    <x v="0"/>
    <s v="Discharged"/>
    <x v="3"/>
    <x v="1"/>
  </r>
  <r>
    <x v="177"/>
    <x v="58"/>
    <x v="0"/>
    <x v="3"/>
    <x v="2"/>
    <s v="2025-01-30"/>
    <s v="2025-02-08"/>
    <n v="9"/>
    <n v="13776.6"/>
    <x v="0"/>
    <s v="Discharged"/>
    <x v="2"/>
    <x v="1"/>
  </r>
  <r>
    <x v="178"/>
    <x v="39"/>
    <x v="0"/>
    <x v="2"/>
    <x v="0"/>
    <s v="2025-04-01"/>
    <s v="2025-04-06"/>
    <n v="5"/>
    <n v="10474.58"/>
    <x v="1"/>
    <s v="Discharged"/>
    <x v="4"/>
    <x v="0"/>
  </r>
  <r>
    <x v="179"/>
    <x v="66"/>
    <x v="1"/>
    <x v="5"/>
    <x v="2"/>
    <s v="2025-12-16"/>
    <s v="2025-12-19"/>
    <n v="3"/>
    <n v="8842.61"/>
    <x v="0"/>
    <s v="Discharged"/>
    <x v="1"/>
    <x v="0"/>
  </r>
  <r>
    <x v="180"/>
    <x v="53"/>
    <x v="0"/>
    <x v="1"/>
    <x v="2"/>
    <s v="2025-01-02"/>
    <s v="2025-01-06"/>
    <n v="4"/>
    <n v="3772.83"/>
    <x v="0"/>
    <s v="Discharged"/>
    <x v="4"/>
    <x v="0"/>
  </r>
  <r>
    <x v="181"/>
    <x v="42"/>
    <x v="0"/>
    <x v="5"/>
    <x v="2"/>
    <s v="2025-09-10"/>
    <s v="2025-09-17"/>
    <n v="7"/>
    <n v="7977.87"/>
    <x v="0"/>
    <s v="Discharged"/>
    <x v="4"/>
    <x v="0"/>
  </r>
  <r>
    <x v="182"/>
    <x v="8"/>
    <x v="1"/>
    <x v="0"/>
    <x v="2"/>
    <s v="2025-01-05"/>
    <s v="2025-01-13"/>
    <n v="8"/>
    <n v="10441.59"/>
    <x v="0"/>
    <s v="Discharged"/>
    <x v="3"/>
    <x v="1"/>
  </r>
  <r>
    <x v="183"/>
    <x v="62"/>
    <x v="1"/>
    <x v="1"/>
    <x v="2"/>
    <s v="2025-08-23"/>
    <s v="2025-08-27"/>
    <n v="4"/>
    <n v="3922.92"/>
    <x v="0"/>
    <s v="Discharged"/>
    <x v="2"/>
    <x v="0"/>
  </r>
  <r>
    <x v="184"/>
    <x v="38"/>
    <x v="1"/>
    <x v="1"/>
    <x v="0"/>
    <s v="2025-01-19"/>
    <s v="2025-01-21"/>
    <n v="2"/>
    <n v="3934.2"/>
    <x v="0"/>
    <s v="Discharged"/>
    <x v="0"/>
    <x v="0"/>
  </r>
  <r>
    <x v="185"/>
    <x v="19"/>
    <x v="1"/>
    <x v="2"/>
    <x v="2"/>
    <s v="2025-11-26"/>
    <s v="2025-12-05"/>
    <n v="9"/>
    <n v="8990.65"/>
    <x v="0"/>
    <s v="Discharged"/>
    <x v="2"/>
    <x v="1"/>
  </r>
  <r>
    <x v="186"/>
    <x v="43"/>
    <x v="1"/>
    <x v="5"/>
    <x v="0"/>
    <s v="2025-06-14"/>
    <s v="2025-06-18"/>
    <n v="4"/>
    <n v="8809.7999999999993"/>
    <x v="0"/>
    <s v="Discharged"/>
    <x v="2"/>
    <x v="0"/>
  </r>
  <r>
    <x v="187"/>
    <x v="19"/>
    <x v="1"/>
    <x v="0"/>
    <x v="2"/>
    <s v="2025-05-24"/>
    <s v="2025-06-02"/>
    <n v="9"/>
    <n v="8450.6200000000008"/>
    <x v="1"/>
    <s v="Discharged"/>
    <x v="2"/>
    <x v="1"/>
  </r>
  <r>
    <x v="188"/>
    <x v="34"/>
    <x v="0"/>
    <x v="5"/>
    <x v="2"/>
    <s v="2025-02-21"/>
    <s v="2025-02-28"/>
    <n v="7"/>
    <n v="7208.62"/>
    <x v="1"/>
    <s v="Other"/>
    <x v="2"/>
    <x v="0"/>
  </r>
  <r>
    <x v="189"/>
    <x v="67"/>
    <x v="1"/>
    <x v="3"/>
    <x v="2"/>
    <s v="2025-01-04"/>
    <s v="2025-01-13"/>
    <n v="9"/>
    <n v="14915.35"/>
    <x v="0"/>
    <s v="Discharged"/>
    <x v="3"/>
    <x v="1"/>
  </r>
  <r>
    <x v="190"/>
    <x v="27"/>
    <x v="0"/>
    <x v="5"/>
    <x v="0"/>
    <s v="2025-03-03"/>
    <s v="2025-03-04"/>
    <n v="1"/>
    <n v="4591.16"/>
    <x v="0"/>
    <s v="Discharged"/>
    <x v="1"/>
    <x v="0"/>
  </r>
  <r>
    <x v="191"/>
    <x v="52"/>
    <x v="0"/>
    <x v="3"/>
    <x v="0"/>
    <s v="2025-10-21"/>
    <s v="2025-10-26"/>
    <n v="5"/>
    <n v="10552.66"/>
    <x v="0"/>
    <s v="Transferred"/>
    <x v="4"/>
    <x v="0"/>
  </r>
  <r>
    <x v="192"/>
    <x v="63"/>
    <x v="0"/>
    <x v="1"/>
    <x v="0"/>
    <s v="2025-08-08"/>
    <s v="2025-08-14"/>
    <n v="6"/>
    <n v="6619.8"/>
    <x v="0"/>
    <s v="Other"/>
    <x v="3"/>
    <x v="0"/>
  </r>
  <r>
    <x v="193"/>
    <x v="61"/>
    <x v="1"/>
    <x v="0"/>
    <x v="2"/>
    <s v="2025-11-24"/>
    <s v="2025-12-01"/>
    <n v="7"/>
    <n v="9106.2999999999993"/>
    <x v="0"/>
    <s v="Discharged"/>
    <x v="4"/>
    <x v="0"/>
  </r>
  <r>
    <x v="194"/>
    <x v="19"/>
    <x v="1"/>
    <x v="4"/>
    <x v="1"/>
    <s v="2025-06-28"/>
    <m/>
    <n v="6"/>
    <n v="11107.17"/>
    <x v="0"/>
    <s v="Discharged"/>
    <x v="2"/>
    <x v="0"/>
  </r>
  <r>
    <x v="195"/>
    <x v="54"/>
    <x v="1"/>
    <x v="1"/>
    <x v="1"/>
    <s v="2025-12-29"/>
    <s v="2025-12-31"/>
    <n v="2"/>
    <n v="5307.23"/>
    <x v="1"/>
    <s v="Discharged"/>
    <x v="2"/>
    <x v="0"/>
  </r>
  <r>
    <x v="196"/>
    <x v="1"/>
    <x v="0"/>
    <x v="5"/>
    <x v="1"/>
    <s v="2025-11-10"/>
    <s v="2025-11-15"/>
    <n v="5"/>
    <n v="9069.91"/>
    <x v="0"/>
    <s v="Discharged"/>
    <x v="0"/>
    <x v="0"/>
  </r>
  <r>
    <x v="197"/>
    <x v="40"/>
    <x v="0"/>
    <x v="2"/>
    <x v="2"/>
    <s v="2025-07-27"/>
    <s v="2025-08-04"/>
    <n v="8"/>
    <n v="9558.9599999999991"/>
    <x v="0"/>
    <s v="Discharged"/>
    <x v="1"/>
    <x v="1"/>
  </r>
  <r>
    <x v="198"/>
    <x v="14"/>
    <x v="1"/>
    <x v="3"/>
    <x v="2"/>
    <s v="2025-08-30"/>
    <s v="2025-09-05"/>
    <n v="6"/>
    <n v="12784.39"/>
    <x v="0"/>
    <s v="Discharged"/>
    <x v="0"/>
    <x v="0"/>
  </r>
  <r>
    <x v="199"/>
    <x v="33"/>
    <x v="1"/>
    <x v="5"/>
    <x v="2"/>
    <s v="2025-12-16"/>
    <s v="2025-12-20"/>
    <n v="4"/>
    <n v="7935.3"/>
    <x v="1"/>
    <s v="Other"/>
    <x v="2"/>
    <x v="0"/>
  </r>
  <r>
    <x v="200"/>
    <x v="23"/>
    <x v="0"/>
    <x v="0"/>
    <x v="2"/>
    <s v="2025-03-24"/>
    <s v="2025-03-30"/>
    <n v="6"/>
    <n v="7692.53"/>
    <x v="0"/>
    <s v="Discharged"/>
    <x v="3"/>
    <x v="0"/>
  </r>
  <r>
    <x v="201"/>
    <x v="68"/>
    <x v="1"/>
    <x v="1"/>
    <x v="2"/>
    <s v="2025-01-14"/>
    <s v="2025-01-19"/>
    <n v="5"/>
    <n v="6903.72"/>
    <x v="1"/>
    <s v="Discharged"/>
    <x v="3"/>
    <x v="0"/>
  </r>
  <r>
    <x v="202"/>
    <x v="67"/>
    <x v="0"/>
    <x v="5"/>
    <x v="1"/>
    <s v="2025-12-06"/>
    <s v="2025-12-10"/>
    <n v="4"/>
    <n v="9127.89"/>
    <x v="0"/>
    <s v="Discharged"/>
    <x v="3"/>
    <x v="0"/>
  </r>
  <r>
    <x v="203"/>
    <x v="8"/>
    <x v="1"/>
    <x v="0"/>
    <x v="1"/>
    <s v="2025-03-26"/>
    <s v="2025-04-01"/>
    <n v="6"/>
    <n v="7130.98"/>
    <x v="1"/>
    <s v="Discharged"/>
    <x v="3"/>
    <x v="0"/>
  </r>
  <r>
    <x v="204"/>
    <x v="69"/>
    <x v="0"/>
    <x v="1"/>
    <x v="0"/>
    <s v="2025-04-22"/>
    <s v="2025-04-25"/>
    <n v="3"/>
    <n v="4732.32"/>
    <x v="0"/>
    <s v="Discharged"/>
    <x v="3"/>
    <x v="0"/>
  </r>
  <r>
    <x v="205"/>
    <x v="56"/>
    <x v="1"/>
    <x v="1"/>
    <x v="0"/>
    <s v="2025-05-22"/>
    <s v="2025-05-27"/>
    <n v="5"/>
    <n v="6919.01"/>
    <x v="0"/>
    <s v="Discharged"/>
    <x v="0"/>
    <x v="0"/>
  </r>
  <r>
    <x v="206"/>
    <x v="47"/>
    <x v="1"/>
    <x v="1"/>
    <x v="2"/>
    <s v="2025-03-24"/>
    <s v="2025-03-31"/>
    <n v="7"/>
    <n v="7459"/>
    <x v="0"/>
    <s v="Discharged"/>
    <x v="4"/>
    <x v="0"/>
  </r>
  <r>
    <x v="207"/>
    <x v="29"/>
    <x v="1"/>
    <x v="5"/>
    <x v="2"/>
    <s v="2025-04-26"/>
    <s v="2025-05-05"/>
    <n v="9"/>
    <n v="11571.01"/>
    <x v="0"/>
    <s v="Discharged"/>
    <x v="3"/>
    <x v="1"/>
  </r>
  <r>
    <x v="208"/>
    <x v="5"/>
    <x v="0"/>
    <x v="0"/>
    <x v="1"/>
    <s v="2025-12-02"/>
    <s v="2025-12-10"/>
    <n v="8"/>
    <n v="10196.25"/>
    <x v="1"/>
    <s v="Discharged"/>
    <x v="0"/>
    <x v="1"/>
  </r>
  <r>
    <x v="209"/>
    <x v="70"/>
    <x v="1"/>
    <x v="0"/>
    <x v="1"/>
    <s v="2025-08-29"/>
    <s v="2025-09-03"/>
    <n v="5"/>
    <n v="7069.62"/>
    <x v="0"/>
    <s v="Discharged"/>
    <x v="1"/>
    <x v="0"/>
  </r>
  <r>
    <x v="210"/>
    <x v="5"/>
    <x v="0"/>
    <x v="1"/>
    <x v="1"/>
    <s v="2025-04-04"/>
    <s v="2025-04-08"/>
    <n v="4"/>
    <n v="5885.48"/>
    <x v="1"/>
    <s v="Discharged"/>
    <x v="0"/>
    <x v="0"/>
  </r>
  <r>
    <x v="211"/>
    <x v="26"/>
    <x v="1"/>
    <x v="0"/>
    <x v="0"/>
    <s v="2025-06-13"/>
    <s v="2025-06-19"/>
    <n v="6"/>
    <n v="8261.58"/>
    <x v="0"/>
    <s v="Discharged"/>
    <x v="3"/>
    <x v="0"/>
  </r>
  <r>
    <x v="212"/>
    <x v="20"/>
    <x v="0"/>
    <x v="0"/>
    <x v="0"/>
    <s v="2025-07-31"/>
    <s v="2025-08-09"/>
    <n v="9"/>
    <n v="11362.18"/>
    <x v="0"/>
    <s v="Discharged"/>
    <x v="0"/>
    <x v="1"/>
  </r>
  <r>
    <x v="213"/>
    <x v="43"/>
    <x v="2"/>
    <x v="3"/>
    <x v="2"/>
    <s v="2025-12-08"/>
    <s v="2025-12-12"/>
    <n v="4"/>
    <n v="14456.53"/>
    <x v="0"/>
    <s v="Discharged"/>
    <x v="2"/>
    <x v="0"/>
  </r>
  <r>
    <x v="214"/>
    <x v="27"/>
    <x v="1"/>
    <x v="1"/>
    <x v="0"/>
    <s v="2025-03-15"/>
    <s v="2025-03-17"/>
    <n v="2"/>
    <n v="4477.6000000000004"/>
    <x v="0"/>
    <s v="Discharged"/>
    <x v="1"/>
    <x v="0"/>
  </r>
  <r>
    <x v="215"/>
    <x v="48"/>
    <x v="0"/>
    <x v="3"/>
    <x v="2"/>
    <s v="2025-10-13"/>
    <s v="2025-10-18"/>
    <n v="5"/>
    <n v="12390.52"/>
    <x v="0"/>
    <s v="Discharged"/>
    <x v="0"/>
    <x v="0"/>
  </r>
  <r>
    <x v="216"/>
    <x v="57"/>
    <x v="1"/>
    <x v="2"/>
    <x v="1"/>
    <s v="2025-08-06"/>
    <s v="2025-08-15"/>
    <n v="9"/>
    <n v="10827.23"/>
    <x v="0"/>
    <s v="Discharged"/>
    <x v="3"/>
    <x v="1"/>
  </r>
  <r>
    <x v="217"/>
    <x v="30"/>
    <x v="1"/>
    <x v="5"/>
    <x v="0"/>
    <s v="2025-04-20"/>
    <s v="2025-04-24"/>
    <n v="4"/>
    <n v="8916.2000000000007"/>
    <x v="0"/>
    <s v="Discharged"/>
    <x v="0"/>
    <x v="0"/>
  </r>
  <r>
    <x v="218"/>
    <x v="1"/>
    <x v="0"/>
    <x v="0"/>
    <x v="2"/>
    <s v="2025-08-24"/>
    <s v="2025-08-29"/>
    <n v="5"/>
    <n v="4669.83"/>
    <x v="0"/>
    <s v="Discharged"/>
    <x v="0"/>
    <x v="0"/>
  </r>
  <r>
    <x v="219"/>
    <x v="66"/>
    <x v="0"/>
    <x v="1"/>
    <x v="0"/>
    <s v="2025-07-31"/>
    <s v="2025-08-04"/>
    <n v="4"/>
    <n v="4466.1099999999997"/>
    <x v="0"/>
    <s v="Discharged"/>
    <x v="1"/>
    <x v="0"/>
  </r>
  <r>
    <x v="220"/>
    <x v="27"/>
    <x v="0"/>
    <x v="0"/>
    <x v="0"/>
    <s v="2025-08-01"/>
    <s v="2025-08-03"/>
    <n v="2"/>
    <n v="5250.39"/>
    <x v="0"/>
    <s v="Discharged"/>
    <x v="1"/>
    <x v="0"/>
  </r>
  <r>
    <x v="221"/>
    <x v="48"/>
    <x v="1"/>
    <x v="1"/>
    <x v="1"/>
    <s v="2025-03-20"/>
    <s v="2025-03-23"/>
    <n v="3"/>
    <n v="5523.01"/>
    <x v="0"/>
    <s v="Discharged"/>
    <x v="0"/>
    <x v="0"/>
  </r>
  <r>
    <x v="222"/>
    <x v="49"/>
    <x v="0"/>
    <x v="5"/>
    <x v="0"/>
    <s v="2025-06-16"/>
    <s v="2025-06-23"/>
    <n v="7"/>
    <n v="9171.6299999999992"/>
    <x v="0"/>
    <s v="Discharged"/>
    <x v="0"/>
    <x v="0"/>
  </r>
  <r>
    <x v="223"/>
    <x v="31"/>
    <x v="0"/>
    <x v="4"/>
    <x v="2"/>
    <s v="2025-03-20"/>
    <s v="2025-03-24"/>
    <n v="4"/>
    <n v="10952.2"/>
    <x v="0"/>
    <s v="Discharged"/>
    <x v="2"/>
    <x v="0"/>
  </r>
  <r>
    <x v="224"/>
    <x v="66"/>
    <x v="0"/>
    <x v="2"/>
    <x v="2"/>
    <s v="2025-12-24"/>
    <s v="2025-12-30"/>
    <n v="6"/>
    <n v="11357.69"/>
    <x v="1"/>
    <s v="Discharged"/>
    <x v="1"/>
    <x v="0"/>
  </r>
  <r>
    <x v="225"/>
    <x v="6"/>
    <x v="0"/>
    <x v="5"/>
    <x v="0"/>
    <s v="2025-01-06"/>
    <s v="2025-01-12"/>
    <n v="6"/>
    <n v="10839.86"/>
    <x v="0"/>
    <s v="Discharged"/>
    <x v="3"/>
    <x v="0"/>
  </r>
  <r>
    <x v="226"/>
    <x v="19"/>
    <x v="0"/>
    <x v="1"/>
    <x v="0"/>
    <s v="2025-01-06"/>
    <s v="2025-01-10"/>
    <n v="4"/>
    <n v="5529.87"/>
    <x v="1"/>
    <s v="Discharged"/>
    <x v="2"/>
    <x v="0"/>
  </r>
  <r>
    <x v="227"/>
    <x v="20"/>
    <x v="0"/>
    <x v="1"/>
    <x v="0"/>
    <s v="2025-04-28"/>
    <s v="2025-04-30"/>
    <n v="2"/>
    <n v="4887.01"/>
    <x v="0"/>
    <s v="Discharged"/>
    <x v="0"/>
    <x v="0"/>
  </r>
  <r>
    <x v="228"/>
    <x v="49"/>
    <x v="1"/>
    <x v="0"/>
    <x v="0"/>
    <s v="2025-12-22"/>
    <s v="2025-12-23"/>
    <n v="1"/>
    <n v="3261.6"/>
    <x v="0"/>
    <s v="Discharged"/>
    <x v="0"/>
    <x v="0"/>
  </r>
  <r>
    <x v="229"/>
    <x v="51"/>
    <x v="0"/>
    <x v="5"/>
    <x v="0"/>
    <s v="2025-08-16"/>
    <s v="2025-08-23"/>
    <n v="7"/>
    <n v="10282.26"/>
    <x v="0"/>
    <s v="Discharged"/>
    <x v="1"/>
    <x v="0"/>
  </r>
  <r>
    <x v="230"/>
    <x v="66"/>
    <x v="1"/>
    <x v="1"/>
    <x v="2"/>
    <s v="2025-03-01"/>
    <s v="2025-03-10"/>
    <n v="9"/>
    <n v="8376.02"/>
    <x v="0"/>
    <s v="Discharged"/>
    <x v="1"/>
    <x v="1"/>
  </r>
  <r>
    <x v="231"/>
    <x v="55"/>
    <x v="1"/>
    <x v="0"/>
    <x v="2"/>
    <s v="2025-01-04"/>
    <s v="2025-01-11"/>
    <n v="7"/>
    <n v="9167.69"/>
    <x v="1"/>
    <s v="Discharged"/>
    <x v="4"/>
    <x v="0"/>
  </r>
  <r>
    <x v="232"/>
    <x v="26"/>
    <x v="1"/>
    <x v="0"/>
    <x v="1"/>
    <s v="2025-02-09"/>
    <s v="2025-02-15"/>
    <n v="6"/>
    <n v="7848.97"/>
    <x v="0"/>
    <s v="Discharged"/>
    <x v="3"/>
    <x v="0"/>
  </r>
  <r>
    <x v="233"/>
    <x v="41"/>
    <x v="0"/>
    <x v="1"/>
    <x v="0"/>
    <s v="2025-01-08"/>
    <s v="2025-01-10"/>
    <n v="2"/>
    <n v="3270.39"/>
    <x v="0"/>
    <s v="Other"/>
    <x v="1"/>
    <x v="0"/>
  </r>
  <r>
    <x v="234"/>
    <x v="50"/>
    <x v="1"/>
    <x v="4"/>
    <x v="1"/>
    <s v="2025-06-01"/>
    <s v="2025-06-09"/>
    <n v="8"/>
    <n v="12478.23"/>
    <x v="0"/>
    <s v="Discharged"/>
    <x v="0"/>
    <x v="1"/>
  </r>
  <r>
    <x v="235"/>
    <x v="54"/>
    <x v="0"/>
    <x v="1"/>
    <x v="2"/>
    <s v="2025-08-04"/>
    <s v="2025-08-09"/>
    <n v="5"/>
    <n v="6341.01"/>
    <x v="0"/>
    <s v="Discharged"/>
    <x v="2"/>
    <x v="0"/>
  </r>
  <r>
    <x v="236"/>
    <x v="65"/>
    <x v="0"/>
    <x v="5"/>
    <x v="0"/>
    <s v="2025-10-06"/>
    <s v="2025-10-11"/>
    <n v="5"/>
    <n v="10166.969999999999"/>
    <x v="1"/>
    <s v="Discharged"/>
    <x v="3"/>
    <x v="0"/>
  </r>
  <r>
    <x v="237"/>
    <x v="40"/>
    <x v="0"/>
    <x v="0"/>
    <x v="0"/>
    <s v="2025-01-12"/>
    <s v="2025-01-16"/>
    <n v="4"/>
    <n v="5393.2"/>
    <x v="0"/>
    <s v="Discharged"/>
    <x v="1"/>
    <x v="0"/>
  </r>
  <r>
    <x v="238"/>
    <x v="50"/>
    <x v="0"/>
    <x v="4"/>
    <x v="2"/>
    <s v="2025-09-06"/>
    <s v="2025-09-12"/>
    <n v="6"/>
    <n v="9081.49"/>
    <x v="0"/>
    <s v="Discharged"/>
    <x v="0"/>
    <x v="0"/>
  </r>
  <r>
    <x v="239"/>
    <x v="36"/>
    <x v="1"/>
    <x v="1"/>
    <x v="2"/>
    <s v="2025-11-11"/>
    <s v="2025-11-17"/>
    <n v="6"/>
    <n v="6616.63"/>
    <x v="0"/>
    <s v="Discharged"/>
    <x v="1"/>
    <x v="0"/>
  </r>
  <r>
    <x v="240"/>
    <x v="54"/>
    <x v="0"/>
    <x v="1"/>
    <x v="1"/>
    <s v="2025-10-24"/>
    <s v="2025-10-26"/>
    <n v="2"/>
    <n v="3868.34"/>
    <x v="1"/>
    <s v="Discharged"/>
    <x v="2"/>
    <x v="0"/>
  </r>
  <r>
    <x v="241"/>
    <x v="28"/>
    <x v="1"/>
    <x v="0"/>
    <x v="2"/>
    <s v="2025-11-15"/>
    <s v="2025-11-19"/>
    <n v="4"/>
    <n v="7172.23"/>
    <x v="0"/>
    <s v="Discharged"/>
    <x v="4"/>
    <x v="0"/>
  </r>
  <r>
    <x v="242"/>
    <x v="13"/>
    <x v="1"/>
    <x v="3"/>
    <x v="2"/>
    <s v="2025-10-08"/>
    <s v="2025-10-14"/>
    <n v="6"/>
    <n v="14454.12"/>
    <x v="0"/>
    <s v="Discharged"/>
    <x v="1"/>
    <x v="0"/>
  </r>
  <r>
    <x v="243"/>
    <x v="15"/>
    <x v="0"/>
    <x v="1"/>
    <x v="2"/>
    <s v="2025-01-23"/>
    <s v="2025-01-29"/>
    <n v="6"/>
    <n v="8160.05"/>
    <x v="0"/>
    <s v="Discharged"/>
    <x v="1"/>
    <x v="0"/>
  </r>
  <r>
    <x v="244"/>
    <x v="70"/>
    <x v="0"/>
    <x v="0"/>
    <x v="2"/>
    <s v="2025-12-27"/>
    <s v="2026-01-06"/>
    <n v="10"/>
    <n v="11859.54"/>
    <x v="0"/>
    <s v="Discharged"/>
    <x v="1"/>
    <x v="1"/>
  </r>
  <r>
    <x v="245"/>
    <x v="16"/>
    <x v="1"/>
    <x v="1"/>
    <x v="2"/>
    <s v="2025-04-24"/>
    <s v="2025-04-28"/>
    <n v="4"/>
    <n v="5381.67"/>
    <x v="0"/>
    <s v="Discharged"/>
    <x v="4"/>
    <x v="0"/>
  </r>
  <r>
    <x v="246"/>
    <x v="43"/>
    <x v="1"/>
    <x v="5"/>
    <x v="0"/>
    <s v="2025-10-10"/>
    <s v="2025-10-12"/>
    <n v="2"/>
    <n v="7644.39"/>
    <x v="0"/>
    <s v="Discharged"/>
    <x v="2"/>
    <x v="0"/>
  </r>
  <r>
    <x v="247"/>
    <x v="22"/>
    <x v="0"/>
    <x v="4"/>
    <x v="0"/>
    <s v="2025-11-02"/>
    <s v="2025-11-06"/>
    <n v="4"/>
    <n v="11995.74"/>
    <x v="0"/>
    <s v="Discharged"/>
    <x v="3"/>
    <x v="0"/>
  </r>
  <r>
    <x v="248"/>
    <x v="33"/>
    <x v="1"/>
    <x v="5"/>
    <x v="0"/>
    <s v="2025-03-06"/>
    <s v="2025-03-12"/>
    <n v="6"/>
    <n v="8472.5400000000009"/>
    <x v="1"/>
    <s v="Discharged"/>
    <x v="2"/>
    <x v="0"/>
  </r>
  <r>
    <x v="249"/>
    <x v="4"/>
    <x v="0"/>
    <x v="0"/>
    <x v="2"/>
    <s v="2025-06-04"/>
    <s v="2025-06-12"/>
    <n v="8"/>
    <n v="11445.9"/>
    <x v="0"/>
    <s v="Discharged"/>
    <x v="2"/>
    <x v="1"/>
  </r>
  <r>
    <x v="250"/>
    <x v="66"/>
    <x v="1"/>
    <x v="2"/>
    <x v="1"/>
    <s v="2025-03-05"/>
    <s v="2025-03-14"/>
    <n v="9"/>
    <n v="13929.37"/>
    <x v="0"/>
    <s v="Discharged"/>
    <x v="1"/>
    <x v="1"/>
  </r>
  <r>
    <x v="251"/>
    <x v="46"/>
    <x v="1"/>
    <x v="1"/>
    <x v="2"/>
    <s v="2025-10-24"/>
    <s v="2025-10-27"/>
    <n v="3"/>
    <n v="4494.12"/>
    <x v="0"/>
    <s v="Discharged"/>
    <x v="1"/>
    <x v="0"/>
  </r>
  <r>
    <x v="252"/>
    <x v="31"/>
    <x v="0"/>
    <x v="3"/>
    <x v="0"/>
    <s v="2025-08-02"/>
    <s v="2025-08-10"/>
    <n v="8"/>
    <n v="13147.35"/>
    <x v="0"/>
    <s v="Discharged"/>
    <x v="2"/>
    <x v="1"/>
  </r>
  <r>
    <x v="253"/>
    <x v="4"/>
    <x v="1"/>
    <x v="1"/>
    <x v="0"/>
    <s v="2025-01-14"/>
    <s v="2025-01-16"/>
    <n v="2"/>
    <n v="5252.4"/>
    <x v="0"/>
    <s v="Discharged"/>
    <x v="2"/>
    <x v="0"/>
  </r>
  <r>
    <x v="254"/>
    <x v="19"/>
    <x v="0"/>
    <x v="1"/>
    <x v="2"/>
    <s v="2025-08-01"/>
    <s v="2025-08-05"/>
    <n v="4"/>
    <n v="6846"/>
    <x v="0"/>
    <s v="Discharged"/>
    <x v="2"/>
    <x v="0"/>
  </r>
  <r>
    <x v="255"/>
    <x v="35"/>
    <x v="1"/>
    <x v="2"/>
    <x v="2"/>
    <s v="2025-02-18"/>
    <s v="2025-02-24"/>
    <n v="6"/>
    <n v="11400.18"/>
    <x v="0"/>
    <s v="Discharged"/>
    <x v="4"/>
    <x v="0"/>
  </r>
  <r>
    <x v="256"/>
    <x v="7"/>
    <x v="0"/>
    <x v="2"/>
    <x v="0"/>
    <s v="2025-11-21"/>
    <s v="2025-11-24"/>
    <n v="3"/>
    <n v="9478.35"/>
    <x v="0"/>
    <s v="Discharged"/>
    <x v="4"/>
    <x v="0"/>
  </r>
  <r>
    <x v="257"/>
    <x v="20"/>
    <x v="1"/>
    <x v="2"/>
    <x v="2"/>
    <s v="2025-03-31"/>
    <s v="2025-04-09"/>
    <n v="9"/>
    <n v="13720.31"/>
    <x v="0"/>
    <s v="Discharged"/>
    <x v="0"/>
    <x v="1"/>
  </r>
  <r>
    <x v="258"/>
    <x v="23"/>
    <x v="1"/>
    <x v="0"/>
    <x v="2"/>
    <s v="2025-10-13"/>
    <s v="2025-10-20"/>
    <n v="7"/>
    <n v="6587.54"/>
    <x v="0"/>
    <s v="Discharged"/>
    <x v="3"/>
    <x v="0"/>
  </r>
  <r>
    <x v="259"/>
    <x v="54"/>
    <x v="1"/>
    <x v="5"/>
    <x v="0"/>
    <s v="2025-11-29"/>
    <s v="2025-12-03"/>
    <n v="4"/>
    <n v="7662.08"/>
    <x v="0"/>
    <s v="Discharged"/>
    <x v="2"/>
    <x v="0"/>
  </r>
  <r>
    <x v="260"/>
    <x v="46"/>
    <x v="1"/>
    <x v="1"/>
    <x v="1"/>
    <s v="2025-05-27"/>
    <s v="2025-06-02"/>
    <n v="6"/>
    <n v="4785.46"/>
    <x v="0"/>
    <s v="Discharged"/>
    <x v="1"/>
    <x v="0"/>
  </r>
  <r>
    <x v="261"/>
    <x v="63"/>
    <x v="0"/>
    <x v="0"/>
    <x v="0"/>
    <s v="2025-04-14"/>
    <s v="2025-04-20"/>
    <n v="6"/>
    <n v="8532.85"/>
    <x v="0"/>
    <s v="Discharged"/>
    <x v="3"/>
    <x v="0"/>
  </r>
  <r>
    <x v="262"/>
    <x v="0"/>
    <x v="0"/>
    <x v="0"/>
    <x v="0"/>
    <s v="2025-10-12"/>
    <s v="2025-10-17"/>
    <n v="5"/>
    <n v="6499.36"/>
    <x v="0"/>
    <s v="Discharged"/>
    <x v="0"/>
    <x v="0"/>
  </r>
  <r>
    <x v="263"/>
    <x v="17"/>
    <x v="1"/>
    <x v="0"/>
    <x v="0"/>
    <s v="2025-03-04"/>
    <s v="2025-03-07"/>
    <n v="3"/>
    <n v="5728.64"/>
    <x v="0"/>
    <s v="Transferred"/>
    <x v="2"/>
    <x v="0"/>
  </r>
  <r>
    <x v="264"/>
    <x v="29"/>
    <x v="0"/>
    <x v="2"/>
    <x v="2"/>
    <s v="2025-06-17"/>
    <s v="2025-06-24"/>
    <n v="7"/>
    <n v="9791.66"/>
    <x v="1"/>
    <s v="Discharged"/>
    <x v="3"/>
    <x v="0"/>
  </r>
  <r>
    <x v="265"/>
    <x v="8"/>
    <x v="0"/>
    <x v="4"/>
    <x v="2"/>
    <s v="2025-02-22"/>
    <s v="2025-03-04"/>
    <n v="10"/>
    <n v="13823.26"/>
    <x v="0"/>
    <s v="Discharged"/>
    <x v="3"/>
    <x v="1"/>
  </r>
  <r>
    <x v="266"/>
    <x v="33"/>
    <x v="2"/>
    <x v="5"/>
    <x v="2"/>
    <s v="2025-06-21"/>
    <s v="2025-06-27"/>
    <n v="6"/>
    <n v="9883.69"/>
    <x v="0"/>
    <s v="Discharged"/>
    <x v="2"/>
    <x v="0"/>
  </r>
  <r>
    <x v="267"/>
    <x v="46"/>
    <x v="0"/>
    <x v="5"/>
    <x v="1"/>
    <s v="2025-07-09"/>
    <s v="2025-07-14"/>
    <n v="5"/>
    <n v="9939.7900000000009"/>
    <x v="0"/>
    <s v="Discharged"/>
    <x v="1"/>
    <x v="0"/>
  </r>
  <r>
    <x v="268"/>
    <x v="13"/>
    <x v="0"/>
    <x v="1"/>
    <x v="2"/>
    <s v="2025-07-23"/>
    <s v="2025-07-25"/>
    <n v="2"/>
    <n v="4382.08"/>
    <x v="0"/>
    <s v="Discharged"/>
    <x v="1"/>
    <x v="0"/>
  </r>
  <r>
    <x v="269"/>
    <x v="38"/>
    <x v="0"/>
    <x v="0"/>
    <x v="1"/>
    <s v="2025-03-17"/>
    <s v="2025-03-18"/>
    <n v="1"/>
    <n v="5578.34"/>
    <x v="0"/>
    <s v="Discharged"/>
    <x v="0"/>
    <x v="0"/>
  </r>
  <r>
    <x v="270"/>
    <x v="30"/>
    <x v="1"/>
    <x v="2"/>
    <x v="2"/>
    <s v="2025-05-29"/>
    <s v="2025-06-05"/>
    <n v="7"/>
    <n v="12001.12"/>
    <x v="1"/>
    <s v="Discharged"/>
    <x v="0"/>
    <x v="0"/>
  </r>
  <r>
    <x v="271"/>
    <x v="48"/>
    <x v="1"/>
    <x v="1"/>
    <x v="1"/>
    <s v="2025-03-12"/>
    <s v="2025-03-14"/>
    <n v="2"/>
    <n v="1856.75"/>
    <x v="0"/>
    <s v="Discharged"/>
    <x v="0"/>
    <x v="0"/>
  </r>
  <r>
    <x v="272"/>
    <x v="18"/>
    <x v="0"/>
    <x v="1"/>
    <x v="0"/>
    <s v="2025-06-18"/>
    <s v="2025-06-23"/>
    <n v="5"/>
    <n v="5353.13"/>
    <x v="1"/>
    <s v="Discharged"/>
    <x v="3"/>
    <x v="0"/>
  </r>
  <r>
    <x v="273"/>
    <x v="69"/>
    <x v="1"/>
    <x v="4"/>
    <x v="1"/>
    <s v="2025-05-05"/>
    <s v="2025-05-11"/>
    <n v="6"/>
    <n v="12266.51"/>
    <x v="0"/>
    <s v="Discharged"/>
    <x v="3"/>
    <x v="0"/>
  </r>
  <r>
    <x v="274"/>
    <x v="47"/>
    <x v="0"/>
    <x v="1"/>
    <x v="2"/>
    <s v="2025-02-21"/>
    <s v="2025-02-26"/>
    <n v="5"/>
    <n v="5837.46"/>
    <x v="0"/>
    <s v="Discharged"/>
    <x v="4"/>
    <x v="0"/>
  </r>
  <r>
    <x v="275"/>
    <x v="12"/>
    <x v="0"/>
    <x v="2"/>
    <x v="2"/>
    <s v="2025-12-03"/>
    <m/>
    <n v="8"/>
    <n v="11854.08"/>
    <x v="0"/>
    <s v="Discharged"/>
    <x v="2"/>
    <x v="1"/>
  </r>
  <r>
    <x v="276"/>
    <x v="27"/>
    <x v="1"/>
    <x v="3"/>
    <x v="2"/>
    <s v="2025-08-17"/>
    <s v="2025-08-27"/>
    <n v="10"/>
    <n v="14139.32"/>
    <x v="1"/>
    <s v="Discharged"/>
    <x v="1"/>
    <x v="1"/>
  </r>
  <r>
    <x v="277"/>
    <x v="69"/>
    <x v="1"/>
    <x v="2"/>
    <x v="2"/>
    <s v="2025-12-29"/>
    <s v="2026-01-06"/>
    <n v="8"/>
    <n v="12355.14"/>
    <x v="0"/>
    <s v="Discharged"/>
    <x v="3"/>
    <x v="1"/>
  </r>
  <r>
    <x v="278"/>
    <x v="2"/>
    <x v="0"/>
    <x v="0"/>
    <x v="2"/>
    <s v="2025-01-29"/>
    <s v="2025-02-04"/>
    <n v="6"/>
    <n v="5655.58"/>
    <x v="0"/>
    <s v="Transferred"/>
    <x v="1"/>
    <x v="0"/>
  </r>
  <r>
    <x v="279"/>
    <x v="38"/>
    <x v="0"/>
    <x v="0"/>
    <x v="0"/>
    <s v="2025-10-13"/>
    <s v="2025-10-18"/>
    <n v="5"/>
    <n v="7920.93"/>
    <x v="0"/>
    <s v="Discharged"/>
    <x v="0"/>
    <x v="0"/>
  </r>
  <r>
    <x v="280"/>
    <x v="7"/>
    <x v="0"/>
    <x v="5"/>
    <x v="2"/>
    <s v="2025-06-17"/>
    <s v="2025-06-25"/>
    <n v="8"/>
    <n v="12027.3"/>
    <x v="0"/>
    <s v="Discharged"/>
    <x v="4"/>
    <x v="1"/>
  </r>
  <r>
    <x v="281"/>
    <x v="3"/>
    <x v="1"/>
    <x v="5"/>
    <x v="2"/>
    <s v="2025-03-04"/>
    <s v="2025-03-08"/>
    <n v="4"/>
    <n v="8989.81"/>
    <x v="1"/>
    <s v="Discharged"/>
    <x v="0"/>
    <x v="0"/>
  </r>
  <r>
    <x v="282"/>
    <x v="23"/>
    <x v="1"/>
    <x v="4"/>
    <x v="1"/>
    <s v="2025-10-29"/>
    <s v="2025-11-03"/>
    <n v="5"/>
    <n v="9331.41"/>
    <x v="0"/>
    <s v="Discharged"/>
    <x v="3"/>
    <x v="0"/>
  </r>
  <r>
    <x v="283"/>
    <x v="13"/>
    <x v="0"/>
    <x v="1"/>
    <x v="0"/>
    <s v="2025-03-24"/>
    <s v="2025-03-29"/>
    <n v="5"/>
    <n v="5685.06"/>
    <x v="0"/>
    <s v="Discharged"/>
    <x v="1"/>
    <x v="0"/>
  </r>
  <r>
    <x v="284"/>
    <x v="45"/>
    <x v="0"/>
    <x v="0"/>
    <x v="2"/>
    <s v="2025-02-06"/>
    <s v="2025-02-13"/>
    <n v="7"/>
    <n v="8806.57"/>
    <x v="0"/>
    <s v="Discharged"/>
    <x v="1"/>
    <x v="0"/>
  </r>
  <r>
    <x v="285"/>
    <x v="3"/>
    <x v="1"/>
    <x v="1"/>
    <x v="1"/>
    <s v="2025-05-24"/>
    <s v="2025-05-28"/>
    <n v="4"/>
    <n v="6925.48"/>
    <x v="0"/>
    <s v="Discharged"/>
    <x v="0"/>
    <x v="0"/>
  </r>
  <r>
    <x v="286"/>
    <x v="68"/>
    <x v="1"/>
    <x v="1"/>
    <x v="2"/>
    <s v="2025-05-28"/>
    <s v="2025-05-30"/>
    <n v="2"/>
    <n v="5349.84"/>
    <x v="0"/>
    <s v="Discharged"/>
    <x v="3"/>
    <x v="0"/>
  </r>
  <r>
    <x v="287"/>
    <x v="45"/>
    <x v="0"/>
    <x v="0"/>
    <x v="2"/>
    <s v="2025-12-13"/>
    <s v="2025-12-21"/>
    <n v="8"/>
    <n v="10170.98"/>
    <x v="0"/>
    <s v="Discharged"/>
    <x v="1"/>
    <x v="1"/>
  </r>
  <r>
    <x v="288"/>
    <x v="29"/>
    <x v="0"/>
    <x v="1"/>
    <x v="2"/>
    <s v="2025-06-16"/>
    <s v="2025-06-26"/>
    <n v="10"/>
    <n v="10415.370000000001"/>
    <x v="0"/>
    <s v="Discharged"/>
    <x v="3"/>
    <x v="1"/>
  </r>
  <r>
    <x v="289"/>
    <x v="14"/>
    <x v="0"/>
    <x v="1"/>
    <x v="2"/>
    <s v="2025-04-13"/>
    <s v="2025-04-16"/>
    <n v="3"/>
    <n v="6197.65"/>
    <x v="0"/>
    <s v="Discharged"/>
    <x v="0"/>
    <x v="0"/>
  </r>
  <r>
    <x v="290"/>
    <x v="41"/>
    <x v="1"/>
    <x v="0"/>
    <x v="0"/>
    <s v="2025-02-15"/>
    <s v="2025-02-20"/>
    <n v="5"/>
    <n v="9189.1299999999992"/>
    <x v="1"/>
    <s v="Discharged"/>
    <x v="1"/>
    <x v="0"/>
  </r>
  <r>
    <x v="291"/>
    <x v="67"/>
    <x v="0"/>
    <x v="3"/>
    <x v="0"/>
    <s v="2025-10-15"/>
    <s v="2025-10-24"/>
    <n v="9"/>
    <n v="15755.85"/>
    <x v="0"/>
    <s v="Discharged"/>
    <x v="3"/>
    <x v="1"/>
  </r>
  <r>
    <x v="292"/>
    <x v="69"/>
    <x v="1"/>
    <x v="0"/>
    <x v="1"/>
    <s v="2025-05-02"/>
    <s v="2025-05-08"/>
    <n v="6"/>
    <n v="8491.5400000000009"/>
    <x v="0"/>
    <s v="Transferred"/>
    <x v="3"/>
    <x v="0"/>
  </r>
  <r>
    <x v="293"/>
    <x v="42"/>
    <x v="1"/>
    <x v="3"/>
    <x v="0"/>
    <s v="2025-01-13"/>
    <s v="2025-01-17"/>
    <n v="4"/>
    <n v="11824.66"/>
    <x v="0"/>
    <s v="Discharged"/>
    <x v="4"/>
    <x v="0"/>
  </r>
  <r>
    <x v="294"/>
    <x v="1"/>
    <x v="1"/>
    <x v="4"/>
    <x v="2"/>
    <s v="2025-09-21"/>
    <s v="2025-09-30"/>
    <n v="9"/>
    <n v="14237.17"/>
    <x v="0"/>
    <s v="Discharged"/>
    <x v="0"/>
    <x v="1"/>
  </r>
  <r>
    <x v="295"/>
    <x v="55"/>
    <x v="1"/>
    <x v="5"/>
    <x v="2"/>
    <s v="2025-05-27"/>
    <s v="2025-06-03"/>
    <n v="7"/>
    <n v="11154.24"/>
    <x v="0"/>
    <s v="Discharged"/>
    <x v="4"/>
    <x v="0"/>
  </r>
  <r>
    <x v="296"/>
    <x v="37"/>
    <x v="1"/>
    <x v="5"/>
    <x v="2"/>
    <s v="2025-05-21"/>
    <s v="2025-05-22"/>
    <n v="1"/>
    <n v="4959.41"/>
    <x v="0"/>
    <s v="Discharged"/>
    <x v="1"/>
    <x v="0"/>
  </r>
  <r>
    <x v="297"/>
    <x v="65"/>
    <x v="1"/>
    <x v="4"/>
    <x v="1"/>
    <s v="2025-12-05"/>
    <s v="2025-12-14"/>
    <n v="9"/>
    <n v="13396.37"/>
    <x v="0"/>
    <s v="Discharged"/>
    <x v="3"/>
    <x v="1"/>
  </r>
  <r>
    <x v="298"/>
    <x v="30"/>
    <x v="1"/>
    <x v="1"/>
    <x v="1"/>
    <s v="2025-03-04"/>
    <s v="2025-03-07"/>
    <n v="3"/>
    <n v="7234.44"/>
    <x v="0"/>
    <s v="Discharged"/>
    <x v="0"/>
    <x v="0"/>
  </r>
  <r>
    <x v="299"/>
    <x v="35"/>
    <x v="0"/>
    <x v="1"/>
    <x v="1"/>
    <s v="2025-04-21"/>
    <s v="2025-04-26"/>
    <n v="5"/>
    <n v="6531.13"/>
    <x v="0"/>
    <s v="Discharged"/>
    <x v="4"/>
    <x v="0"/>
  </r>
  <r>
    <x v="300"/>
    <x v="64"/>
    <x v="1"/>
    <x v="2"/>
    <x v="0"/>
    <s v="2025-05-07"/>
    <s v="2025-05-09"/>
    <n v="2"/>
    <n v="8140.83"/>
    <x v="0"/>
    <s v="Discharged"/>
    <x v="4"/>
    <x v="0"/>
  </r>
  <r>
    <x v="301"/>
    <x v="1"/>
    <x v="1"/>
    <x v="0"/>
    <x v="0"/>
    <s v="2025-11-08"/>
    <s v="2025-11-11"/>
    <n v="3"/>
    <n v="7028.64"/>
    <x v="1"/>
    <s v="Discharged"/>
    <x v="0"/>
    <x v="0"/>
  </r>
  <r>
    <x v="302"/>
    <x v="42"/>
    <x v="0"/>
    <x v="4"/>
    <x v="1"/>
    <s v="2025-05-30"/>
    <s v="2025-06-05"/>
    <n v="6"/>
    <n v="9839.2199999999993"/>
    <x v="0"/>
    <s v="Discharged"/>
    <x v="4"/>
    <x v="0"/>
  </r>
  <r>
    <x v="303"/>
    <x v="31"/>
    <x v="1"/>
    <x v="5"/>
    <x v="1"/>
    <s v="2025-09-05"/>
    <s v="2025-09-12"/>
    <n v="7"/>
    <n v="11804.37"/>
    <x v="0"/>
    <s v="Discharged"/>
    <x v="2"/>
    <x v="0"/>
  </r>
  <r>
    <x v="304"/>
    <x v="38"/>
    <x v="0"/>
    <x v="1"/>
    <x v="2"/>
    <s v="2025-12-11"/>
    <s v="2025-12-17"/>
    <n v="6"/>
    <n v="6896.14"/>
    <x v="1"/>
    <s v="Discharged"/>
    <x v="0"/>
    <x v="0"/>
  </r>
  <r>
    <x v="305"/>
    <x v="67"/>
    <x v="0"/>
    <x v="3"/>
    <x v="2"/>
    <s v="2025-12-03"/>
    <s v="2025-12-13"/>
    <n v="10"/>
    <n v="17056.650000000001"/>
    <x v="1"/>
    <s v="Discharged"/>
    <x v="3"/>
    <x v="1"/>
  </r>
  <r>
    <x v="306"/>
    <x v="12"/>
    <x v="1"/>
    <x v="1"/>
    <x v="2"/>
    <s v="2025-01-26"/>
    <s v="2025-02-02"/>
    <n v="7"/>
    <n v="8286.67"/>
    <x v="1"/>
    <s v="Discharged"/>
    <x v="2"/>
    <x v="0"/>
  </r>
  <r>
    <x v="307"/>
    <x v="54"/>
    <x v="1"/>
    <x v="1"/>
    <x v="2"/>
    <s v="2025-09-29"/>
    <s v="2025-10-03"/>
    <n v="4"/>
    <n v="7190.29"/>
    <x v="1"/>
    <s v="Discharged"/>
    <x v="2"/>
    <x v="0"/>
  </r>
  <r>
    <x v="308"/>
    <x v="18"/>
    <x v="1"/>
    <x v="3"/>
    <x v="0"/>
    <s v="2025-08-20"/>
    <s v="2025-08-29"/>
    <n v="9"/>
    <n v="16810.71"/>
    <x v="0"/>
    <s v="Discharged"/>
    <x v="3"/>
    <x v="1"/>
  </r>
  <r>
    <x v="309"/>
    <x v="51"/>
    <x v="1"/>
    <x v="4"/>
    <x v="2"/>
    <s v="2025-07-15"/>
    <s v="2025-07-21"/>
    <n v="6"/>
    <n v="11860.31"/>
    <x v="1"/>
    <s v="Discharged"/>
    <x v="1"/>
    <x v="0"/>
  </r>
  <r>
    <x v="310"/>
    <x v="12"/>
    <x v="0"/>
    <x v="1"/>
    <x v="2"/>
    <s v="2025-11-30"/>
    <s v="2025-12-03"/>
    <n v="3"/>
    <n v="5027.0200000000004"/>
    <x v="0"/>
    <s v="Discharged"/>
    <x v="2"/>
    <x v="0"/>
  </r>
  <r>
    <x v="311"/>
    <x v="57"/>
    <x v="0"/>
    <x v="1"/>
    <x v="2"/>
    <s v="2025-02-17"/>
    <s v="2025-02-22"/>
    <n v="5"/>
    <n v="4137.01"/>
    <x v="0"/>
    <s v="Discharged"/>
    <x v="3"/>
    <x v="0"/>
  </r>
  <r>
    <x v="312"/>
    <x v="58"/>
    <x v="0"/>
    <x v="1"/>
    <x v="0"/>
    <s v="2025-08-15"/>
    <s v="2025-08-20"/>
    <n v="5"/>
    <n v="7848.19"/>
    <x v="0"/>
    <s v="Discharged"/>
    <x v="2"/>
    <x v="0"/>
  </r>
  <r>
    <x v="313"/>
    <x v="21"/>
    <x v="0"/>
    <x v="2"/>
    <x v="0"/>
    <s v="2025-03-21"/>
    <s v="2025-03-25"/>
    <n v="4"/>
    <n v="8616.7900000000009"/>
    <x v="0"/>
    <s v="Discharged"/>
    <x v="4"/>
    <x v="0"/>
  </r>
  <r>
    <x v="314"/>
    <x v="32"/>
    <x v="1"/>
    <x v="0"/>
    <x v="1"/>
    <s v="2025-06-03"/>
    <s v="2025-06-08"/>
    <n v="5"/>
    <n v="6957.02"/>
    <x v="0"/>
    <s v="Discharged"/>
    <x v="3"/>
    <x v="0"/>
  </r>
  <r>
    <x v="315"/>
    <x v="69"/>
    <x v="1"/>
    <x v="1"/>
    <x v="0"/>
    <s v="2025-09-04"/>
    <s v="2025-09-08"/>
    <n v="4"/>
    <n v="4099.7700000000004"/>
    <x v="1"/>
    <s v="Discharged"/>
    <x v="3"/>
    <x v="0"/>
  </r>
  <r>
    <x v="316"/>
    <x v="31"/>
    <x v="1"/>
    <x v="5"/>
    <x v="0"/>
    <s v="2025-09-14"/>
    <s v="2025-09-17"/>
    <n v="3"/>
    <n v="5853.8"/>
    <x v="0"/>
    <s v="Discharged"/>
    <x v="2"/>
    <x v="0"/>
  </r>
  <r>
    <x v="317"/>
    <x v="3"/>
    <x v="0"/>
    <x v="2"/>
    <x v="2"/>
    <s v="2025-02-11"/>
    <s v="2025-02-19"/>
    <n v="8"/>
    <n v="11610.19"/>
    <x v="1"/>
    <s v="Discharged"/>
    <x v="0"/>
    <x v="1"/>
  </r>
  <r>
    <x v="318"/>
    <x v="25"/>
    <x v="0"/>
    <x v="1"/>
    <x v="0"/>
    <s v="2025-10-09"/>
    <s v="2025-10-10"/>
    <n v="1"/>
    <n v="2134.09"/>
    <x v="0"/>
    <s v="Discharged"/>
    <x v="2"/>
    <x v="0"/>
  </r>
  <r>
    <x v="319"/>
    <x v="8"/>
    <x v="0"/>
    <x v="2"/>
    <x v="1"/>
    <s v="2025-09-02"/>
    <s v="2025-09-12"/>
    <n v="10"/>
    <n v="14124.51"/>
    <x v="0"/>
    <s v="Transferred"/>
    <x v="3"/>
    <x v="1"/>
  </r>
  <r>
    <x v="320"/>
    <x v="11"/>
    <x v="0"/>
    <x v="1"/>
    <x v="1"/>
    <s v="2025-04-15"/>
    <s v="2025-04-20"/>
    <n v="5"/>
    <n v="7738.46"/>
    <x v="0"/>
    <s v="Discharged"/>
    <x v="2"/>
    <x v="0"/>
  </r>
  <r>
    <x v="321"/>
    <x v="6"/>
    <x v="0"/>
    <x v="5"/>
    <x v="2"/>
    <s v="2025-05-23"/>
    <s v="2025-05-30"/>
    <n v="7"/>
    <n v="11574.55"/>
    <x v="0"/>
    <s v="Discharged"/>
    <x v="3"/>
    <x v="0"/>
  </r>
  <r>
    <x v="322"/>
    <x v="55"/>
    <x v="0"/>
    <x v="0"/>
    <x v="2"/>
    <s v="2025-08-21"/>
    <s v="2025-08-25"/>
    <n v="4"/>
    <n v="7200.62"/>
    <x v="0"/>
    <s v="Discharged"/>
    <x v="4"/>
    <x v="0"/>
  </r>
  <r>
    <x v="323"/>
    <x v="8"/>
    <x v="0"/>
    <x v="1"/>
    <x v="2"/>
    <s v="2025-05-07"/>
    <s v="2025-05-13"/>
    <n v="6"/>
    <n v="5950.27"/>
    <x v="0"/>
    <s v="Discharged"/>
    <x v="3"/>
    <x v="0"/>
  </r>
  <r>
    <x v="324"/>
    <x v="60"/>
    <x v="1"/>
    <x v="4"/>
    <x v="0"/>
    <s v="2025-01-22"/>
    <s v="2025-01-26"/>
    <n v="4"/>
    <n v="12083.66"/>
    <x v="0"/>
    <s v="Discharged"/>
    <x v="3"/>
    <x v="0"/>
  </r>
  <r>
    <x v="325"/>
    <x v="50"/>
    <x v="1"/>
    <x v="1"/>
    <x v="2"/>
    <s v="2025-01-12"/>
    <s v="2025-01-19"/>
    <n v="7"/>
    <n v="6337.4"/>
    <x v="1"/>
    <s v="Discharged"/>
    <x v="0"/>
    <x v="0"/>
  </r>
  <r>
    <x v="326"/>
    <x v="37"/>
    <x v="1"/>
    <x v="3"/>
    <x v="2"/>
    <s v="2025-10-15"/>
    <m/>
    <n v="7"/>
    <n v="16378.98"/>
    <x v="0"/>
    <s v="Transferred"/>
    <x v="1"/>
    <x v="0"/>
  </r>
  <r>
    <x v="327"/>
    <x v="44"/>
    <x v="0"/>
    <x v="1"/>
    <x v="2"/>
    <s v="2025-04-21"/>
    <s v="2025-04-29"/>
    <n v="8"/>
    <n v="5599.71"/>
    <x v="0"/>
    <s v="Discharged"/>
    <x v="1"/>
    <x v="1"/>
  </r>
  <r>
    <x v="328"/>
    <x v="1"/>
    <x v="0"/>
    <x v="0"/>
    <x v="2"/>
    <s v="2025-06-14"/>
    <s v="2025-06-18"/>
    <n v="4"/>
    <n v="3876.58"/>
    <x v="1"/>
    <s v="Other"/>
    <x v="0"/>
    <x v="0"/>
  </r>
  <r>
    <x v="329"/>
    <x v="71"/>
    <x v="0"/>
    <x v="2"/>
    <x v="1"/>
    <s v="2025-08-06"/>
    <s v="2025-08-15"/>
    <n v="9"/>
    <n v="13155.11"/>
    <x v="0"/>
    <s v="Discharged"/>
    <x v="1"/>
    <x v="1"/>
  </r>
  <r>
    <x v="330"/>
    <x v="8"/>
    <x v="1"/>
    <x v="1"/>
    <x v="0"/>
    <s v="2025-05-21"/>
    <s v="2025-05-26"/>
    <n v="5"/>
    <n v="4531.08"/>
    <x v="0"/>
    <s v="Discharged"/>
    <x v="3"/>
    <x v="0"/>
  </r>
  <r>
    <x v="331"/>
    <x v="43"/>
    <x v="1"/>
    <x v="2"/>
    <x v="2"/>
    <s v="2025-11-29"/>
    <s v="2025-12-07"/>
    <n v="8"/>
    <n v="11971.76"/>
    <x v="0"/>
    <s v="Discharged"/>
    <x v="2"/>
    <x v="1"/>
  </r>
  <r>
    <x v="332"/>
    <x v="14"/>
    <x v="1"/>
    <x v="0"/>
    <x v="2"/>
    <s v="2025-12-07"/>
    <s v="2025-12-11"/>
    <n v="4"/>
    <n v="7404.46"/>
    <x v="0"/>
    <s v="Discharged"/>
    <x v="0"/>
    <x v="0"/>
  </r>
  <r>
    <x v="333"/>
    <x v="69"/>
    <x v="0"/>
    <x v="0"/>
    <x v="2"/>
    <s v="2025-03-09"/>
    <s v="2025-03-16"/>
    <n v="7"/>
    <n v="9442.39"/>
    <x v="0"/>
    <s v="Discharged"/>
    <x v="3"/>
    <x v="0"/>
  </r>
  <r>
    <x v="334"/>
    <x v="57"/>
    <x v="0"/>
    <x v="1"/>
    <x v="2"/>
    <s v="2025-10-17"/>
    <s v="2025-10-22"/>
    <n v="5"/>
    <n v="6317.77"/>
    <x v="0"/>
    <s v="Discharged"/>
    <x v="3"/>
    <x v="0"/>
  </r>
  <r>
    <x v="335"/>
    <x v="42"/>
    <x v="0"/>
    <x v="5"/>
    <x v="1"/>
    <s v="2025-03-11"/>
    <s v="2025-03-17"/>
    <n v="6"/>
    <n v="4937.91"/>
    <x v="0"/>
    <s v="Discharged"/>
    <x v="4"/>
    <x v="0"/>
  </r>
  <r>
    <x v="336"/>
    <x v="20"/>
    <x v="0"/>
    <x v="2"/>
    <x v="0"/>
    <s v="2025-04-19"/>
    <s v="2025-04-26"/>
    <n v="7"/>
    <n v="11383.56"/>
    <x v="0"/>
    <s v="Discharged"/>
    <x v="0"/>
    <x v="0"/>
  </r>
  <r>
    <x v="337"/>
    <x v="34"/>
    <x v="0"/>
    <x v="5"/>
    <x v="2"/>
    <s v="2025-09-19"/>
    <s v="2025-10-01"/>
    <n v="12"/>
    <n v="14464.49"/>
    <x v="0"/>
    <s v="Discharged"/>
    <x v="2"/>
    <x v="1"/>
  </r>
  <r>
    <x v="338"/>
    <x v="71"/>
    <x v="1"/>
    <x v="0"/>
    <x v="1"/>
    <s v="2025-11-09"/>
    <s v="2025-11-12"/>
    <n v="3"/>
    <n v="6103.04"/>
    <x v="0"/>
    <s v="Discharged"/>
    <x v="1"/>
    <x v="0"/>
  </r>
  <r>
    <x v="339"/>
    <x v="12"/>
    <x v="0"/>
    <x v="1"/>
    <x v="0"/>
    <s v="2025-11-01"/>
    <s v="2025-11-03"/>
    <n v="2"/>
    <n v="5798.95"/>
    <x v="0"/>
    <s v="Discharged"/>
    <x v="2"/>
    <x v="0"/>
  </r>
  <r>
    <x v="340"/>
    <x v="4"/>
    <x v="1"/>
    <x v="1"/>
    <x v="2"/>
    <s v="2025-10-09"/>
    <s v="2025-10-14"/>
    <n v="5"/>
    <n v="6364.28"/>
    <x v="0"/>
    <s v="Discharged"/>
    <x v="2"/>
    <x v="0"/>
  </r>
  <r>
    <x v="341"/>
    <x v="18"/>
    <x v="0"/>
    <x v="2"/>
    <x v="0"/>
    <s v="2025-09-03"/>
    <s v="2025-09-09"/>
    <n v="6"/>
    <n v="11451.79"/>
    <x v="0"/>
    <s v="Discharged"/>
    <x v="3"/>
    <x v="0"/>
  </r>
  <r>
    <x v="342"/>
    <x v="68"/>
    <x v="1"/>
    <x v="2"/>
    <x v="2"/>
    <s v="2025-08-12"/>
    <s v="2025-08-20"/>
    <n v="8"/>
    <n v="11926.3"/>
    <x v="0"/>
    <s v="Discharged"/>
    <x v="3"/>
    <x v="1"/>
  </r>
  <r>
    <x v="343"/>
    <x v="24"/>
    <x v="0"/>
    <x v="5"/>
    <x v="2"/>
    <s v="2025-04-30"/>
    <s v="2025-05-04"/>
    <n v="4"/>
    <n v="8404.66"/>
    <x v="0"/>
    <s v="Discharged"/>
    <x v="2"/>
    <x v="0"/>
  </r>
  <r>
    <x v="344"/>
    <x v="60"/>
    <x v="0"/>
    <x v="1"/>
    <x v="0"/>
    <s v="2025-02-19"/>
    <s v="2025-02-24"/>
    <n v="5"/>
    <n v="6165.1"/>
    <x v="0"/>
    <s v="Discharged"/>
    <x v="3"/>
    <x v="0"/>
  </r>
  <r>
    <x v="345"/>
    <x v="34"/>
    <x v="0"/>
    <x v="0"/>
    <x v="0"/>
    <s v="2025-11-13"/>
    <s v="2025-11-18"/>
    <n v="5"/>
    <n v="7800.16"/>
    <x v="0"/>
    <s v="Discharged"/>
    <x v="2"/>
    <x v="0"/>
  </r>
  <r>
    <x v="346"/>
    <x v="3"/>
    <x v="1"/>
    <x v="1"/>
    <x v="0"/>
    <s v="2025-01-05"/>
    <s v="2025-01-10"/>
    <n v="5"/>
    <n v="6971.84"/>
    <x v="0"/>
    <s v="Discharged"/>
    <x v="0"/>
    <x v="0"/>
  </r>
  <r>
    <x v="347"/>
    <x v="70"/>
    <x v="1"/>
    <x v="0"/>
    <x v="2"/>
    <s v="2025-07-31"/>
    <s v="2025-08-05"/>
    <n v="5"/>
    <n v="9403.19"/>
    <x v="0"/>
    <s v="Discharged"/>
    <x v="1"/>
    <x v="0"/>
  </r>
  <r>
    <x v="348"/>
    <x v="44"/>
    <x v="0"/>
    <x v="2"/>
    <x v="1"/>
    <s v="2025-03-22"/>
    <s v="2025-03-30"/>
    <n v="8"/>
    <n v="13814.56"/>
    <x v="1"/>
    <s v="Discharged"/>
    <x v="1"/>
    <x v="1"/>
  </r>
  <r>
    <x v="349"/>
    <x v="26"/>
    <x v="0"/>
    <x v="1"/>
    <x v="0"/>
    <s v="2025-07-25"/>
    <s v="2025-08-01"/>
    <n v="7"/>
    <n v="6072.07"/>
    <x v="0"/>
    <s v="Discharged"/>
    <x v="3"/>
    <x v="0"/>
  </r>
  <r>
    <x v="350"/>
    <x v="40"/>
    <x v="0"/>
    <x v="5"/>
    <x v="1"/>
    <s v="2025-04-21"/>
    <m/>
    <n v="8"/>
    <n v="10044.24"/>
    <x v="0"/>
    <s v="Discharged"/>
    <x v="1"/>
    <x v="1"/>
  </r>
  <r>
    <x v="351"/>
    <x v="62"/>
    <x v="1"/>
    <x v="2"/>
    <x v="2"/>
    <s v="2025-03-01"/>
    <s v="2025-03-08"/>
    <n v="7"/>
    <n v="14503.51"/>
    <x v="0"/>
    <s v="Discharged"/>
    <x v="2"/>
    <x v="0"/>
  </r>
  <r>
    <x v="352"/>
    <x v="59"/>
    <x v="1"/>
    <x v="1"/>
    <x v="0"/>
    <s v="2025-02-20"/>
    <s v="2025-02-26"/>
    <n v="6"/>
    <n v="7202.56"/>
    <x v="0"/>
    <s v="Discharged"/>
    <x v="3"/>
    <x v="0"/>
  </r>
  <r>
    <x v="353"/>
    <x v="17"/>
    <x v="1"/>
    <x v="2"/>
    <x v="2"/>
    <s v="2025-02-07"/>
    <s v="2025-02-13"/>
    <n v="6"/>
    <n v="9951.0400000000009"/>
    <x v="0"/>
    <s v="Discharged"/>
    <x v="2"/>
    <x v="0"/>
  </r>
  <r>
    <x v="354"/>
    <x v="5"/>
    <x v="1"/>
    <x v="1"/>
    <x v="2"/>
    <s v="2025-12-18"/>
    <s v="2025-12-25"/>
    <n v="7"/>
    <n v="7585.35"/>
    <x v="0"/>
    <s v="Discharged"/>
    <x v="0"/>
    <x v="0"/>
  </r>
  <r>
    <x v="355"/>
    <x v="32"/>
    <x v="1"/>
    <x v="2"/>
    <x v="1"/>
    <s v="2025-04-29"/>
    <s v="2025-05-07"/>
    <n v="8"/>
    <n v="10340.14"/>
    <x v="1"/>
    <s v="Discharged"/>
    <x v="3"/>
    <x v="1"/>
  </r>
  <r>
    <x v="356"/>
    <x v="4"/>
    <x v="0"/>
    <x v="1"/>
    <x v="2"/>
    <s v="2025-07-18"/>
    <s v="2025-07-23"/>
    <n v="5"/>
    <n v="4887.8100000000004"/>
    <x v="1"/>
    <s v="Discharged"/>
    <x v="2"/>
    <x v="0"/>
  </r>
  <r>
    <x v="357"/>
    <x v="12"/>
    <x v="0"/>
    <x v="1"/>
    <x v="2"/>
    <s v="2025-05-28"/>
    <s v="2025-06-02"/>
    <n v="5"/>
    <n v="6526.63"/>
    <x v="1"/>
    <s v="Discharged"/>
    <x v="2"/>
    <x v="0"/>
  </r>
  <r>
    <x v="358"/>
    <x v="18"/>
    <x v="2"/>
    <x v="1"/>
    <x v="1"/>
    <s v="2025-11-26"/>
    <s v="2025-12-01"/>
    <n v="5"/>
    <n v="6285.43"/>
    <x v="0"/>
    <s v="Discharged"/>
    <x v="3"/>
    <x v="0"/>
  </r>
  <r>
    <x v="359"/>
    <x v="15"/>
    <x v="0"/>
    <x v="0"/>
    <x v="2"/>
    <s v="2025-09-27"/>
    <s v="2025-10-02"/>
    <n v="5"/>
    <n v="9750.07"/>
    <x v="0"/>
    <s v="Discharged"/>
    <x v="1"/>
    <x v="0"/>
  </r>
  <r>
    <x v="360"/>
    <x v="43"/>
    <x v="1"/>
    <x v="1"/>
    <x v="0"/>
    <s v="2025-02-16"/>
    <s v="2025-02-17"/>
    <n v="1"/>
    <n v="2752.21"/>
    <x v="0"/>
    <s v="Discharged"/>
    <x v="2"/>
    <x v="0"/>
  </r>
  <r>
    <x v="361"/>
    <x v="54"/>
    <x v="0"/>
    <x v="1"/>
    <x v="2"/>
    <s v="2025-04-29"/>
    <m/>
    <n v="1"/>
    <n v="4904.43"/>
    <x v="0"/>
    <s v="Discharged"/>
    <x v="2"/>
    <x v="0"/>
  </r>
  <r>
    <x v="362"/>
    <x v="3"/>
    <x v="0"/>
    <x v="5"/>
    <x v="2"/>
    <s v="2025-03-14"/>
    <s v="2025-03-21"/>
    <n v="7"/>
    <n v="8839.83"/>
    <x v="0"/>
    <s v="Discharged"/>
    <x v="0"/>
    <x v="0"/>
  </r>
  <r>
    <x v="363"/>
    <x v="4"/>
    <x v="0"/>
    <x v="5"/>
    <x v="2"/>
    <s v="2025-10-23"/>
    <s v="2025-11-01"/>
    <n v="9"/>
    <n v="11852.63"/>
    <x v="0"/>
    <s v="Discharged"/>
    <x v="2"/>
    <x v="1"/>
  </r>
  <r>
    <x v="364"/>
    <x v="15"/>
    <x v="1"/>
    <x v="2"/>
    <x v="1"/>
    <s v="2025-03-03"/>
    <s v="2025-03-07"/>
    <n v="4"/>
    <n v="11426.63"/>
    <x v="0"/>
    <s v="Discharged"/>
    <x v="1"/>
    <x v="0"/>
  </r>
  <r>
    <x v="365"/>
    <x v="53"/>
    <x v="0"/>
    <x v="3"/>
    <x v="1"/>
    <s v="2025-03-15"/>
    <s v="2025-03-23"/>
    <n v="8"/>
    <n v="15510.28"/>
    <x v="0"/>
    <s v="Discharged"/>
    <x v="4"/>
    <x v="1"/>
  </r>
  <r>
    <x v="366"/>
    <x v="7"/>
    <x v="1"/>
    <x v="1"/>
    <x v="2"/>
    <s v="2025-04-13"/>
    <s v="2025-04-16"/>
    <n v="3"/>
    <n v="4080.79"/>
    <x v="0"/>
    <s v="Discharged"/>
    <x v="4"/>
    <x v="0"/>
  </r>
  <r>
    <x v="367"/>
    <x v="43"/>
    <x v="1"/>
    <x v="0"/>
    <x v="1"/>
    <s v="2025-04-14"/>
    <s v="2025-04-20"/>
    <n v="6"/>
    <n v="7117.72"/>
    <x v="0"/>
    <s v="Discharged"/>
    <x v="2"/>
    <x v="0"/>
  </r>
  <r>
    <x v="368"/>
    <x v="62"/>
    <x v="1"/>
    <x v="0"/>
    <x v="1"/>
    <s v="2025-06-28"/>
    <s v="2025-07-02"/>
    <n v="4"/>
    <n v="6671.17"/>
    <x v="0"/>
    <s v="Discharged"/>
    <x v="2"/>
    <x v="0"/>
  </r>
  <r>
    <x v="369"/>
    <x v="7"/>
    <x v="0"/>
    <x v="3"/>
    <x v="2"/>
    <s v="2025-12-14"/>
    <s v="2025-12-21"/>
    <n v="7"/>
    <n v="11761.17"/>
    <x v="0"/>
    <s v="Discharged"/>
    <x v="4"/>
    <x v="0"/>
  </r>
  <r>
    <x v="370"/>
    <x v="17"/>
    <x v="2"/>
    <x v="2"/>
    <x v="2"/>
    <s v="2025-10-07"/>
    <s v="2025-10-15"/>
    <n v="8"/>
    <n v="12533.86"/>
    <x v="0"/>
    <s v="Discharged"/>
    <x v="2"/>
    <x v="1"/>
  </r>
  <r>
    <x v="371"/>
    <x v="12"/>
    <x v="1"/>
    <x v="4"/>
    <x v="2"/>
    <s v="2025-10-12"/>
    <s v="2025-10-21"/>
    <n v="9"/>
    <n v="15963.84"/>
    <x v="0"/>
    <s v="Discharged"/>
    <x v="2"/>
    <x v="1"/>
  </r>
  <r>
    <x v="372"/>
    <x v="37"/>
    <x v="0"/>
    <x v="0"/>
    <x v="2"/>
    <s v="2025-04-10"/>
    <s v="2025-04-15"/>
    <n v="5"/>
    <n v="6587.23"/>
    <x v="0"/>
    <s v="Discharged"/>
    <x v="1"/>
    <x v="0"/>
  </r>
  <r>
    <x v="373"/>
    <x v="12"/>
    <x v="0"/>
    <x v="2"/>
    <x v="2"/>
    <s v="2025-12-10"/>
    <s v="2025-12-16"/>
    <n v="6"/>
    <n v="10297.15"/>
    <x v="0"/>
    <s v="Discharged"/>
    <x v="2"/>
    <x v="0"/>
  </r>
  <r>
    <x v="374"/>
    <x v="63"/>
    <x v="2"/>
    <x v="5"/>
    <x v="0"/>
    <s v="2025-05-01"/>
    <s v="2025-05-05"/>
    <n v="4"/>
    <n v="8542.8700000000008"/>
    <x v="0"/>
    <s v="Discharged"/>
    <x v="3"/>
    <x v="0"/>
  </r>
  <r>
    <x v="375"/>
    <x v="3"/>
    <x v="1"/>
    <x v="4"/>
    <x v="0"/>
    <s v="2025-10-30"/>
    <s v="2025-11-05"/>
    <n v="6"/>
    <n v="10838.05"/>
    <x v="0"/>
    <s v="Discharged"/>
    <x v="0"/>
    <x v="0"/>
  </r>
  <r>
    <x v="376"/>
    <x v="19"/>
    <x v="0"/>
    <x v="4"/>
    <x v="2"/>
    <s v="2025-04-28"/>
    <s v="2025-05-06"/>
    <n v="8"/>
    <n v="13830.48"/>
    <x v="1"/>
    <s v="Discharged"/>
    <x v="2"/>
    <x v="1"/>
  </r>
  <r>
    <x v="377"/>
    <x v="29"/>
    <x v="1"/>
    <x v="2"/>
    <x v="2"/>
    <s v="2025-05-29"/>
    <s v="2025-06-03"/>
    <n v="5"/>
    <n v="12815.35"/>
    <x v="0"/>
    <s v="Discharged"/>
    <x v="3"/>
    <x v="0"/>
  </r>
  <r>
    <x v="378"/>
    <x v="69"/>
    <x v="1"/>
    <x v="0"/>
    <x v="1"/>
    <s v="2025-11-04"/>
    <s v="2025-11-13"/>
    <n v="9"/>
    <n v="8369.73"/>
    <x v="1"/>
    <s v="Discharged"/>
    <x v="3"/>
    <x v="1"/>
  </r>
  <r>
    <x v="379"/>
    <x v="35"/>
    <x v="1"/>
    <x v="3"/>
    <x v="2"/>
    <s v="2025-07-06"/>
    <s v="2025-07-15"/>
    <n v="9"/>
    <n v="17035.87"/>
    <x v="0"/>
    <s v="Discharged"/>
    <x v="4"/>
    <x v="1"/>
  </r>
  <r>
    <x v="380"/>
    <x v="22"/>
    <x v="1"/>
    <x v="2"/>
    <x v="2"/>
    <s v="2025-04-22"/>
    <s v="2025-05-01"/>
    <n v="9"/>
    <n v="11971.66"/>
    <x v="0"/>
    <s v="Discharged"/>
    <x v="3"/>
    <x v="1"/>
  </r>
  <r>
    <x v="381"/>
    <x v="37"/>
    <x v="0"/>
    <x v="4"/>
    <x v="2"/>
    <s v="2025-12-10"/>
    <s v="2025-12-15"/>
    <n v="5"/>
    <n v="11401.11"/>
    <x v="1"/>
    <s v="Discharged"/>
    <x v="1"/>
    <x v="0"/>
  </r>
  <r>
    <x v="382"/>
    <x v="13"/>
    <x v="1"/>
    <x v="2"/>
    <x v="1"/>
    <s v="2025-09-25"/>
    <s v="2025-09-30"/>
    <n v="5"/>
    <n v="10263.48"/>
    <x v="0"/>
    <s v="Discharged"/>
    <x v="1"/>
    <x v="0"/>
  </r>
  <r>
    <x v="383"/>
    <x v="71"/>
    <x v="1"/>
    <x v="2"/>
    <x v="2"/>
    <s v="2025-12-22"/>
    <s v="2025-12-27"/>
    <n v="5"/>
    <n v="8219.7099999999991"/>
    <x v="0"/>
    <s v="Discharged"/>
    <x v="1"/>
    <x v="0"/>
  </r>
  <r>
    <x v="384"/>
    <x v="33"/>
    <x v="0"/>
    <x v="0"/>
    <x v="2"/>
    <s v="2025-01-21"/>
    <s v="2025-01-27"/>
    <n v="6"/>
    <n v="6945.02"/>
    <x v="1"/>
    <s v="Discharged"/>
    <x v="2"/>
    <x v="0"/>
  </r>
  <r>
    <x v="385"/>
    <x v="4"/>
    <x v="0"/>
    <x v="1"/>
    <x v="2"/>
    <s v="2025-11-29"/>
    <s v="2025-11-30"/>
    <n v="1"/>
    <n v="4373.62"/>
    <x v="0"/>
    <s v="Discharged"/>
    <x v="2"/>
    <x v="0"/>
  </r>
  <r>
    <x v="386"/>
    <x v="21"/>
    <x v="1"/>
    <x v="0"/>
    <x v="2"/>
    <s v="2025-10-16"/>
    <s v="2025-10-21"/>
    <n v="5"/>
    <n v="8033.64"/>
    <x v="0"/>
    <s v="Discharged"/>
    <x v="4"/>
    <x v="0"/>
  </r>
  <r>
    <x v="387"/>
    <x v="45"/>
    <x v="1"/>
    <x v="4"/>
    <x v="2"/>
    <s v="2025-12-02"/>
    <s v="2025-12-11"/>
    <n v="9"/>
    <n v="13371.6"/>
    <x v="0"/>
    <s v="Discharged"/>
    <x v="1"/>
    <x v="1"/>
  </r>
  <r>
    <x v="388"/>
    <x v="42"/>
    <x v="1"/>
    <x v="3"/>
    <x v="2"/>
    <s v="2025-02-07"/>
    <s v="2025-02-13"/>
    <n v="6"/>
    <n v="14502.85"/>
    <x v="0"/>
    <s v="Discharged"/>
    <x v="4"/>
    <x v="0"/>
  </r>
  <r>
    <x v="389"/>
    <x v="13"/>
    <x v="1"/>
    <x v="2"/>
    <x v="0"/>
    <s v="2025-02-03"/>
    <s v="2025-02-09"/>
    <n v="6"/>
    <n v="9242.66"/>
    <x v="0"/>
    <s v="Discharged"/>
    <x v="1"/>
    <x v="0"/>
  </r>
  <r>
    <x v="390"/>
    <x v="51"/>
    <x v="1"/>
    <x v="1"/>
    <x v="2"/>
    <s v="2025-01-24"/>
    <s v="2025-01-26"/>
    <n v="2"/>
    <n v="2998.16"/>
    <x v="0"/>
    <s v="Transferred"/>
    <x v="1"/>
    <x v="0"/>
  </r>
  <r>
    <x v="391"/>
    <x v="63"/>
    <x v="0"/>
    <x v="1"/>
    <x v="2"/>
    <s v="2025-07-19"/>
    <s v="2025-07-27"/>
    <n v="8"/>
    <n v="8023.41"/>
    <x v="0"/>
    <s v="Discharged"/>
    <x v="3"/>
    <x v="1"/>
  </r>
  <r>
    <x v="392"/>
    <x v="59"/>
    <x v="1"/>
    <x v="5"/>
    <x v="0"/>
    <s v="2025-02-06"/>
    <s v="2025-02-12"/>
    <n v="6"/>
    <n v="9658.25"/>
    <x v="0"/>
    <s v="Discharged"/>
    <x v="3"/>
    <x v="0"/>
  </r>
  <r>
    <x v="393"/>
    <x v="32"/>
    <x v="1"/>
    <x v="5"/>
    <x v="2"/>
    <s v="2025-04-30"/>
    <s v="2025-05-04"/>
    <n v="4"/>
    <n v="12006.48"/>
    <x v="0"/>
    <s v="Discharged"/>
    <x v="3"/>
    <x v="0"/>
  </r>
  <r>
    <x v="394"/>
    <x v="13"/>
    <x v="1"/>
    <x v="0"/>
    <x v="2"/>
    <s v="2025-12-03"/>
    <s v="2025-12-09"/>
    <n v="6"/>
    <n v="7529.06"/>
    <x v="0"/>
    <s v="Discharged"/>
    <x v="1"/>
    <x v="0"/>
  </r>
  <r>
    <x v="395"/>
    <x v="58"/>
    <x v="0"/>
    <x v="1"/>
    <x v="0"/>
    <s v="2025-09-02"/>
    <s v="2025-09-07"/>
    <n v="5"/>
    <n v="5894.6"/>
    <x v="0"/>
    <s v="Discharged"/>
    <x v="2"/>
    <x v="0"/>
  </r>
  <r>
    <x v="396"/>
    <x v="55"/>
    <x v="1"/>
    <x v="1"/>
    <x v="0"/>
    <s v="2025-09-09"/>
    <s v="2025-09-11"/>
    <n v="2"/>
    <n v="5154.3100000000004"/>
    <x v="0"/>
    <s v="Discharged"/>
    <x v="4"/>
    <x v="0"/>
  </r>
  <r>
    <x v="397"/>
    <x v="58"/>
    <x v="1"/>
    <x v="0"/>
    <x v="2"/>
    <s v="2025-09-05"/>
    <s v="2025-09-08"/>
    <n v="3"/>
    <n v="6213.45"/>
    <x v="0"/>
    <s v="Discharged"/>
    <x v="2"/>
    <x v="0"/>
  </r>
  <r>
    <x v="398"/>
    <x v="49"/>
    <x v="1"/>
    <x v="0"/>
    <x v="1"/>
    <s v="2025-01-04"/>
    <s v="2025-01-10"/>
    <n v="6"/>
    <n v="8827.33"/>
    <x v="0"/>
    <s v="Discharged"/>
    <x v="0"/>
    <x v="0"/>
  </r>
  <r>
    <x v="399"/>
    <x v="68"/>
    <x v="1"/>
    <x v="1"/>
    <x v="2"/>
    <s v="2025-03-15"/>
    <s v="2025-03-16"/>
    <n v="1"/>
    <n v="5224.97"/>
    <x v="0"/>
    <s v="Discharged"/>
    <x v="3"/>
    <x v="0"/>
  </r>
  <r>
    <x v="400"/>
    <x v="17"/>
    <x v="0"/>
    <x v="1"/>
    <x v="2"/>
    <s v="2025-04-12"/>
    <s v="2025-04-18"/>
    <n v="6"/>
    <n v="4860.95"/>
    <x v="0"/>
    <s v="Discharged"/>
    <x v="2"/>
    <x v="0"/>
  </r>
  <r>
    <x v="401"/>
    <x v="65"/>
    <x v="0"/>
    <x v="5"/>
    <x v="2"/>
    <s v="2025-12-30"/>
    <s v="2026-01-08"/>
    <n v="9"/>
    <n v="12034.68"/>
    <x v="1"/>
    <s v="Discharged"/>
    <x v="3"/>
    <x v="1"/>
  </r>
  <r>
    <x v="402"/>
    <x v="23"/>
    <x v="1"/>
    <x v="1"/>
    <x v="0"/>
    <s v="2025-12-14"/>
    <s v="2025-12-19"/>
    <n v="5"/>
    <n v="6292.99"/>
    <x v="0"/>
    <s v="Discharged"/>
    <x v="3"/>
    <x v="0"/>
  </r>
  <r>
    <x v="403"/>
    <x v="1"/>
    <x v="1"/>
    <x v="3"/>
    <x v="0"/>
    <s v="2025-08-02"/>
    <s v="2025-08-06"/>
    <n v="4"/>
    <n v="11334.02"/>
    <x v="0"/>
    <s v="Discharged"/>
    <x v="0"/>
    <x v="0"/>
  </r>
  <r>
    <x v="404"/>
    <x v="11"/>
    <x v="0"/>
    <x v="0"/>
    <x v="0"/>
    <s v="2025-07-23"/>
    <s v="2025-07-25"/>
    <n v="2"/>
    <n v="5566.77"/>
    <x v="0"/>
    <s v="Discharged"/>
    <x v="2"/>
    <x v="0"/>
  </r>
  <r>
    <x v="405"/>
    <x v="3"/>
    <x v="0"/>
    <x v="1"/>
    <x v="1"/>
    <s v="2025-04-05"/>
    <s v="2025-04-11"/>
    <n v="6"/>
    <n v="7748.35"/>
    <x v="0"/>
    <s v="Discharged"/>
    <x v="0"/>
    <x v="0"/>
  </r>
  <r>
    <x v="406"/>
    <x v="15"/>
    <x v="1"/>
    <x v="4"/>
    <x v="0"/>
    <s v="2025-12-16"/>
    <s v="2025-12-22"/>
    <n v="6"/>
    <n v="10797.77"/>
    <x v="0"/>
    <s v="Discharged"/>
    <x v="1"/>
    <x v="0"/>
  </r>
  <r>
    <x v="407"/>
    <x v="30"/>
    <x v="0"/>
    <x v="0"/>
    <x v="0"/>
    <s v="2025-11-09"/>
    <s v="2025-11-14"/>
    <n v="5"/>
    <n v="8638.42"/>
    <x v="0"/>
    <s v="Discharged"/>
    <x v="0"/>
    <x v="0"/>
  </r>
  <r>
    <x v="408"/>
    <x v="38"/>
    <x v="1"/>
    <x v="2"/>
    <x v="2"/>
    <s v="2025-05-10"/>
    <s v="2025-05-16"/>
    <n v="6"/>
    <n v="8711.7099999999991"/>
    <x v="0"/>
    <s v="Discharged"/>
    <x v="0"/>
    <x v="0"/>
  </r>
  <r>
    <x v="409"/>
    <x v="26"/>
    <x v="0"/>
    <x v="1"/>
    <x v="2"/>
    <s v="2025-12-01"/>
    <s v="2025-12-02"/>
    <n v="1"/>
    <n v="2172.4899999999998"/>
    <x v="0"/>
    <s v="Discharged"/>
    <x v="3"/>
    <x v="0"/>
  </r>
  <r>
    <x v="410"/>
    <x v="61"/>
    <x v="1"/>
    <x v="5"/>
    <x v="2"/>
    <s v="2025-04-06"/>
    <s v="2025-04-11"/>
    <n v="5"/>
    <n v="6692.39"/>
    <x v="0"/>
    <s v="Discharged"/>
    <x v="4"/>
    <x v="0"/>
  </r>
  <r>
    <x v="411"/>
    <x v="3"/>
    <x v="1"/>
    <x v="0"/>
    <x v="2"/>
    <s v="2025-02-03"/>
    <s v="2025-02-09"/>
    <n v="6"/>
    <n v="9591.08"/>
    <x v="0"/>
    <s v="Discharged"/>
    <x v="0"/>
    <x v="0"/>
  </r>
  <r>
    <x v="412"/>
    <x v="2"/>
    <x v="0"/>
    <x v="5"/>
    <x v="2"/>
    <s v="2025-09-02"/>
    <s v="2025-09-08"/>
    <n v="6"/>
    <n v="11721.48"/>
    <x v="0"/>
    <s v="Discharged"/>
    <x v="1"/>
    <x v="0"/>
  </r>
  <r>
    <x v="413"/>
    <x v="36"/>
    <x v="0"/>
    <x v="1"/>
    <x v="1"/>
    <s v="2025-01-11"/>
    <s v="2025-01-16"/>
    <n v="5"/>
    <n v="4845.71"/>
    <x v="0"/>
    <s v="Discharged"/>
    <x v="1"/>
    <x v="0"/>
  </r>
  <r>
    <x v="414"/>
    <x v="48"/>
    <x v="0"/>
    <x v="0"/>
    <x v="0"/>
    <s v="2025-07-04"/>
    <s v="2025-07-08"/>
    <n v="4"/>
    <n v="5750.89"/>
    <x v="0"/>
    <s v="Discharged"/>
    <x v="0"/>
    <x v="0"/>
  </r>
  <r>
    <x v="415"/>
    <x v="44"/>
    <x v="1"/>
    <x v="4"/>
    <x v="1"/>
    <s v="2025-05-18"/>
    <s v="2025-05-26"/>
    <n v="8"/>
    <n v="12445.47"/>
    <x v="0"/>
    <s v="Discharged"/>
    <x v="1"/>
    <x v="1"/>
  </r>
  <r>
    <x v="416"/>
    <x v="15"/>
    <x v="1"/>
    <x v="3"/>
    <x v="0"/>
    <s v="2025-02-21"/>
    <s v="2025-02-25"/>
    <n v="4"/>
    <n v="11754.33"/>
    <x v="0"/>
    <s v="Discharged"/>
    <x v="1"/>
    <x v="0"/>
  </r>
  <r>
    <x v="417"/>
    <x v="15"/>
    <x v="1"/>
    <x v="2"/>
    <x v="1"/>
    <s v="2025-05-08"/>
    <s v="2025-05-12"/>
    <n v="4"/>
    <n v="9120.0300000000007"/>
    <x v="0"/>
    <s v="Discharged"/>
    <x v="1"/>
    <x v="0"/>
  </r>
  <r>
    <x v="418"/>
    <x v="17"/>
    <x v="0"/>
    <x v="4"/>
    <x v="0"/>
    <s v="2025-10-11"/>
    <s v="2025-10-17"/>
    <n v="6"/>
    <n v="10470.030000000001"/>
    <x v="0"/>
    <s v="Discharged"/>
    <x v="2"/>
    <x v="0"/>
  </r>
  <r>
    <x v="419"/>
    <x v="56"/>
    <x v="2"/>
    <x v="5"/>
    <x v="2"/>
    <s v="2025-04-01"/>
    <s v="2025-04-06"/>
    <n v="5"/>
    <n v="8602.44"/>
    <x v="0"/>
    <s v="Discharged"/>
    <x v="0"/>
    <x v="0"/>
  </r>
  <r>
    <x v="420"/>
    <x v="37"/>
    <x v="1"/>
    <x v="2"/>
    <x v="1"/>
    <s v="2025-05-25"/>
    <s v="2025-05-31"/>
    <n v="6"/>
    <n v="11895.4"/>
    <x v="0"/>
    <s v="Discharged"/>
    <x v="1"/>
    <x v="0"/>
  </r>
  <r>
    <x v="421"/>
    <x v="35"/>
    <x v="0"/>
    <x v="1"/>
    <x v="0"/>
    <s v="2025-09-06"/>
    <s v="2025-09-13"/>
    <n v="7"/>
    <n v="7445.7"/>
    <x v="0"/>
    <s v="Discharged"/>
    <x v="4"/>
    <x v="0"/>
  </r>
  <r>
    <x v="422"/>
    <x v="47"/>
    <x v="1"/>
    <x v="4"/>
    <x v="1"/>
    <s v="2025-06-10"/>
    <s v="2025-06-16"/>
    <n v="6"/>
    <n v="12886.57"/>
    <x v="0"/>
    <s v="Discharged"/>
    <x v="4"/>
    <x v="0"/>
  </r>
  <r>
    <x v="423"/>
    <x v="37"/>
    <x v="0"/>
    <x v="3"/>
    <x v="0"/>
    <s v="2025-01-05"/>
    <s v="2025-01-09"/>
    <n v="4"/>
    <n v="11881.55"/>
    <x v="0"/>
    <s v="Discharged"/>
    <x v="1"/>
    <x v="0"/>
  </r>
  <r>
    <x v="424"/>
    <x v="1"/>
    <x v="0"/>
    <x v="3"/>
    <x v="2"/>
    <s v="2025-02-11"/>
    <s v="2025-02-15"/>
    <n v="4"/>
    <n v="13661.42"/>
    <x v="0"/>
    <s v="Discharged"/>
    <x v="0"/>
    <x v="0"/>
  </r>
  <r>
    <x v="425"/>
    <x v="10"/>
    <x v="1"/>
    <x v="1"/>
    <x v="2"/>
    <s v="2025-12-07"/>
    <s v="2025-12-08"/>
    <n v="1"/>
    <n v="6510.68"/>
    <x v="0"/>
    <s v="Discharged"/>
    <x v="4"/>
    <x v="0"/>
  </r>
  <r>
    <x v="426"/>
    <x v="34"/>
    <x v="1"/>
    <x v="2"/>
    <x v="0"/>
    <s v="2025-06-29"/>
    <s v="2025-07-07"/>
    <n v="8"/>
    <n v="12646.7"/>
    <x v="0"/>
    <s v="Discharged"/>
    <x v="2"/>
    <x v="1"/>
  </r>
  <r>
    <x v="427"/>
    <x v="60"/>
    <x v="1"/>
    <x v="1"/>
    <x v="0"/>
    <s v="2025-05-21"/>
    <s v="2025-05-24"/>
    <n v="3"/>
    <n v="6317.61"/>
    <x v="0"/>
    <s v="Discharged"/>
    <x v="3"/>
    <x v="0"/>
  </r>
  <r>
    <x v="428"/>
    <x v="58"/>
    <x v="1"/>
    <x v="1"/>
    <x v="2"/>
    <s v="2025-10-22"/>
    <s v="2025-11-01"/>
    <n v="10"/>
    <n v="11306.48"/>
    <x v="1"/>
    <s v="Discharged"/>
    <x v="2"/>
    <x v="1"/>
  </r>
  <r>
    <x v="429"/>
    <x v="8"/>
    <x v="0"/>
    <x v="0"/>
    <x v="2"/>
    <s v="2025-06-11"/>
    <s v="2025-06-19"/>
    <n v="8"/>
    <n v="10722.83"/>
    <x v="0"/>
    <s v="Discharged"/>
    <x v="3"/>
    <x v="1"/>
  </r>
  <r>
    <x v="430"/>
    <x v="28"/>
    <x v="1"/>
    <x v="4"/>
    <x v="0"/>
    <s v="2025-10-13"/>
    <s v="2025-10-20"/>
    <n v="7"/>
    <n v="14072.5"/>
    <x v="0"/>
    <s v="Discharged"/>
    <x v="4"/>
    <x v="0"/>
  </r>
  <r>
    <x v="431"/>
    <x v="61"/>
    <x v="0"/>
    <x v="1"/>
    <x v="0"/>
    <s v="2025-04-17"/>
    <s v="2025-04-18"/>
    <n v="1"/>
    <n v="1536.31"/>
    <x v="0"/>
    <s v="Discharged"/>
    <x v="4"/>
    <x v="0"/>
  </r>
  <r>
    <x v="432"/>
    <x v="7"/>
    <x v="1"/>
    <x v="0"/>
    <x v="0"/>
    <s v="2025-10-05"/>
    <s v="2025-10-08"/>
    <n v="3"/>
    <n v="5217.2700000000004"/>
    <x v="0"/>
    <s v="Discharged"/>
    <x v="4"/>
    <x v="0"/>
  </r>
  <r>
    <x v="433"/>
    <x v="70"/>
    <x v="1"/>
    <x v="3"/>
    <x v="2"/>
    <s v="2025-01-02"/>
    <s v="2025-01-10"/>
    <n v="8"/>
    <n v="14633.14"/>
    <x v="0"/>
    <s v="Discharged"/>
    <x v="1"/>
    <x v="1"/>
  </r>
  <r>
    <x v="434"/>
    <x v="48"/>
    <x v="0"/>
    <x v="5"/>
    <x v="2"/>
    <s v="2025-07-23"/>
    <s v="2025-07-31"/>
    <n v="8"/>
    <n v="11019.38"/>
    <x v="0"/>
    <s v="Discharged"/>
    <x v="0"/>
    <x v="1"/>
  </r>
  <r>
    <x v="435"/>
    <x v="0"/>
    <x v="0"/>
    <x v="5"/>
    <x v="0"/>
    <s v="2025-08-14"/>
    <s v="2025-08-18"/>
    <n v="4"/>
    <n v="9825.94"/>
    <x v="0"/>
    <s v="Discharged"/>
    <x v="0"/>
    <x v="0"/>
  </r>
  <r>
    <x v="436"/>
    <x v="46"/>
    <x v="0"/>
    <x v="5"/>
    <x v="2"/>
    <s v="2025-01-16"/>
    <s v="2025-01-20"/>
    <n v="4"/>
    <n v="6539.49"/>
    <x v="0"/>
    <s v="Discharged"/>
    <x v="1"/>
    <x v="0"/>
  </r>
  <r>
    <x v="437"/>
    <x v="1"/>
    <x v="0"/>
    <x v="1"/>
    <x v="2"/>
    <s v="2025-02-08"/>
    <s v="2025-02-14"/>
    <n v="6"/>
    <n v="6384.12"/>
    <x v="0"/>
    <s v="Discharged"/>
    <x v="0"/>
    <x v="0"/>
  </r>
  <r>
    <x v="438"/>
    <x v="38"/>
    <x v="0"/>
    <x v="0"/>
    <x v="2"/>
    <s v="2025-06-25"/>
    <s v="2025-06-26"/>
    <n v="1"/>
    <n v="4373.1499999999996"/>
    <x v="0"/>
    <s v="Discharged"/>
    <x v="0"/>
    <x v="0"/>
  </r>
  <r>
    <x v="439"/>
    <x v="64"/>
    <x v="1"/>
    <x v="0"/>
    <x v="2"/>
    <s v="2025-06-11"/>
    <s v="2025-06-14"/>
    <n v="3"/>
    <n v="8016.76"/>
    <x v="1"/>
    <s v="Discharged"/>
    <x v="4"/>
    <x v="0"/>
  </r>
  <r>
    <x v="440"/>
    <x v="3"/>
    <x v="0"/>
    <x v="1"/>
    <x v="0"/>
    <s v="2025-07-08"/>
    <s v="2025-07-12"/>
    <n v="4"/>
    <n v="4232.99"/>
    <x v="0"/>
    <s v="Discharged"/>
    <x v="0"/>
    <x v="0"/>
  </r>
  <r>
    <x v="441"/>
    <x v="62"/>
    <x v="0"/>
    <x v="1"/>
    <x v="2"/>
    <s v="2025-03-18"/>
    <m/>
    <n v="7"/>
    <n v="8454.9699999999993"/>
    <x v="0"/>
    <s v="Discharged"/>
    <x v="2"/>
    <x v="0"/>
  </r>
  <r>
    <x v="442"/>
    <x v="12"/>
    <x v="0"/>
    <x v="3"/>
    <x v="2"/>
    <s v="2025-03-13"/>
    <s v="2025-03-21"/>
    <n v="8"/>
    <n v="13618.52"/>
    <x v="0"/>
    <s v="Transferred"/>
    <x v="2"/>
    <x v="1"/>
  </r>
  <r>
    <x v="443"/>
    <x v="11"/>
    <x v="1"/>
    <x v="3"/>
    <x v="2"/>
    <s v="2025-12-31"/>
    <s v="2026-01-09"/>
    <n v="9"/>
    <n v="13340.93"/>
    <x v="0"/>
    <s v="Transferred"/>
    <x v="2"/>
    <x v="1"/>
  </r>
  <r>
    <x v="444"/>
    <x v="68"/>
    <x v="0"/>
    <x v="1"/>
    <x v="2"/>
    <s v="2025-04-28"/>
    <s v="2025-05-05"/>
    <n v="7"/>
    <n v="7836.43"/>
    <x v="0"/>
    <s v="Discharged"/>
    <x v="3"/>
    <x v="0"/>
  </r>
  <r>
    <x v="445"/>
    <x v="13"/>
    <x v="1"/>
    <x v="2"/>
    <x v="2"/>
    <s v="2025-01-12"/>
    <s v="2025-01-18"/>
    <n v="6"/>
    <n v="10958.68"/>
    <x v="0"/>
    <s v="Other"/>
    <x v="1"/>
    <x v="0"/>
  </r>
  <r>
    <x v="446"/>
    <x v="50"/>
    <x v="0"/>
    <x v="5"/>
    <x v="2"/>
    <s v="2025-04-12"/>
    <s v="2025-04-15"/>
    <n v="3"/>
    <n v="9528.6299999999992"/>
    <x v="0"/>
    <s v="Discharged"/>
    <x v="0"/>
    <x v="0"/>
  </r>
  <r>
    <x v="447"/>
    <x v="34"/>
    <x v="0"/>
    <x v="1"/>
    <x v="1"/>
    <s v="2025-03-21"/>
    <s v="2025-03-24"/>
    <n v="3"/>
    <n v="5177.41"/>
    <x v="0"/>
    <s v="Discharged"/>
    <x v="2"/>
    <x v="0"/>
  </r>
  <r>
    <x v="448"/>
    <x v="54"/>
    <x v="2"/>
    <x v="5"/>
    <x v="1"/>
    <s v="2025-06-16"/>
    <s v="2025-06-21"/>
    <n v="5"/>
    <n v="9493.89"/>
    <x v="0"/>
    <s v="Discharged"/>
    <x v="2"/>
    <x v="0"/>
  </r>
  <r>
    <x v="449"/>
    <x v="66"/>
    <x v="0"/>
    <x v="4"/>
    <x v="2"/>
    <s v="2025-12-19"/>
    <s v="2025-12-29"/>
    <n v="10"/>
    <n v="15352.01"/>
    <x v="0"/>
    <s v="Discharged"/>
    <x v="1"/>
    <x v="1"/>
  </r>
  <r>
    <x v="450"/>
    <x v="4"/>
    <x v="0"/>
    <x v="0"/>
    <x v="2"/>
    <s v="2025-08-29"/>
    <s v="2025-09-05"/>
    <n v="7"/>
    <n v="9935.35"/>
    <x v="1"/>
    <s v="Discharged"/>
    <x v="2"/>
    <x v="0"/>
  </r>
  <r>
    <x v="451"/>
    <x v="34"/>
    <x v="0"/>
    <x v="0"/>
    <x v="1"/>
    <s v="2025-04-01"/>
    <s v="2025-04-05"/>
    <n v="4"/>
    <n v="7154.17"/>
    <x v="0"/>
    <s v="Discharged"/>
    <x v="2"/>
    <x v="0"/>
  </r>
  <r>
    <x v="452"/>
    <x v="11"/>
    <x v="1"/>
    <x v="1"/>
    <x v="0"/>
    <s v="2025-12-23"/>
    <s v="2025-12-26"/>
    <n v="3"/>
    <n v="4468.17"/>
    <x v="1"/>
    <s v="Discharged"/>
    <x v="2"/>
    <x v="0"/>
  </r>
  <r>
    <x v="453"/>
    <x v="3"/>
    <x v="1"/>
    <x v="2"/>
    <x v="2"/>
    <s v="2025-03-19"/>
    <s v="2025-03-27"/>
    <n v="8"/>
    <n v="10047.200000000001"/>
    <x v="1"/>
    <s v="Discharged"/>
    <x v="0"/>
    <x v="1"/>
  </r>
  <r>
    <x v="454"/>
    <x v="28"/>
    <x v="1"/>
    <x v="5"/>
    <x v="2"/>
    <s v="2025-12-26"/>
    <s v="2026-01-02"/>
    <n v="7"/>
    <n v="12219.29"/>
    <x v="0"/>
    <s v="Discharged"/>
    <x v="4"/>
    <x v="0"/>
  </r>
  <r>
    <x v="455"/>
    <x v="22"/>
    <x v="1"/>
    <x v="0"/>
    <x v="2"/>
    <s v="2025-03-30"/>
    <s v="2025-04-02"/>
    <n v="3"/>
    <n v="5536.42"/>
    <x v="0"/>
    <s v="Discharged"/>
    <x v="3"/>
    <x v="0"/>
  </r>
  <r>
    <x v="456"/>
    <x v="64"/>
    <x v="0"/>
    <x v="2"/>
    <x v="0"/>
    <s v="2025-09-13"/>
    <s v="2025-09-18"/>
    <n v="5"/>
    <n v="10735.29"/>
    <x v="0"/>
    <s v="Discharged"/>
    <x v="4"/>
    <x v="0"/>
  </r>
  <r>
    <x v="457"/>
    <x v="69"/>
    <x v="1"/>
    <x v="1"/>
    <x v="2"/>
    <s v="2025-05-13"/>
    <s v="2025-05-17"/>
    <n v="4"/>
    <n v="4905.58"/>
    <x v="0"/>
    <s v="Discharged"/>
    <x v="3"/>
    <x v="0"/>
  </r>
  <r>
    <x v="458"/>
    <x v="1"/>
    <x v="1"/>
    <x v="0"/>
    <x v="2"/>
    <s v="2025-03-03"/>
    <s v="2025-03-10"/>
    <n v="7"/>
    <n v="7572.62"/>
    <x v="0"/>
    <s v="Discharged"/>
    <x v="0"/>
    <x v="0"/>
  </r>
  <r>
    <x v="459"/>
    <x v="13"/>
    <x v="0"/>
    <x v="2"/>
    <x v="1"/>
    <s v="2025-07-23"/>
    <s v="2025-07-31"/>
    <n v="8"/>
    <n v="10803.72"/>
    <x v="1"/>
    <s v="Discharged"/>
    <x v="1"/>
    <x v="1"/>
  </r>
  <r>
    <x v="460"/>
    <x v="56"/>
    <x v="0"/>
    <x v="5"/>
    <x v="0"/>
    <s v="2025-10-06"/>
    <s v="2025-10-09"/>
    <n v="3"/>
    <n v="5765.87"/>
    <x v="0"/>
    <s v="Discharged"/>
    <x v="0"/>
    <x v="0"/>
  </r>
  <r>
    <x v="461"/>
    <x v="12"/>
    <x v="0"/>
    <x v="3"/>
    <x v="2"/>
    <s v="2025-06-26"/>
    <s v="2025-06-29"/>
    <n v="3"/>
    <n v="12904.13"/>
    <x v="0"/>
    <s v="Discharged"/>
    <x v="2"/>
    <x v="0"/>
  </r>
  <r>
    <x v="462"/>
    <x v="59"/>
    <x v="0"/>
    <x v="4"/>
    <x v="2"/>
    <s v="2025-01-28"/>
    <s v="2025-02-05"/>
    <n v="8"/>
    <n v="10491.31"/>
    <x v="1"/>
    <s v="Discharged"/>
    <x v="3"/>
    <x v="1"/>
  </r>
  <r>
    <x v="463"/>
    <x v="23"/>
    <x v="0"/>
    <x v="1"/>
    <x v="0"/>
    <s v="2025-07-24"/>
    <s v="2025-07-28"/>
    <n v="4"/>
    <n v="7284.86"/>
    <x v="0"/>
    <s v="Discharged"/>
    <x v="3"/>
    <x v="0"/>
  </r>
  <r>
    <x v="464"/>
    <x v="11"/>
    <x v="2"/>
    <x v="0"/>
    <x v="2"/>
    <s v="2025-03-28"/>
    <s v="2025-03-31"/>
    <n v="3"/>
    <n v="5173.62"/>
    <x v="0"/>
    <s v="Discharged"/>
    <x v="2"/>
    <x v="0"/>
  </r>
  <r>
    <x v="465"/>
    <x v="33"/>
    <x v="0"/>
    <x v="4"/>
    <x v="2"/>
    <s v="2025-03-19"/>
    <s v="2025-03-25"/>
    <n v="6"/>
    <n v="10248.32"/>
    <x v="0"/>
    <s v="Other"/>
    <x v="2"/>
    <x v="0"/>
  </r>
  <r>
    <x v="466"/>
    <x v="37"/>
    <x v="0"/>
    <x v="1"/>
    <x v="1"/>
    <s v="2025-07-15"/>
    <s v="2025-07-17"/>
    <n v="2"/>
    <n v="2889.92"/>
    <x v="0"/>
    <s v="Discharged"/>
    <x v="1"/>
    <x v="0"/>
  </r>
  <r>
    <x v="467"/>
    <x v="33"/>
    <x v="1"/>
    <x v="2"/>
    <x v="2"/>
    <s v="2025-03-22"/>
    <s v="2025-03-28"/>
    <n v="6"/>
    <n v="11023.47"/>
    <x v="0"/>
    <s v="Discharged"/>
    <x v="2"/>
    <x v="0"/>
  </r>
  <r>
    <x v="468"/>
    <x v="13"/>
    <x v="1"/>
    <x v="1"/>
    <x v="1"/>
    <s v="2025-05-20"/>
    <s v="2025-05-23"/>
    <n v="3"/>
    <n v="2825.4"/>
    <x v="0"/>
    <s v="Discharged"/>
    <x v="1"/>
    <x v="0"/>
  </r>
  <r>
    <x v="469"/>
    <x v="49"/>
    <x v="0"/>
    <x v="2"/>
    <x v="2"/>
    <s v="2025-03-05"/>
    <s v="2025-03-10"/>
    <n v="5"/>
    <n v="11338.21"/>
    <x v="0"/>
    <s v="Discharged"/>
    <x v="0"/>
    <x v="0"/>
  </r>
  <r>
    <x v="470"/>
    <x v="65"/>
    <x v="0"/>
    <x v="0"/>
    <x v="2"/>
    <s v="2025-09-16"/>
    <s v="2025-09-22"/>
    <n v="6"/>
    <n v="6005.61"/>
    <x v="0"/>
    <s v="Discharged"/>
    <x v="3"/>
    <x v="0"/>
  </r>
  <r>
    <x v="471"/>
    <x v="10"/>
    <x v="1"/>
    <x v="3"/>
    <x v="2"/>
    <s v="2025-10-07"/>
    <s v="2025-10-14"/>
    <n v="7"/>
    <n v="11948.21"/>
    <x v="0"/>
    <s v="Transferred"/>
    <x v="4"/>
    <x v="0"/>
  </r>
  <r>
    <x v="472"/>
    <x v="55"/>
    <x v="0"/>
    <x v="1"/>
    <x v="2"/>
    <s v="2025-09-17"/>
    <s v="2025-09-23"/>
    <n v="6"/>
    <n v="6966.73"/>
    <x v="0"/>
    <s v="Discharged"/>
    <x v="4"/>
    <x v="0"/>
  </r>
  <r>
    <x v="473"/>
    <x v="28"/>
    <x v="1"/>
    <x v="1"/>
    <x v="2"/>
    <s v="2025-03-29"/>
    <s v="2025-04-03"/>
    <n v="5"/>
    <n v="7255.25"/>
    <x v="0"/>
    <s v="Transferred"/>
    <x v="4"/>
    <x v="0"/>
  </r>
  <r>
    <x v="474"/>
    <x v="12"/>
    <x v="0"/>
    <x v="4"/>
    <x v="0"/>
    <s v="2025-07-14"/>
    <s v="2025-07-20"/>
    <n v="6"/>
    <n v="9719.69"/>
    <x v="0"/>
    <s v="Transferred"/>
    <x v="2"/>
    <x v="0"/>
  </r>
  <r>
    <x v="475"/>
    <x v="52"/>
    <x v="0"/>
    <x v="0"/>
    <x v="2"/>
    <s v="2025-06-06"/>
    <s v="2025-06-11"/>
    <n v="5"/>
    <n v="6733.17"/>
    <x v="0"/>
    <s v="Discharged"/>
    <x v="4"/>
    <x v="0"/>
  </r>
  <r>
    <x v="476"/>
    <x v="44"/>
    <x v="1"/>
    <x v="2"/>
    <x v="2"/>
    <s v="2025-05-01"/>
    <s v="2025-05-10"/>
    <n v="9"/>
    <n v="14286.04"/>
    <x v="0"/>
    <s v="Discharged"/>
    <x v="1"/>
    <x v="1"/>
  </r>
  <r>
    <x v="477"/>
    <x v="15"/>
    <x v="0"/>
    <x v="5"/>
    <x v="2"/>
    <s v="2025-12-08"/>
    <s v="2025-12-16"/>
    <n v="8"/>
    <n v="10985.81"/>
    <x v="0"/>
    <s v="Discharged"/>
    <x v="1"/>
    <x v="1"/>
  </r>
  <r>
    <x v="478"/>
    <x v="2"/>
    <x v="0"/>
    <x v="2"/>
    <x v="1"/>
    <s v="2025-01-09"/>
    <s v="2025-01-14"/>
    <n v="5"/>
    <n v="9075.01"/>
    <x v="1"/>
    <s v="Discharged"/>
    <x v="1"/>
    <x v="0"/>
  </r>
  <r>
    <x v="479"/>
    <x v="36"/>
    <x v="0"/>
    <x v="1"/>
    <x v="2"/>
    <s v="2025-01-11"/>
    <s v="2025-01-16"/>
    <n v="5"/>
    <n v="5398.87"/>
    <x v="0"/>
    <s v="Discharged"/>
    <x v="1"/>
    <x v="0"/>
  </r>
  <r>
    <x v="480"/>
    <x v="21"/>
    <x v="0"/>
    <x v="1"/>
    <x v="0"/>
    <s v="2025-01-08"/>
    <s v="2025-01-12"/>
    <n v="4"/>
    <n v="4440.62"/>
    <x v="1"/>
    <s v="Discharged"/>
    <x v="4"/>
    <x v="0"/>
  </r>
  <r>
    <x v="481"/>
    <x v="22"/>
    <x v="1"/>
    <x v="3"/>
    <x v="1"/>
    <s v="2025-05-30"/>
    <s v="2025-06-08"/>
    <n v="9"/>
    <n v="17127.759999999998"/>
    <x v="0"/>
    <s v="Discharged"/>
    <x v="3"/>
    <x v="1"/>
  </r>
  <r>
    <x v="482"/>
    <x v="35"/>
    <x v="0"/>
    <x v="3"/>
    <x v="1"/>
    <s v="2025-05-30"/>
    <s v="2025-06-05"/>
    <n v="6"/>
    <n v="14250.54"/>
    <x v="0"/>
    <s v="Discharged"/>
    <x v="4"/>
    <x v="0"/>
  </r>
  <r>
    <x v="483"/>
    <x v="50"/>
    <x v="0"/>
    <x v="0"/>
    <x v="0"/>
    <s v="2025-04-17"/>
    <s v="2025-04-24"/>
    <n v="7"/>
    <n v="6662.72"/>
    <x v="0"/>
    <s v="Discharged"/>
    <x v="0"/>
    <x v="0"/>
  </r>
  <r>
    <x v="484"/>
    <x v="41"/>
    <x v="0"/>
    <x v="5"/>
    <x v="2"/>
    <s v="2025-06-18"/>
    <s v="2025-06-24"/>
    <n v="6"/>
    <n v="10159.98"/>
    <x v="0"/>
    <s v="Discharged"/>
    <x v="1"/>
    <x v="0"/>
  </r>
  <r>
    <x v="485"/>
    <x v="18"/>
    <x v="0"/>
    <x v="5"/>
    <x v="2"/>
    <s v="2025-10-23"/>
    <s v="2025-10-31"/>
    <n v="8"/>
    <n v="11610.08"/>
    <x v="0"/>
    <s v="Discharged"/>
    <x v="3"/>
    <x v="1"/>
  </r>
  <r>
    <x v="486"/>
    <x v="10"/>
    <x v="1"/>
    <x v="1"/>
    <x v="2"/>
    <s v="2025-10-07"/>
    <m/>
    <n v="5"/>
    <n v="2141.8000000000002"/>
    <x v="0"/>
    <s v="Discharged"/>
    <x v="4"/>
    <x v="0"/>
  </r>
  <r>
    <x v="487"/>
    <x v="20"/>
    <x v="0"/>
    <x v="5"/>
    <x v="0"/>
    <s v="2025-04-16"/>
    <s v="2025-04-23"/>
    <n v="7"/>
    <n v="11086.52"/>
    <x v="0"/>
    <s v="Discharged"/>
    <x v="0"/>
    <x v="0"/>
  </r>
  <r>
    <x v="488"/>
    <x v="57"/>
    <x v="0"/>
    <x v="2"/>
    <x v="0"/>
    <s v="2025-11-04"/>
    <s v="2025-11-11"/>
    <n v="7"/>
    <n v="12716.38"/>
    <x v="0"/>
    <s v="Discharged"/>
    <x v="3"/>
    <x v="0"/>
  </r>
  <r>
    <x v="489"/>
    <x v="27"/>
    <x v="1"/>
    <x v="0"/>
    <x v="1"/>
    <s v="2025-10-30"/>
    <s v="2025-11-03"/>
    <n v="4"/>
    <n v="6234.79"/>
    <x v="0"/>
    <s v="Discharged"/>
    <x v="1"/>
    <x v="0"/>
  </r>
  <r>
    <x v="490"/>
    <x v="23"/>
    <x v="2"/>
    <x v="0"/>
    <x v="2"/>
    <s v="2025-07-18"/>
    <s v="2025-07-27"/>
    <n v="9"/>
    <n v="10656.86"/>
    <x v="0"/>
    <s v="Discharged"/>
    <x v="3"/>
    <x v="1"/>
  </r>
  <r>
    <x v="491"/>
    <x v="21"/>
    <x v="1"/>
    <x v="3"/>
    <x v="0"/>
    <s v="2025-09-02"/>
    <s v="2025-09-10"/>
    <n v="8"/>
    <n v="12003.78"/>
    <x v="0"/>
    <s v="Discharged"/>
    <x v="4"/>
    <x v="1"/>
  </r>
  <r>
    <x v="492"/>
    <x v="70"/>
    <x v="1"/>
    <x v="4"/>
    <x v="0"/>
    <s v="2025-03-13"/>
    <s v="2025-03-21"/>
    <n v="8"/>
    <n v="12294.18"/>
    <x v="0"/>
    <s v="Discharged"/>
    <x v="1"/>
    <x v="1"/>
  </r>
  <r>
    <x v="493"/>
    <x v="43"/>
    <x v="0"/>
    <x v="3"/>
    <x v="1"/>
    <s v="2025-10-15"/>
    <s v="2025-10-20"/>
    <n v="5"/>
    <n v="12706.81"/>
    <x v="0"/>
    <s v="Discharged"/>
    <x v="2"/>
    <x v="0"/>
  </r>
  <r>
    <x v="494"/>
    <x v="8"/>
    <x v="0"/>
    <x v="0"/>
    <x v="2"/>
    <s v="2025-06-30"/>
    <s v="2025-07-04"/>
    <n v="4"/>
    <n v="6651.69"/>
    <x v="0"/>
    <s v="Discharged"/>
    <x v="3"/>
    <x v="0"/>
  </r>
  <r>
    <x v="495"/>
    <x v="63"/>
    <x v="1"/>
    <x v="0"/>
    <x v="1"/>
    <s v="2025-06-21"/>
    <s v="2025-06-27"/>
    <n v="6"/>
    <n v="6191.16"/>
    <x v="0"/>
    <s v="Discharged"/>
    <x v="3"/>
    <x v="0"/>
  </r>
  <r>
    <x v="496"/>
    <x v="31"/>
    <x v="1"/>
    <x v="5"/>
    <x v="0"/>
    <s v="2025-05-17"/>
    <s v="2025-05-22"/>
    <n v="5"/>
    <n v="7111.28"/>
    <x v="1"/>
    <s v="Discharged"/>
    <x v="2"/>
    <x v="0"/>
  </r>
  <r>
    <x v="497"/>
    <x v="22"/>
    <x v="1"/>
    <x v="1"/>
    <x v="2"/>
    <s v="2025-07-16"/>
    <s v="2025-07-24"/>
    <n v="8"/>
    <n v="8490.31"/>
    <x v="0"/>
    <s v="Discharged"/>
    <x v="3"/>
    <x v="1"/>
  </r>
  <r>
    <x v="498"/>
    <x v="36"/>
    <x v="0"/>
    <x v="2"/>
    <x v="2"/>
    <s v="2025-05-04"/>
    <s v="2025-05-11"/>
    <n v="7"/>
    <n v="12077.14"/>
    <x v="1"/>
    <s v="Discharged"/>
    <x v="1"/>
    <x v="0"/>
  </r>
  <r>
    <x v="499"/>
    <x v="40"/>
    <x v="0"/>
    <x v="0"/>
    <x v="2"/>
    <s v="2025-12-19"/>
    <s v="2025-12-23"/>
    <n v="4"/>
    <n v="5354.49"/>
    <x v="0"/>
    <s v="Discharged"/>
    <x v="1"/>
    <x v="0"/>
  </r>
  <r>
    <x v="500"/>
    <x v="15"/>
    <x v="1"/>
    <x v="5"/>
    <x v="0"/>
    <s v="2025-05-17"/>
    <s v="2025-05-20"/>
    <n v="3"/>
    <n v="7678.93"/>
    <x v="0"/>
    <s v="Discharged"/>
    <x v="1"/>
    <x v="0"/>
  </r>
  <r>
    <x v="501"/>
    <x v="69"/>
    <x v="1"/>
    <x v="2"/>
    <x v="0"/>
    <s v="2025-04-18"/>
    <s v="2025-04-28"/>
    <n v="10"/>
    <n v="13827.88"/>
    <x v="1"/>
    <s v="Discharged"/>
    <x v="3"/>
    <x v="1"/>
  </r>
  <r>
    <x v="502"/>
    <x v="12"/>
    <x v="0"/>
    <x v="0"/>
    <x v="0"/>
    <s v="2025-09-18"/>
    <s v="2025-09-20"/>
    <n v="2"/>
    <n v="5356.57"/>
    <x v="0"/>
    <s v="Discharged"/>
    <x v="2"/>
    <x v="0"/>
  </r>
  <r>
    <x v="503"/>
    <x v="42"/>
    <x v="0"/>
    <x v="0"/>
    <x v="2"/>
    <s v="2025-02-26"/>
    <s v="2025-02-27"/>
    <n v="1"/>
    <n v="7487.29"/>
    <x v="0"/>
    <s v="Discharged"/>
    <x v="4"/>
    <x v="0"/>
  </r>
  <r>
    <x v="504"/>
    <x v="49"/>
    <x v="0"/>
    <x v="5"/>
    <x v="2"/>
    <s v="2025-12-16"/>
    <s v="2025-12-19"/>
    <n v="3"/>
    <n v="8026.92"/>
    <x v="1"/>
    <s v="Discharged"/>
    <x v="0"/>
    <x v="0"/>
  </r>
  <r>
    <x v="505"/>
    <x v="34"/>
    <x v="0"/>
    <x v="0"/>
    <x v="2"/>
    <s v="2025-06-04"/>
    <s v="2025-06-08"/>
    <n v="4"/>
    <n v="6807.4"/>
    <x v="0"/>
    <s v="Discharged"/>
    <x v="2"/>
    <x v="0"/>
  </r>
  <r>
    <x v="506"/>
    <x v="37"/>
    <x v="0"/>
    <x v="4"/>
    <x v="0"/>
    <s v="2025-03-22"/>
    <s v="2025-03-28"/>
    <n v="6"/>
    <n v="13029.37"/>
    <x v="1"/>
    <s v="Discharged"/>
    <x v="1"/>
    <x v="0"/>
  </r>
  <r>
    <x v="507"/>
    <x v="2"/>
    <x v="0"/>
    <x v="4"/>
    <x v="1"/>
    <s v="2025-04-17"/>
    <s v="2025-04-22"/>
    <n v="5"/>
    <n v="10255.219999999999"/>
    <x v="0"/>
    <s v="Discharged"/>
    <x v="1"/>
    <x v="0"/>
  </r>
  <r>
    <x v="508"/>
    <x v="22"/>
    <x v="1"/>
    <x v="3"/>
    <x v="2"/>
    <s v="2025-06-05"/>
    <s v="2025-06-19"/>
    <n v="14"/>
    <n v="17028.07"/>
    <x v="0"/>
    <s v="Discharged"/>
    <x v="3"/>
    <x v="1"/>
  </r>
  <r>
    <x v="509"/>
    <x v="70"/>
    <x v="0"/>
    <x v="1"/>
    <x v="2"/>
    <s v="2025-06-09"/>
    <s v="2025-06-13"/>
    <n v="4"/>
    <n v="4497.6400000000003"/>
    <x v="0"/>
    <s v="Discharged"/>
    <x v="1"/>
    <x v="0"/>
  </r>
  <r>
    <x v="510"/>
    <x v="7"/>
    <x v="1"/>
    <x v="0"/>
    <x v="1"/>
    <s v="2025-06-20"/>
    <s v="2025-06-23"/>
    <n v="3"/>
    <n v="7832.43"/>
    <x v="1"/>
    <s v="Discharged"/>
    <x v="4"/>
    <x v="0"/>
  </r>
  <r>
    <x v="511"/>
    <x v="72"/>
    <x v="0"/>
    <x v="3"/>
    <x v="2"/>
    <s v="2025-11-06"/>
    <s v="2025-11-11"/>
    <n v="5"/>
    <n v="11870.18"/>
    <x v="0"/>
    <s v="Discharged"/>
    <x v="2"/>
    <x v="0"/>
  </r>
  <r>
    <x v="512"/>
    <x v="34"/>
    <x v="0"/>
    <x v="0"/>
    <x v="0"/>
    <s v="2025-09-24"/>
    <s v="2025-09-25"/>
    <n v="1"/>
    <n v="5543.48"/>
    <x v="0"/>
    <s v="Discharged"/>
    <x v="2"/>
    <x v="0"/>
  </r>
  <r>
    <x v="513"/>
    <x v="28"/>
    <x v="1"/>
    <x v="1"/>
    <x v="0"/>
    <s v="2025-08-20"/>
    <s v="2025-08-26"/>
    <n v="6"/>
    <n v="6535.62"/>
    <x v="0"/>
    <s v="Discharged"/>
    <x v="4"/>
    <x v="0"/>
  </r>
  <r>
    <x v="514"/>
    <x v="67"/>
    <x v="0"/>
    <x v="2"/>
    <x v="1"/>
    <s v="2025-08-22"/>
    <s v="2025-08-28"/>
    <n v="6"/>
    <n v="10371.049999999999"/>
    <x v="0"/>
    <s v="Discharged"/>
    <x v="3"/>
    <x v="0"/>
  </r>
  <r>
    <x v="515"/>
    <x v="15"/>
    <x v="1"/>
    <x v="1"/>
    <x v="1"/>
    <s v="2025-03-15"/>
    <s v="2025-03-16"/>
    <n v="1"/>
    <n v="4168.09"/>
    <x v="0"/>
    <s v="Discharged"/>
    <x v="1"/>
    <x v="0"/>
  </r>
  <r>
    <x v="516"/>
    <x v="9"/>
    <x v="0"/>
    <x v="5"/>
    <x v="2"/>
    <s v="2025-12-12"/>
    <s v="2025-12-16"/>
    <n v="4"/>
    <n v="6252.68"/>
    <x v="0"/>
    <s v="Discharged"/>
    <x v="4"/>
    <x v="0"/>
  </r>
  <r>
    <x v="517"/>
    <x v="68"/>
    <x v="0"/>
    <x v="1"/>
    <x v="1"/>
    <s v="2025-04-03"/>
    <s v="2025-04-09"/>
    <n v="6"/>
    <n v="8256.1"/>
    <x v="0"/>
    <s v="Discharged"/>
    <x v="3"/>
    <x v="0"/>
  </r>
  <r>
    <x v="518"/>
    <x v="46"/>
    <x v="0"/>
    <x v="1"/>
    <x v="0"/>
    <s v="2025-11-19"/>
    <s v="2025-11-24"/>
    <n v="5"/>
    <n v="6789.21"/>
    <x v="0"/>
    <s v="Discharged"/>
    <x v="1"/>
    <x v="0"/>
  </r>
  <r>
    <x v="519"/>
    <x v="68"/>
    <x v="1"/>
    <x v="1"/>
    <x v="2"/>
    <s v="2025-12-14"/>
    <s v="2025-12-20"/>
    <n v="6"/>
    <n v="8038.78"/>
    <x v="0"/>
    <s v="Discharged"/>
    <x v="3"/>
    <x v="0"/>
  </r>
  <r>
    <x v="520"/>
    <x v="50"/>
    <x v="1"/>
    <x v="1"/>
    <x v="2"/>
    <s v="2025-06-17"/>
    <s v="2025-06-20"/>
    <n v="3"/>
    <n v="6434.09"/>
    <x v="0"/>
    <s v="Discharged"/>
    <x v="0"/>
    <x v="0"/>
  </r>
  <r>
    <x v="521"/>
    <x v="58"/>
    <x v="0"/>
    <x v="1"/>
    <x v="2"/>
    <s v="2025-10-07"/>
    <s v="2025-10-12"/>
    <n v="5"/>
    <n v="7519.47"/>
    <x v="1"/>
    <s v="Discharged"/>
    <x v="2"/>
    <x v="0"/>
  </r>
  <r>
    <x v="522"/>
    <x v="36"/>
    <x v="0"/>
    <x v="0"/>
    <x v="0"/>
    <s v="2025-10-16"/>
    <s v="2025-10-22"/>
    <n v="6"/>
    <n v="9035.6299999999992"/>
    <x v="0"/>
    <s v="Discharged"/>
    <x v="1"/>
    <x v="0"/>
  </r>
  <r>
    <x v="523"/>
    <x v="4"/>
    <x v="1"/>
    <x v="5"/>
    <x v="2"/>
    <s v="2025-07-01"/>
    <s v="2025-07-07"/>
    <n v="6"/>
    <n v="9292.1200000000008"/>
    <x v="0"/>
    <s v="Discharged"/>
    <x v="2"/>
    <x v="0"/>
  </r>
  <r>
    <x v="524"/>
    <x v="36"/>
    <x v="1"/>
    <x v="0"/>
    <x v="2"/>
    <s v="2025-02-11"/>
    <s v="2025-02-19"/>
    <n v="8"/>
    <n v="8102.48"/>
    <x v="0"/>
    <s v="Discharged"/>
    <x v="1"/>
    <x v="1"/>
  </r>
  <r>
    <x v="525"/>
    <x v="24"/>
    <x v="0"/>
    <x v="2"/>
    <x v="2"/>
    <s v="2025-06-02"/>
    <s v="2025-06-09"/>
    <n v="7"/>
    <n v="12824.7"/>
    <x v="0"/>
    <s v="Discharged"/>
    <x v="2"/>
    <x v="0"/>
  </r>
  <r>
    <x v="526"/>
    <x v="49"/>
    <x v="2"/>
    <x v="2"/>
    <x v="2"/>
    <s v="2025-09-17"/>
    <s v="2025-09-19"/>
    <n v="2"/>
    <n v="7657.44"/>
    <x v="0"/>
    <s v="Discharged"/>
    <x v="0"/>
    <x v="0"/>
  </r>
  <r>
    <x v="527"/>
    <x v="39"/>
    <x v="1"/>
    <x v="3"/>
    <x v="2"/>
    <s v="2025-07-04"/>
    <s v="2025-07-16"/>
    <n v="12"/>
    <n v="19229.41"/>
    <x v="0"/>
    <s v="Discharged"/>
    <x v="4"/>
    <x v="1"/>
  </r>
  <r>
    <x v="528"/>
    <x v="32"/>
    <x v="0"/>
    <x v="5"/>
    <x v="2"/>
    <s v="2025-10-02"/>
    <s v="2025-10-08"/>
    <n v="6"/>
    <n v="8461.66"/>
    <x v="0"/>
    <s v="Discharged"/>
    <x v="3"/>
    <x v="0"/>
  </r>
  <r>
    <x v="529"/>
    <x v="29"/>
    <x v="0"/>
    <x v="1"/>
    <x v="2"/>
    <s v="2025-04-30"/>
    <s v="2025-05-06"/>
    <n v="6"/>
    <n v="7276.77"/>
    <x v="0"/>
    <s v="Discharged"/>
    <x v="3"/>
    <x v="0"/>
  </r>
  <r>
    <x v="530"/>
    <x v="52"/>
    <x v="1"/>
    <x v="0"/>
    <x v="1"/>
    <s v="2025-12-20"/>
    <s v="2025-12-23"/>
    <n v="3"/>
    <n v="5359.83"/>
    <x v="0"/>
    <s v="Discharged"/>
    <x v="4"/>
    <x v="0"/>
  </r>
  <r>
    <x v="531"/>
    <x v="31"/>
    <x v="1"/>
    <x v="1"/>
    <x v="0"/>
    <s v="2025-01-17"/>
    <s v="2025-01-22"/>
    <n v="5"/>
    <n v="6293.01"/>
    <x v="1"/>
    <s v="Discharged"/>
    <x v="2"/>
    <x v="0"/>
  </r>
  <r>
    <x v="532"/>
    <x v="53"/>
    <x v="0"/>
    <x v="2"/>
    <x v="0"/>
    <s v="2025-02-11"/>
    <s v="2025-02-14"/>
    <n v="3"/>
    <n v="10504.31"/>
    <x v="0"/>
    <s v="Discharged"/>
    <x v="4"/>
    <x v="0"/>
  </r>
  <r>
    <x v="533"/>
    <x v="68"/>
    <x v="1"/>
    <x v="5"/>
    <x v="2"/>
    <s v="2025-03-26"/>
    <s v="2025-03-29"/>
    <n v="3"/>
    <n v="10349.02"/>
    <x v="0"/>
    <s v="Discharged"/>
    <x v="3"/>
    <x v="0"/>
  </r>
  <r>
    <x v="534"/>
    <x v="53"/>
    <x v="1"/>
    <x v="1"/>
    <x v="2"/>
    <s v="2025-11-20"/>
    <s v="2025-11-25"/>
    <n v="5"/>
    <n v="5412.6"/>
    <x v="0"/>
    <s v="Discharged"/>
    <x v="4"/>
    <x v="0"/>
  </r>
  <r>
    <x v="535"/>
    <x v="6"/>
    <x v="0"/>
    <x v="2"/>
    <x v="0"/>
    <s v="2025-10-05"/>
    <s v="2025-10-11"/>
    <n v="6"/>
    <n v="11281.02"/>
    <x v="0"/>
    <s v="Discharged"/>
    <x v="3"/>
    <x v="0"/>
  </r>
  <r>
    <x v="536"/>
    <x v="25"/>
    <x v="1"/>
    <x v="0"/>
    <x v="0"/>
    <s v="2025-07-31"/>
    <s v="2025-08-02"/>
    <n v="2"/>
    <n v="3574.27"/>
    <x v="0"/>
    <s v="Discharged"/>
    <x v="2"/>
    <x v="0"/>
  </r>
  <r>
    <x v="537"/>
    <x v="27"/>
    <x v="2"/>
    <x v="1"/>
    <x v="2"/>
    <s v="2025-10-05"/>
    <s v="2025-10-09"/>
    <n v="4"/>
    <n v="6910.71"/>
    <x v="0"/>
    <s v="Transferred"/>
    <x v="1"/>
    <x v="0"/>
  </r>
  <r>
    <x v="538"/>
    <x v="55"/>
    <x v="0"/>
    <x v="0"/>
    <x v="2"/>
    <s v="2025-01-23"/>
    <s v="2025-01-25"/>
    <n v="2"/>
    <n v="3695.51"/>
    <x v="0"/>
    <s v="Discharged"/>
    <x v="4"/>
    <x v="0"/>
  </r>
  <r>
    <x v="539"/>
    <x v="49"/>
    <x v="1"/>
    <x v="2"/>
    <x v="2"/>
    <s v="2025-02-10"/>
    <s v="2025-02-18"/>
    <n v="8"/>
    <n v="12912.22"/>
    <x v="0"/>
    <s v="Discharged"/>
    <x v="0"/>
    <x v="1"/>
  </r>
  <r>
    <x v="540"/>
    <x v="60"/>
    <x v="0"/>
    <x v="1"/>
    <x v="2"/>
    <s v="2025-12-07"/>
    <s v="2025-12-12"/>
    <n v="5"/>
    <n v="6013.41"/>
    <x v="0"/>
    <s v="Discharged"/>
    <x v="3"/>
    <x v="0"/>
  </r>
  <r>
    <x v="541"/>
    <x v="72"/>
    <x v="0"/>
    <x v="5"/>
    <x v="0"/>
    <s v="2025-09-25"/>
    <s v="2025-10-05"/>
    <n v="10"/>
    <n v="13453.28"/>
    <x v="0"/>
    <s v="Discharged"/>
    <x v="2"/>
    <x v="1"/>
  </r>
  <r>
    <x v="542"/>
    <x v="48"/>
    <x v="1"/>
    <x v="0"/>
    <x v="2"/>
    <s v="2025-09-07"/>
    <s v="2025-09-12"/>
    <n v="5"/>
    <n v="5234.79"/>
    <x v="1"/>
    <s v="Discharged"/>
    <x v="0"/>
    <x v="0"/>
  </r>
  <r>
    <x v="543"/>
    <x v="42"/>
    <x v="0"/>
    <x v="0"/>
    <x v="2"/>
    <s v="2025-04-20"/>
    <s v="2025-04-27"/>
    <n v="7"/>
    <n v="7980.12"/>
    <x v="0"/>
    <s v="Discharged"/>
    <x v="4"/>
    <x v="0"/>
  </r>
  <r>
    <x v="544"/>
    <x v="49"/>
    <x v="1"/>
    <x v="3"/>
    <x v="0"/>
    <s v="2025-04-17"/>
    <s v="2025-04-20"/>
    <n v="3"/>
    <n v="8634.9500000000007"/>
    <x v="0"/>
    <s v="Discharged"/>
    <x v="0"/>
    <x v="0"/>
  </r>
  <r>
    <x v="545"/>
    <x v="34"/>
    <x v="1"/>
    <x v="1"/>
    <x v="0"/>
    <s v="2025-09-14"/>
    <s v="2025-09-17"/>
    <n v="3"/>
    <n v="3837.4"/>
    <x v="0"/>
    <s v="Discharged"/>
    <x v="2"/>
    <x v="0"/>
  </r>
  <r>
    <x v="546"/>
    <x v="24"/>
    <x v="0"/>
    <x v="2"/>
    <x v="1"/>
    <s v="2025-05-31"/>
    <s v="2025-06-05"/>
    <n v="5"/>
    <n v="10415.6"/>
    <x v="0"/>
    <s v="Discharged"/>
    <x v="2"/>
    <x v="0"/>
  </r>
  <r>
    <x v="547"/>
    <x v="16"/>
    <x v="1"/>
    <x v="4"/>
    <x v="2"/>
    <s v="2025-08-01"/>
    <s v="2025-08-09"/>
    <n v="8"/>
    <n v="13077.2"/>
    <x v="0"/>
    <s v="Discharged"/>
    <x v="4"/>
    <x v="1"/>
  </r>
  <r>
    <x v="548"/>
    <x v="62"/>
    <x v="1"/>
    <x v="1"/>
    <x v="2"/>
    <s v="2025-04-17"/>
    <s v="2025-04-20"/>
    <n v="3"/>
    <n v="4796.6499999999996"/>
    <x v="0"/>
    <s v="Discharged"/>
    <x v="2"/>
    <x v="0"/>
  </r>
  <r>
    <x v="549"/>
    <x v="10"/>
    <x v="1"/>
    <x v="5"/>
    <x v="2"/>
    <s v="2025-12-14"/>
    <s v="2025-12-23"/>
    <n v="9"/>
    <n v="8852.33"/>
    <x v="0"/>
    <s v="Discharged"/>
    <x v="4"/>
    <x v="1"/>
  </r>
  <r>
    <x v="550"/>
    <x v="19"/>
    <x v="0"/>
    <x v="0"/>
    <x v="0"/>
    <s v="2025-12-18"/>
    <m/>
    <n v="7"/>
    <n v="6450.06"/>
    <x v="0"/>
    <s v="Discharged"/>
    <x v="2"/>
    <x v="0"/>
  </r>
  <r>
    <x v="551"/>
    <x v="59"/>
    <x v="0"/>
    <x v="5"/>
    <x v="2"/>
    <s v="2025-02-21"/>
    <s v="2025-02-25"/>
    <n v="4"/>
    <n v="8498.52"/>
    <x v="1"/>
    <s v="Discharged"/>
    <x v="3"/>
    <x v="0"/>
  </r>
  <r>
    <x v="552"/>
    <x v="45"/>
    <x v="1"/>
    <x v="4"/>
    <x v="2"/>
    <s v="2025-03-23"/>
    <s v="2025-03-31"/>
    <n v="8"/>
    <n v="13860.88"/>
    <x v="1"/>
    <s v="Discharged"/>
    <x v="1"/>
    <x v="1"/>
  </r>
  <r>
    <x v="553"/>
    <x v="3"/>
    <x v="0"/>
    <x v="2"/>
    <x v="0"/>
    <s v="2025-05-31"/>
    <s v="2025-06-02"/>
    <n v="2"/>
    <n v="8625.7999999999993"/>
    <x v="0"/>
    <s v="Discharged"/>
    <x v="0"/>
    <x v="0"/>
  </r>
  <r>
    <x v="554"/>
    <x v="55"/>
    <x v="0"/>
    <x v="0"/>
    <x v="2"/>
    <s v="2025-03-22"/>
    <s v="2025-03-27"/>
    <n v="5"/>
    <n v="5556.39"/>
    <x v="0"/>
    <s v="Discharged"/>
    <x v="4"/>
    <x v="0"/>
  </r>
  <r>
    <x v="555"/>
    <x v="15"/>
    <x v="2"/>
    <x v="3"/>
    <x v="0"/>
    <s v="2025-09-15"/>
    <s v="2025-09-21"/>
    <n v="6"/>
    <n v="15393.11"/>
    <x v="1"/>
    <s v="Discharged"/>
    <x v="1"/>
    <x v="0"/>
  </r>
  <r>
    <x v="556"/>
    <x v="65"/>
    <x v="0"/>
    <x v="1"/>
    <x v="2"/>
    <s v="2025-05-21"/>
    <s v="2025-05-28"/>
    <n v="7"/>
    <n v="8551.69"/>
    <x v="0"/>
    <s v="Discharged"/>
    <x v="3"/>
    <x v="0"/>
  </r>
  <r>
    <x v="557"/>
    <x v="63"/>
    <x v="1"/>
    <x v="0"/>
    <x v="1"/>
    <s v="2025-03-15"/>
    <s v="2025-03-22"/>
    <n v="7"/>
    <n v="8655.5300000000007"/>
    <x v="0"/>
    <s v="Discharged"/>
    <x v="3"/>
    <x v="0"/>
  </r>
  <r>
    <x v="558"/>
    <x v="68"/>
    <x v="0"/>
    <x v="0"/>
    <x v="2"/>
    <s v="2025-06-01"/>
    <s v="2025-06-07"/>
    <n v="6"/>
    <n v="8087.17"/>
    <x v="1"/>
    <s v="Discharged"/>
    <x v="3"/>
    <x v="0"/>
  </r>
  <r>
    <x v="559"/>
    <x v="24"/>
    <x v="1"/>
    <x v="1"/>
    <x v="2"/>
    <s v="2025-05-25"/>
    <s v="2025-05-31"/>
    <n v="6"/>
    <n v="5552.74"/>
    <x v="0"/>
    <s v="Discharged"/>
    <x v="2"/>
    <x v="0"/>
  </r>
  <r>
    <x v="560"/>
    <x v="43"/>
    <x v="0"/>
    <x v="3"/>
    <x v="1"/>
    <s v="2025-12-24"/>
    <s v="2025-12-30"/>
    <n v="6"/>
    <n v="14741.9"/>
    <x v="0"/>
    <s v="Discharged"/>
    <x v="2"/>
    <x v="0"/>
  </r>
  <r>
    <x v="561"/>
    <x v="37"/>
    <x v="1"/>
    <x v="0"/>
    <x v="1"/>
    <s v="2025-03-23"/>
    <s v="2025-03-27"/>
    <n v="4"/>
    <n v="8304.6299999999992"/>
    <x v="0"/>
    <s v="Discharged"/>
    <x v="1"/>
    <x v="0"/>
  </r>
  <r>
    <x v="562"/>
    <x v="65"/>
    <x v="1"/>
    <x v="5"/>
    <x v="0"/>
    <s v="2025-01-05"/>
    <s v="2025-01-12"/>
    <n v="7"/>
    <n v="10443.219999999999"/>
    <x v="0"/>
    <s v="Discharged"/>
    <x v="3"/>
    <x v="0"/>
  </r>
  <r>
    <x v="563"/>
    <x v="6"/>
    <x v="1"/>
    <x v="5"/>
    <x v="2"/>
    <s v="2025-07-14"/>
    <s v="2025-07-19"/>
    <n v="5"/>
    <n v="9712.44"/>
    <x v="0"/>
    <s v="Discharged"/>
    <x v="3"/>
    <x v="0"/>
  </r>
  <r>
    <x v="564"/>
    <x v="6"/>
    <x v="1"/>
    <x v="2"/>
    <x v="2"/>
    <s v="2025-02-19"/>
    <s v="2025-02-27"/>
    <n v="8"/>
    <n v="10059.790000000001"/>
    <x v="0"/>
    <s v="Discharged"/>
    <x v="3"/>
    <x v="1"/>
  </r>
  <r>
    <x v="565"/>
    <x v="16"/>
    <x v="1"/>
    <x v="0"/>
    <x v="2"/>
    <s v="2025-12-17"/>
    <s v="2025-12-20"/>
    <n v="3"/>
    <n v="8031.2"/>
    <x v="0"/>
    <s v="Discharged"/>
    <x v="4"/>
    <x v="0"/>
  </r>
  <r>
    <x v="566"/>
    <x v="5"/>
    <x v="0"/>
    <x v="5"/>
    <x v="1"/>
    <s v="2025-07-05"/>
    <s v="2025-07-08"/>
    <n v="3"/>
    <n v="9896.11"/>
    <x v="0"/>
    <s v="Discharged"/>
    <x v="0"/>
    <x v="0"/>
  </r>
  <r>
    <x v="567"/>
    <x v="38"/>
    <x v="0"/>
    <x v="2"/>
    <x v="2"/>
    <s v="2025-02-18"/>
    <s v="2025-02-26"/>
    <n v="8"/>
    <n v="12761.13"/>
    <x v="1"/>
    <s v="Discharged"/>
    <x v="0"/>
    <x v="1"/>
  </r>
  <r>
    <x v="568"/>
    <x v="35"/>
    <x v="0"/>
    <x v="4"/>
    <x v="2"/>
    <s v="2025-08-28"/>
    <s v="2025-09-08"/>
    <n v="11"/>
    <n v="17213.09"/>
    <x v="1"/>
    <s v="Transferred"/>
    <x v="4"/>
    <x v="1"/>
  </r>
  <r>
    <x v="569"/>
    <x v="72"/>
    <x v="0"/>
    <x v="4"/>
    <x v="2"/>
    <s v="2025-12-08"/>
    <s v="2025-12-12"/>
    <n v="4"/>
    <n v="9797.83"/>
    <x v="0"/>
    <s v="Transferred"/>
    <x v="2"/>
    <x v="0"/>
  </r>
  <r>
    <x v="570"/>
    <x v="38"/>
    <x v="0"/>
    <x v="0"/>
    <x v="2"/>
    <s v="2025-12-07"/>
    <s v="2025-12-10"/>
    <n v="3"/>
    <n v="6019.23"/>
    <x v="0"/>
    <s v="Discharged"/>
    <x v="0"/>
    <x v="0"/>
  </r>
  <r>
    <x v="571"/>
    <x v="50"/>
    <x v="0"/>
    <x v="1"/>
    <x v="2"/>
    <s v="2025-09-29"/>
    <s v="2025-10-06"/>
    <n v="7"/>
    <n v="7779.48"/>
    <x v="0"/>
    <s v="Discharged"/>
    <x v="0"/>
    <x v="0"/>
  </r>
  <r>
    <x v="572"/>
    <x v="49"/>
    <x v="0"/>
    <x v="3"/>
    <x v="1"/>
    <s v="2025-04-22"/>
    <s v="2025-04-30"/>
    <n v="8"/>
    <n v="13198.27"/>
    <x v="0"/>
    <s v="Discharged"/>
    <x v="0"/>
    <x v="1"/>
  </r>
  <r>
    <x v="573"/>
    <x v="45"/>
    <x v="1"/>
    <x v="1"/>
    <x v="0"/>
    <s v="2025-10-10"/>
    <s v="2025-10-16"/>
    <n v="6"/>
    <n v="5789.33"/>
    <x v="0"/>
    <s v="Discharged"/>
    <x v="1"/>
    <x v="0"/>
  </r>
  <r>
    <x v="574"/>
    <x v="1"/>
    <x v="1"/>
    <x v="2"/>
    <x v="2"/>
    <s v="2025-09-01"/>
    <s v="2025-09-06"/>
    <n v="5"/>
    <n v="8620.41"/>
    <x v="0"/>
    <s v="Discharged"/>
    <x v="0"/>
    <x v="0"/>
  </r>
  <r>
    <x v="575"/>
    <x v="39"/>
    <x v="0"/>
    <x v="1"/>
    <x v="1"/>
    <s v="2025-01-05"/>
    <s v="2025-01-13"/>
    <n v="8"/>
    <n v="6416.83"/>
    <x v="0"/>
    <s v="Discharged"/>
    <x v="4"/>
    <x v="1"/>
  </r>
  <r>
    <x v="576"/>
    <x v="59"/>
    <x v="1"/>
    <x v="0"/>
    <x v="2"/>
    <s v="2025-10-01"/>
    <s v="2025-10-09"/>
    <n v="8"/>
    <n v="8282.42"/>
    <x v="0"/>
    <s v="Discharged"/>
    <x v="3"/>
    <x v="1"/>
  </r>
  <r>
    <x v="577"/>
    <x v="22"/>
    <x v="1"/>
    <x v="5"/>
    <x v="0"/>
    <s v="2025-12-18"/>
    <s v="2025-12-26"/>
    <n v="8"/>
    <n v="9560.01"/>
    <x v="0"/>
    <s v="Discharged"/>
    <x v="3"/>
    <x v="1"/>
  </r>
  <r>
    <x v="578"/>
    <x v="10"/>
    <x v="1"/>
    <x v="3"/>
    <x v="0"/>
    <s v="2025-06-22"/>
    <s v="2025-06-28"/>
    <n v="6"/>
    <n v="13125.6"/>
    <x v="0"/>
    <s v="Discharged"/>
    <x v="4"/>
    <x v="0"/>
  </r>
  <r>
    <x v="579"/>
    <x v="71"/>
    <x v="0"/>
    <x v="0"/>
    <x v="1"/>
    <s v="2025-08-02"/>
    <s v="2025-08-07"/>
    <n v="5"/>
    <n v="7410.2"/>
    <x v="0"/>
    <s v="Discharged"/>
    <x v="1"/>
    <x v="0"/>
  </r>
  <r>
    <x v="580"/>
    <x v="31"/>
    <x v="1"/>
    <x v="5"/>
    <x v="2"/>
    <s v="2025-06-17"/>
    <s v="2025-06-25"/>
    <n v="8"/>
    <n v="10175.719999999999"/>
    <x v="0"/>
    <s v="Discharged"/>
    <x v="2"/>
    <x v="1"/>
  </r>
  <r>
    <x v="581"/>
    <x v="18"/>
    <x v="0"/>
    <x v="0"/>
    <x v="2"/>
    <s v="2025-08-27"/>
    <s v="2025-09-04"/>
    <n v="8"/>
    <n v="9774.9500000000007"/>
    <x v="0"/>
    <s v="Discharged"/>
    <x v="3"/>
    <x v="1"/>
  </r>
  <r>
    <x v="582"/>
    <x v="53"/>
    <x v="0"/>
    <x v="0"/>
    <x v="2"/>
    <s v="2025-03-16"/>
    <s v="2025-03-22"/>
    <n v="6"/>
    <n v="8382.93"/>
    <x v="0"/>
    <s v="Discharged"/>
    <x v="4"/>
    <x v="0"/>
  </r>
  <r>
    <x v="583"/>
    <x v="17"/>
    <x v="0"/>
    <x v="0"/>
    <x v="2"/>
    <s v="2025-02-15"/>
    <s v="2025-02-20"/>
    <n v="5"/>
    <n v="5812.95"/>
    <x v="0"/>
    <s v="Discharged"/>
    <x v="2"/>
    <x v="0"/>
  </r>
  <r>
    <x v="584"/>
    <x v="14"/>
    <x v="1"/>
    <x v="0"/>
    <x v="0"/>
    <s v="2025-08-31"/>
    <s v="2025-09-05"/>
    <n v="5"/>
    <n v="7424.44"/>
    <x v="0"/>
    <s v="Discharged"/>
    <x v="0"/>
    <x v="0"/>
  </r>
  <r>
    <x v="585"/>
    <x v="51"/>
    <x v="0"/>
    <x v="5"/>
    <x v="0"/>
    <s v="2025-08-12"/>
    <s v="2025-08-17"/>
    <n v="5"/>
    <n v="9236.42"/>
    <x v="0"/>
    <s v="Discharged"/>
    <x v="1"/>
    <x v="0"/>
  </r>
  <r>
    <x v="586"/>
    <x v="62"/>
    <x v="0"/>
    <x v="0"/>
    <x v="2"/>
    <s v="2025-09-06"/>
    <s v="2025-09-14"/>
    <n v="8"/>
    <n v="9249.44"/>
    <x v="0"/>
    <s v="Discharged"/>
    <x v="2"/>
    <x v="1"/>
  </r>
  <r>
    <x v="587"/>
    <x v="7"/>
    <x v="0"/>
    <x v="3"/>
    <x v="2"/>
    <s v="2025-02-21"/>
    <s v="2025-03-02"/>
    <n v="9"/>
    <n v="16112.35"/>
    <x v="0"/>
    <s v="Discharged"/>
    <x v="4"/>
    <x v="1"/>
  </r>
  <r>
    <x v="588"/>
    <x v="11"/>
    <x v="0"/>
    <x v="1"/>
    <x v="1"/>
    <s v="2025-12-17"/>
    <s v="2025-12-21"/>
    <n v="4"/>
    <n v="5898.01"/>
    <x v="0"/>
    <s v="Transferred"/>
    <x v="2"/>
    <x v="0"/>
  </r>
  <r>
    <x v="589"/>
    <x v="46"/>
    <x v="1"/>
    <x v="1"/>
    <x v="0"/>
    <s v="2025-01-23"/>
    <s v="2025-01-24"/>
    <n v="1"/>
    <n v="3446.71"/>
    <x v="0"/>
    <s v="Discharged"/>
    <x v="1"/>
    <x v="0"/>
  </r>
  <r>
    <x v="590"/>
    <x v="38"/>
    <x v="0"/>
    <x v="3"/>
    <x v="0"/>
    <s v="2025-08-05"/>
    <s v="2025-08-12"/>
    <n v="7"/>
    <n v="14350.86"/>
    <x v="0"/>
    <s v="Discharged"/>
    <x v="0"/>
    <x v="0"/>
  </r>
  <r>
    <x v="591"/>
    <x v="21"/>
    <x v="1"/>
    <x v="0"/>
    <x v="2"/>
    <s v="2025-02-28"/>
    <s v="2025-03-06"/>
    <n v="6"/>
    <n v="6302.75"/>
    <x v="0"/>
    <s v="Transferred"/>
    <x v="4"/>
    <x v="0"/>
  </r>
  <r>
    <x v="592"/>
    <x v="4"/>
    <x v="1"/>
    <x v="5"/>
    <x v="0"/>
    <s v="2025-02-10"/>
    <s v="2025-02-14"/>
    <n v="4"/>
    <n v="9963.1200000000008"/>
    <x v="0"/>
    <s v="Discharged"/>
    <x v="2"/>
    <x v="0"/>
  </r>
  <r>
    <x v="593"/>
    <x v="56"/>
    <x v="1"/>
    <x v="2"/>
    <x v="1"/>
    <s v="2025-03-17"/>
    <s v="2025-03-21"/>
    <n v="4"/>
    <n v="13181.51"/>
    <x v="1"/>
    <s v="Discharged"/>
    <x v="0"/>
    <x v="0"/>
  </r>
  <r>
    <x v="594"/>
    <x v="47"/>
    <x v="1"/>
    <x v="4"/>
    <x v="2"/>
    <s v="2025-08-28"/>
    <s v="2025-09-05"/>
    <n v="8"/>
    <n v="10841.16"/>
    <x v="0"/>
    <s v="Discharged"/>
    <x v="4"/>
    <x v="1"/>
  </r>
  <r>
    <x v="595"/>
    <x v="4"/>
    <x v="1"/>
    <x v="3"/>
    <x v="2"/>
    <s v="2025-07-11"/>
    <s v="2025-07-18"/>
    <n v="7"/>
    <n v="14896.12"/>
    <x v="1"/>
    <s v="Discharged"/>
    <x v="2"/>
    <x v="0"/>
  </r>
  <r>
    <x v="596"/>
    <x v="36"/>
    <x v="1"/>
    <x v="0"/>
    <x v="1"/>
    <s v="2025-09-20"/>
    <s v="2025-09-24"/>
    <n v="4"/>
    <n v="6961.39"/>
    <x v="0"/>
    <s v="Discharged"/>
    <x v="1"/>
    <x v="0"/>
  </r>
  <r>
    <x v="597"/>
    <x v="36"/>
    <x v="1"/>
    <x v="0"/>
    <x v="2"/>
    <s v="2025-11-07"/>
    <s v="2025-11-11"/>
    <n v="4"/>
    <n v="5685.92"/>
    <x v="0"/>
    <s v="Discharged"/>
    <x v="1"/>
    <x v="0"/>
  </r>
  <r>
    <x v="598"/>
    <x v="57"/>
    <x v="1"/>
    <x v="1"/>
    <x v="1"/>
    <s v="2025-08-16"/>
    <s v="2025-08-23"/>
    <n v="7"/>
    <n v="8772.08"/>
    <x v="0"/>
    <s v="Discharged"/>
    <x v="3"/>
    <x v="0"/>
  </r>
  <r>
    <x v="599"/>
    <x v="0"/>
    <x v="1"/>
    <x v="1"/>
    <x v="0"/>
    <s v="2025-04-11"/>
    <s v="2025-04-13"/>
    <n v="2"/>
    <n v="2588.58"/>
    <x v="0"/>
    <s v="Discharged"/>
    <x v="0"/>
    <x v="0"/>
  </r>
  <r>
    <x v="600"/>
    <x v="48"/>
    <x v="1"/>
    <x v="5"/>
    <x v="2"/>
    <s v="2025-11-26"/>
    <s v="2025-12-02"/>
    <n v="6"/>
    <n v="10761.36"/>
    <x v="0"/>
    <s v="Discharged"/>
    <x v="0"/>
    <x v="0"/>
  </r>
  <r>
    <x v="601"/>
    <x v="35"/>
    <x v="1"/>
    <x v="5"/>
    <x v="2"/>
    <s v="2025-05-03"/>
    <s v="2025-05-05"/>
    <n v="2"/>
    <n v="9095.1299999999992"/>
    <x v="0"/>
    <s v="Discharged"/>
    <x v="4"/>
    <x v="0"/>
  </r>
  <r>
    <x v="602"/>
    <x v="39"/>
    <x v="0"/>
    <x v="1"/>
    <x v="1"/>
    <s v="2025-03-30"/>
    <s v="2025-04-06"/>
    <n v="7"/>
    <n v="5930.91"/>
    <x v="0"/>
    <s v="Discharged"/>
    <x v="4"/>
    <x v="0"/>
  </r>
  <r>
    <x v="603"/>
    <x v="50"/>
    <x v="1"/>
    <x v="2"/>
    <x v="0"/>
    <s v="2025-03-30"/>
    <s v="2025-04-08"/>
    <n v="9"/>
    <n v="13586.92"/>
    <x v="1"/>
    <s v="Discharged"/>
    <x v="0"/>
    <x v="1"/>
  </r>
  <r>
    <x v="604"/>
    <x v="45"/>
    <x v="1"/>
    <x v="5"/>
    <x v="1"/>
    <s v="2025-07-04"/>
    <s v="2025-07-08"/>
    <n v="4"/>
    <n v="8661.9599999999991"/>
    <x v="1"/>
    <s v="Discharged"/>
    <x v="1"/>
    <x v="0"/>
  </r>
  <r>
    <x v="605"/>
    <x v="48"/>
    <x v="1"/>
    <x v="1"/>
    <x v="2"/>
    <s v="2025-02-28"/>
    <s v="2025-03-03"/>
    <n v="3"/>
    <n v="5361.24"/>
    <x v="0"/>
    <s v="Discharged"/>
    <x v="0"/>
    <x v="0"/>
  </r>
  <r>
    <x v="606"/>
    <x v="9"/>
    <x v="0"/>
    <x v="1"/>
    <x v="0"/>
    <s v="2025-05-08"/>
    <s v="2025-05-09"/>
    <n v="1"/>
    <n v="5133.4399999999996"/>
    <x v="0"/>
    <s v="Discharged"/>
    <x v="4"/>
    <x v="0"/>
  </r>
  <r>
    <x v="607"/>
    <x v="22"/>
    <x v="0"/>
    <x v="5"/>
    <x v="2"/>
    <s v="2025-09-28"/>
    <s v="2025-10-06"/>
    <n v="8"/>
    <n v="13725.52"/>
    <x v="0"/>
    <s v="Discharged"/>
    <x v="3"/>
    <x v="1"/>
  </r>
  <r>
    <x v="608"/>
    <x v="32"/>
    <x v="1"/>
    <x v="1"/>
    <x v="2"/>
    <s v="2025-03-19"/>
    <s v="2025-03-28"/>
    <n v="9"/>
    <n v="7316.97"/>
    <x v="0"/>
    <s v="Transferred"/>
    <x v="3"/>
    <x v="1"/>
  </r>
  <r>
    <x v="609"/>
    <x v="10"/>
    <x v="0"/>
    <x v="2"/>
    <x v="2"/>
    <s v="2025-04-29"/>
    <s v="2025-05-08"/>
    <n v="9"/>
    <n v="14654.12"/>
    <x v="0"/>
    <s v="Discharged"/>
    <x v="4"/>
    <x v="1"/>
  </r>
  <r>
    <x v="610"/>
    <x v="58"/>
    <x v="0"/>
    <x v="3"/>
    <x v="2"/>
    <s v="2025-01-31"/>
    <s v="2025-02-10"/>
    <n v="10"/>
    <n v="12305.73"/>
    <x v="0"/>
    <s v="Discharged"/>
    <x v="2"/>
    <x v="1"/>
  </r>
  <r>
    <x v="611"/>
    <x v="7"/>
    <x v="1"/>
    <x v="3"/>
    <x v="2"/>
    <s v="2025-11-02"/>
    <s v="2025-11-09"/>
    <n v="7"/>
    <n v="14336.67"/>
    <x v="0"/>
    <s v="Discharged"/>
    <x v="4"/>
    <x v="0"/>
  </r>
  <r>
    <x v="612"/>
    <x v="11"/>
    <x v="1"/>
    <x v="4"/>
    <x v="2"/>
    <s v="2025-12-28"/>
    <s v="2026-01-02"/>
    <n v="5"/>
    <n v="14457.4"/>
    <x v="0"/>
    <s v="Discharged"/>
    <x v="2"/>
    <x v="0"/>
  </r>
  <r>
    <x v="613"/>
    <x v="28"/>
    <x v="1"/>
    <x v="5"/>
    <x v="2"/>
    <s v="2025-03-22"/>
    <s v="2025-03-28"/>
    <n v="6"/>
    <n v="11976.69"/>
    <x v="0"/>
    <s v="Discharged"/>
    <x v="4"/>
    <x v="0"/>
  </r>
  <r>
    <x v="614"/>
    <x v="45"/>
    <x v="0"/>
    <x v="4"/>
    <x v="1"/>
    <s v="2025-12-14"/>
    <s v="2025-12-20"/>
    <n v="6"/>
    <n v="12881.66"/>
    <x v="0"/>
    <s v="Discharged"/>
    <x v="1"/>
    <x v="0"/>
  </r>
  <r>
    <x v="615"/>
    <x v="4"/>
    <x v="1"/>
    <x v="5"/>
    <x v="1"/>
    <s v="2025-05-25"/>
    <s v="2025-05-30"/>
    <n v="5"/>
    <n v="7932.35"/>
    <x v="0"/>
    <s v="Discharged"/>
    <x v="2"/>
    <x v="0"/>
  </r>
  <r>
    <x v="616"/>
    <x v="67"/>
    <x v="1"/>
    <x v="3"/>
    <x v="2"/>
    <s v="2025-12-31"/>
    <s v="2026-01-07"/>
    <n v="7"/>
    <n v="13875.14"/>
    <x v="0"/>
    <s v="Transferred"/>
    <x v="3"/>
    <x v="0"/>
  </r>
  <r>
    <x v="617"/>
    <x v="2"/>
    <x v="1"/>
    <x v="4"/>
    <x v="0"/>
    <s v="2025-12-27"/>
    <s v="2025-12-30"/>
    <n v="3"/>
    <n v="7494.3"/>
    <x v="0"/>
    <s v="Discharged"/>
    <x v="1"/>
    <x v="0"/>
  </r>
  <r>
    <x v="618"/>
    <x v="57"/>
    <x v="1"/>
    <x v="5"/>
    <x v="2"/>
    <s v="2025-12-12"/>
    <s v="2025-12-23"/>
    <n v="11"/>
    <n v="14563.23"/>
    <x v="0"/>
    <s v="Discharged"/>
    <x v="3"/>
    <x v="1"/>
  </r>
  <r>
    <x v="619"/>
    <x v="48"/>
    <x v="0"/>
    <x v="5"/>
    <x v="2"/>
    <s v="2025-01-26"/>
    <s v="2025-02-03"/>
    <n v="8"/>
    <n v="11300.79"/>
    <x v="0"/>
    <s v="Discharged"/>
    <x v="0"/>
    <x v="1"/>
  </r>
  <r>
    <x v="620"/>
    <x v="30"/>
    <x v="0"/>
    <x v="1"/>
    <x v="1"/>
    <s v="2025-09-13"/>
    <s v="2025-09-15"/>
    <n v="2"/>
    <n v="4250.1099999999997"/>
    <x v="0"/>
    <s v="Discharged"/>
    <x v="0"/>
    <x v="0"/>
  </r>
  <r>
    <x v="621"/>
    <x v="14"/>
    <x v="0"/>
    <x v="1"/>
    <x v="2"/>
    <s v="2025-11-15"/>
    <s v="2025-11-20"/>
    <n v="5"/>
    <n v="5655.12"/>
    <x v="0"/>
    <s v="Discharged"/>
    <x v="0"/>
    <x v="0"/>
  </r>
  <r>
    <x v="622"/>
    <x v="13"/>
    <x v="0"/>
    <x v="1"/>
    <x v="2"/>
    <s v="2025-02-22"/>
    <s v="2025-02-28"/>
    <n v="6"/>
    <n v="10628.09"/>
    <x v="0"/>
    <s v="Discharged"/>
    <x v="1"/>
    <x v="0"/>
  </r>
  <r>
    <x v="623"/>
    <x v="20"/>
    <x v="0"/>
    <x v="2"/>
    <x v="0"/>
    <s v="2025-10-14"/>
    <s v="2025-10-19"/>
    <n v="5"/>
    <n v="10528.98"/>
    <x v="0"/>
    <s v="Discharged"/>
    <x v="0"/>
    <x v="0"/>
  </r>
  <r>
    <x v="624"/>
    <x v="34"/>
    <x v="1"/>
    <x v="5"/>
    <x v="2"/>
    <s v="2025-02-05"/>
    <s v="2025-02-09"/>
    <n v="4"/>
    <n v="8641.84"/>
    <x v="0"/>
    <s v="Discharged"/>
    <x v="2"/>
    <x v="0"/>
  </r>
  <r>
    <x v="625"/>
    <x v="30"/>
    <x v="0"/>
    <x v="0"/>
    <x v="0"/>
    <s v="2025-04-18"/>
    <s v="2025-04-22"/>
    <n v="4"/>
    <n v="8290.75"/>
    <x v="0"/>
    <s v="Discharged"/>
    <x v="0"/>
    <x v="0"/>
  </r>
  <r>
    <x v="626"/>
    <x v="52"/>
    <x v="1"/>
    <x v="2"/>
    <x v="2"/>
    <s v="2025-10-25"/>
    <s v="2025-11-01"/>
    <n v="7"/>
    <n v="12409.1"/>
    <x v="0"/>
    <s v="Discharged"/>
    <x v="4"/>
    <x v="0"/>
  </r>
  <r>
    <x v="627"/>
    <x v="30"/>
    <x v="1"/>
    <x v="1"/>
    <x v="2"/>
    <s v="2025-04-14"/>
    <s v="2025-04-22"/>
    <n v="8"/>
    <n v="7212.38"/>
    <x v="0"/>
    <s v="Discharged"/>
    <x v="0"/>
    <x v="1"/>
  </r>
  <r>
    <x v="628"/>
    <x v="7"/>
    <x v="0"/>
    <x v="1"/>
    <x v="1"/>
    <s v="2025-11-22"/>
    <s v="2025-11-26"/>
    <n v="4"/>
    <n v="6210.03"/>
    <x v="0"/>
    <s v="Discharged"/>
    <x v="4"/>
    <x v="0"/>
  </r>
  <r>
    <x v="629"/>
    <x v="63"/>
    <x v="0"/>
    <x v="5"/>
    <x v="0"/>
    <s v="2025-02-15"/>
    <s v="2025-02-20"/>
    <n v="5"/>
    <n v="9374.69"/>
    <x v="0"/>
    <s v="Discharged"/>
    <x v="3"/>
    <x v="0"/>
  </r>
  <r>
    <x v="630"/>
    <x v="2"/>
    <x v="1"/>
    <x v="1"/>
    <x v="2"/>
    <s v="2025-05-27"/>
    <s v="2025-05-30"/>
    <n v="3"/>
    <n v="8409.26"/>
    <x v="0"/>
    <s v="Discharged"/>
    <x v="1"/>
    <x v="0"/>
  </r>
  <r>
    <x v="631"/>
    <x v="4"/>
    <x v="0"/>
    <x v="1"/>
    <x v="0"/>
    <s v="2025-01-04"/>
    <s v="2025-01-06"/>
    <n v="2"/>
    <n v="3820.32"/>
    <x v="0"/>
    <s v="Discharged"/>
    <x v="2"/>
    <x v="0"/>
  </r>
  <r>
    <x v="632"/>
    <x v="67"/>
    <x v="1"/>
    <x v="0"/>
    <x v="1"/>
    <s v="2025-08-13"/>
    <s v="2025-08-18"/>
    <n v="5"/>
    <n v="8547.2999999999993"/>
    <x v="0"/>
    <s v="Discharged"/>
    <x v="3"/>
    <x v="0"/>
  </r>
  <r>
    <x v="633"/>
    <x v="26"/>
    <x v="1"/>
    <x v="0"/>
    <x v="2"/>
    <s v="2025-08-19"/>
    <s v="2025-08-25"/>
    <n v="6"/>
    <n v="7480.83"/>
    <x v="1"/>
    <s v="Discharged"/>
    <x v="3"/>
    <x v="0"/>
  </r>
  <r>
    <x v="634"/>
    <x v="40"/>
    <x v="1"/>
    <x v="3"/>
    <x v="1"/>
    <s v="2025-12-05"/>
    <s v="2025-12-13"/>
    <n v="8"/>
    <n v="16633.599999999999"/>
    <x v="1"/>
    <s v="Discharged"/>
    <x v="1"/>
    <x v="1"/>
  </r>
  <r>
    <x v="635"/>
    <x v="28"/>
    <x v="0"/>
    <x v="1"/>
    <x v="0"/>
    <s v="2025-02-01"/>
    <s v="2025-02-02"/>
    <n v="1"/>
    <n v="2393.9"/>
    <x v="0"/>
    <s v="Discharged"/>
    <x v="4"/>
    <x v="0"/>
  </r>
  <r>
    <x v="636"/>
    <x v="66"/>
    <x v="2"/>
    <x v="4"/>
    <x v="0"/>
    <s v="2025-01-29"/>
    <s v="2025-02-02"/>
    <n v="4"/>
    <n v="11814.02"/>
    <x v="0"/>
    <s v="Discharged"/>
    <x v="1"/>
    <x v="0"/>
  </r>
  <r>
    <x v="637"/>
    <x v="21"/>
    <x v="0"/>
    <x v="5"/>
    <x v="0"/>
    <s v="2025-01-18"/>
    <s v="2025-01-22"/>
    <n v="4"/>
    <n v="9952.39"/>
    <x v="0"/>
    <s v="Discharged"/>
    <x v="4"/>
    <x v="0"/>
  </r>
  <r>
    <x v="638"/>
    <x v="72"/>
    <x v="0"/>
    <x v="1"/>
    <x v="2"/>
    <s v="2025-03-04"/>
    <s v="2025-03-07"/>
    <n v="3"/>
    <n v="6649.91"/>
    <x v="0"/>
    <s v="Discharged"/>
    <x v="2"/>
    <x v="0"/>
  </r>
  <r>
    <x v="639"/>
    <x v="56"/>
    <x v="1"/>
    <x v="1"/>
    <x v="2"/>
    <s v="2025-02-28"/>
    <s v="2025-03-05"/>
    <n v="5"/>
    <n v="5875.99"/>
    <x v="0"/>
    <s v="Discharged"/>
    <x v="0"/>
    <x v="0"/>
  </r>
  <r>
    <x v="640"/>
    <x v="70"/>
    <x v="1"/>
    <x v="5"/>
    <x v="0"/>
    <s v="2025-11-17"/>
    <s v="2025-11-22"/>
    <n v="5"/>
    <n v="8392.61"/>
    <x v="1"/>
    <s v="Discharged"/>
    <x v="1"/>
    <x v="0"/>
  </r>
  <r>
    <x v="641"/>
    <x v="17"/>
    <x v="0"/>
    <x v="5"/>
    <x v="0"/>
    <s v="2025-02-20"/>
    <s v="2025-02-25"/>
    <n v="5"/>
    <n v="7662.26"/>
    <x v="0"/>
    <s v="Discharged"/>
    <x v="2"/>
    <x v="0"/>
  </r>
  <r>
    <x v="642"/>
    <x v="62"/>
    <x v="1"/>
    <x v="5"/>
    <x v="2"/>
    <s v="2025-06-11"/>
    <s v="2025-06-16"/>
    <n v="5"/>
    <n v="9628.16"/>
    <x v="1"/>
    <s v="Discharged"/>
    <x v="2"/>
    <x v="0"/>
  </r>
  <r>
    <x v="643"/>
    <x v="58"/>
    <x v="0"/>
    <x v="1"/>
    <x v="2"/>
    <s v="2025-07-30"/>
    <s v="2025-08-05"/>
    <n v="6"/>
    <n v="6219.5"/>
    <x v="1"/>
    <s v="Discharged"/>
    <x v="2"/>
    <x v="0"/>
  </r>
  <r>
    <x v="644"/>
    <x v="12"/>
    <x v="0"/>
    <x v="0"/>
    <x v="0"/>
    <s v="2025-02-19"/>
    <s v="2025-02-26"/>
    <n v="7"/>
    <n v="9233.64"/>
    <x v="0"/>
    <s v="Discharged"/>
    <x v="2"/>
    <x v="0"/>
  </r>
  <r>
    <x v="645"/>
    <x v="41"/>
    <x v="1"/>
    <x v="1"/>
    <x v="0"/>
    <s v="2025-09-27"/>
    <s v="2025-10-01"/>
    <n v="4"/>
    <n v="2676.86"/>
    <x v="0"/>
    <s v="Discharged"/>
    <x v="1"/>
    <x v="0"/>
  </r>
  <r>
    <x v="646"/>
    <x v="50"/>
    <x v="1"/>
    <x v="2"/>
    <x v="0"/>
    <s v="2025-10-25"/>
    <s v="2025-10-30"/>
    <n v="5"/>
    <n v="9888.4599999999991"/>
    <x v="1"/>
    <s v="Discharged"/>
    <x v="0"/>
    <x v="0"/>
  </r>
  <r>
    <x v="647"/>
    <x v="33"/>
    <x v="1"/>
    <x v="4"/>
    <x v="1"/>
    <s v="2025-11-02"/>
    <s v="2025-11-09"/>
    <n v="7"/>
    <n v="13138.44"/>
    <x v="0"/>
    <s v="Discharged"/>
    <x v="2"/>
    <x v="0"/>
  </r>
  <r>
    <x v="648"/>
    <x v="21"/>
    <x v="0"/>
    <x v="3"/>
    <x v="2"/>
    <s v="2025-10-16"/>
    <s v="2025-10-27"/>
    <n v="11"/>
    <n v="18733.689999999999"/>
    <x v="0"/>
    <s v="Discharged"/>
    <x v="4"/>
    <x v="1"/>
  </r>
  <r>
    <x v="649"/>
    <x v="28"/>
    <x v="1"/>
    <x v="0"/>
    <x v="2"/>
    <s v="2025-07-02"/>
    <s v="2025-07-06"/>
    <n v="4"/>
    <n v="6520.17"/>
    <x v="0"/>
    <s v="Discharged"/>
    <x v="4"/>
    <x v="0"/>
  </r>
  <r>
    <x v="650"/>
    <x v="53"/>
    <x v="1"/>
    <x v="2"/>
    <x v="2"/>
    <s v="2025-04-13"/>
    <s v="2025-04-20"/>
    <n v="7"/>
    <n v="12142.8"/>
    <x v="0"/>
    <s v="Discharged"/>
    <x v="4"/>
    <x v="0"/>
  </r>
  <r>
    <x v="651"/>
    <x v="44"/>
    <x v="1"/>
    <x v="0"/>
    <x v="2"/>
    <s v="2025-02-18"/>
    <s v="2025-02-24"/>
    <n v="6"/>
    <n v="7307.73"/>
    <x v="0"/>
    <s v="Discharged"/>
    <x v="1"/>
    <x v="0"/>
  </r>
  <r>
    <x v="652"/>
    <x v="29"/>
    <x v="0"/>
    <x v="5"/>
    <x v="2"/>
    <s v="2025-02-06"/>
    <s v="2025-02-14"/>
    <n v="8"/>
    <n v="13147.38"/>
    <x v="0"/>
    <s v="Discharged"/>
    <x v="3"/>
    <x v="1"/>
  </r>
  <r>
    <x v="653"/>
    <x v="56"/>
    <x v="0"/>
    <x v="4"/>
    <x v="0"/>
    <s v="2025-10-10"/>
    <s v="2025-10-15"/>
    <n v="5"/>
    <n v="11668.27"/>
    <x v="0"/>
    <s v="Discharged"/>
    <x v="0"/>
    <x v="0"/>
  </r>
  <r>
    <x v="654"/>
    <x v="34"/>
    <x v="0"/>
    <x v="3"/>
    <x v="2"/>
    <s v="2025-08-19"/>
    <s v="2025-08-24"/>
    <n v="5"/>
    <n v="12124.9"/>
    <x v="0"/>
    <s v="Discharged"/>
    <x v="2"/>
    <x v="0"/>
  </r>
  <r>
    <x v="655"/>
    <x v="27"/>
    <x v="1"/>
    <x v="2"/>
    <x v="1"/>
    <s v="2025-06-20"/>
    <s v="2025-06-24"/>
    <n v="4"/>
    <n v="8406.39"/>
    <x v="1"/>
    <s v="Discharged"/>
    <x v="1"/>
    <x v="0"/>
  </r>
  <r>
    <x v="656"/>
    <x v="72"/>
    <x v="1"/>
    <x v="2"/>
    <x v="0"/>
    <s v="2025-10-20"/>
    <s v="2025-10-24"/>
    <n v="4"/>
    <n v="8999.18"/>
    <x v="0"/>
    <s v="Discharged"/>
    <x v="2"/>
    <x v="0"/>
  </r>
  <r>
    <x v="657"/>
    <x v="13"/>
    <x v="0"/>
    <x v="2"/>
    <x v="0"/>
    <s v="2025-08-10"/>
    <s v="2025-08-11"/>
    <n v="1"/>
    <n v="8528.31"/>
    <x v="0"/>
    <s v="Discharged"/>
    <x v="1"/>
    <x v="0"/>
  </r>
  <r>
    <x v="658"/>
    <x v="54"/>
    <x v="1"/>
    <x v="5"/>
    <x v="2"/>
    <s v="2025-09-27"/>
    <s v="2025-10-05"/>
    <n v="8"/>
    <n v="7894.82"/>
    <x v="0"/>
    <s v="Discharged"/>
    <x v="2"/>
    <x v="1"/>
  </r>
  <r>
    <x v="659"/>
    <x v="3"/>
    <x v="0"/>
    <x v="4"/>
    <x v="2"/>
    <s v="2025-08-02"/>
    <s v="2025-08-08"/>
    <n v="6"/>
    <n v="12133.29"/>
    <x v="0"/>
    <s v="Other"/>
    <x v="0"/>
    <x v="0"/>
  </r>
  <r>
    <x v="660"/>
    <x v="0"/>
    <x v="1"/>
    <x v="1"/>
    <x v="0"/>
    <s v="2025-10-14"/>
    <s v="2025-10-15"/>
    <n v="1"/>
    <n v="1871.15"/>
    <x v="0"/>
    <s v="Discharged"/>
    <x v="0"/>
    <x v="0"/>
  </r>
  <r>
    <x v="661"/>
    <x v="59"/>
    <x v="1"/>
    <x v="0"/>
    <x v="1"/>
    <s v="2025-02-10"/>
    <s v="2025-02-16"/>
    <n v="6"/>
    <n v="8365.1200000000008"/>
    <x v="0"/>
    <s v="Discharged"/>
    <x v="3"/>
    <x v="0"/>
  </r>
  <r>
    <x v="662"/>
    <x v="21"/>
    <x v="1"/>
    <x v="3"/>
    <x v="2"/>
    <s v="2025-03-01"/>
    <s v="2025-03-04"/>
    <n v="3"/>
    <n v="11115.68"/>
    <x v="1"/>
    <s v="Discharged"/>
    <x v="4"/>
    <x v="0"/>
  </r>
  <r>
    <x v="663"/>
    <x v="19"/>
    <x v="2"/>
    <x v="0"/>
    <x v="2"/>
    <s v="2025-02-19"/>
    <s v="2025-02-23"/>
    <n v="4"/>
    <n v="10072.34"/>
    <x v="0"/>
    <s v="Discharged"/>
    <x v="2"/>
    <x v="0"/>
  </r>
  <r>
    <x v="664"/>
    <x v="39"/>
    <x v="1"/>
    <x v="1"/>
    <x v="0"/>
    <s v="2025-09-19"/>
    <s v="2025-09-23"/>
    <n v="4"/>
    <n v="3463.74"/>
    <x v="0"/>
    <s v="Transferred"/>
    <x v="4"/>
    <x v="0"/>
  </r>
  <r>
    <x v="665"/>
    <x v="45"/>
    <x v="0"/>
    <x v="2"/>
    <x v="2"/>
    <s v="2025-06-16"/>
    <s v="2025-06-23"/>
    <n v="7"/>
    <n v="11837.94"/>
    <x v="1"/>
    <s v="Discharged"/>
    <x v="1"/>
    <x v="0"/>
  </r>
  <r>
    <x v="666"/>
    <x v="8"/>
    <x v="1"/>
    <x v="1"/>
    <x v="1"/>
    <s v="2025-08-02"/>
    <s v="2025-08-08"/>
    <n v="6"/>
    <n v="8587.8700000000008"/>
    <x v="0"/>
    <s v="Discharged"/>
    <x v="3"/>
    <x v="0"/>
  </r>
  <r>
    <x v="667"/>
    <x v="46"/>
    <x v="0"/>
    <x v="0"/>
    <x v="0"/>
    <s v="2025-11-12"/>
    <s v="2025-11-19"/>
    <n v="7"/>
    <n v="8294.66"/>
    <x v="0"/>
    <s v="Discharged"/>
    <x v="1"/>
    <x v="0"/>
  </r>
  <r>
    <x v="668"/>
    <x v="56"/>
    <x v="1"/>
    <x v="0"/>
    <x v="0"/>
    <s v="2025-03-24"/>
    <s v="2025-03-27"/>
    <n v="3"/>
    <n v="5040.3100000000004"/>
    <x v="0"/>
    <s v="Discharged"/>
    <x v="0"/>
    <x v="0"/>
  </r>
  <r>
    <x v="669"/>
    <x v="55"/>
    <x v="0"/>
    <x v="0"/>
    <x v="2"/>
    <s v="2025-02-20"/>
    <s v="2025-02-27"/>
    <n v="7"/>
    <n v="6657.82"/>
    <x v="0"/>
    <s v="Discharged"/>
    <x v="4"/>
    <x v="0"/>
  </r>
  <r>
    <x v="670"/>
    <x v="36"/>
    <x v="0"/>
    <x v="2"/>
    <x v="2"/>
    <s v="2025-08-16"/>
    <s v="2025-08-23"/>
    <n v="7"/>
    <n v="14858.12"/>
    <x v="0"/>
    <s v="Discharged"/>
    <x v="1"/>
    <x v="0"/>
  </r>
  <r>
    <x v="671"/>
    <x v="12"/>
    <x v="1"/>
    <x v="2"/>
    <x v="0"/>
    <s v="2025-06-04"/>
    <s v="2025-06-10"/>
    <n v="6"/>
    <n v="11752.5"/>
    <x v="1"/>
    <s v="Discharged"/>
    <x v="2"/>
    <x v="0"/>
  </r>
  <r>
    <x v="672"/>
    <x v="64"/>
    <x v="0"/>
    <x v="4"/>
    <x v="2"/>
    <s v="2025-12-02"/>
    <s v="2025-12-10"/>
    <n v="8"/>
    <n v="15607.97"/>
    <x v="0"/>
    <s v="Discharged"/>
    <x v="4"/>
    <x v="1"/>
  </r>
  <r>
    <x v="673"/>
    <x v="11"/>
    <x v="0"/>
    <x v="3"/>
    <x v="1"/>
    <s v="2025-12-09"/>
    <s v="2025-12-19"/>
    <n v="10"/>
    <n v="11676.09"/>
    <x v="0"/>
    <s v="Discharged"/>
    <x v="2"/>
    <x v="1"/>
  </r>
  <r>
    <x v="674"/>
    <x v="66"/>
    <x v="1"/>
    <x v="1"/>
    <x v="2"/>
    <s v="2025-02-24"/>
    <s v="2025-02-27"/>
    <n v="3"/>
    <n v="4135.8999999999996"/>
    <x v="0"/>
    <s v="Discharged"/>
    <x v="1"/>
    <x v="0"/>
  </r>
  <r>
    <x v="675"/>
    <x v="70"/>
    <x v="1"/>
    <x v="0"/>
    <x v="0"/>
    <s v="2025-06-04"/>
    <s v="2025-06-11"/>
    <n v="7"/>
    <n v="12410.54"/>
    <x v="0"/>
    <s v="Discharged"/>
    <x v="1"/>
    <x v="0"/>
  </r>
  <r>
    <x v="676"/>
    <x v="26"/>
    <x v="1"/>
    <x v="4"/>
    <x v="0"/>
    <s v="2025-03-26"/>
    <s v="2025-04-05"/>
    <n v="10"/>
    <n v="12906.74"/>
    <x v="0"/>
    <s v="Discharged"/>
    <x v="3"/>
    <x v="1"/>
  </r>
  <r>
    <x v="677"/>
    <x v="7"/>
    <x v="0"/>
    <x v="0"/>
    <x v="1"/>
    <s v="2025-06-15"/>
    <s v="2025-06-18"/>
    <n v="3"/>
    <n v="4861.78"/>
    <x v="0"/>
    <s v="Discharged"/>
    <x v="4"/>
    <x v="0"/>
  </r>
  <r>
    <x v="678"/>
    <x v="29"/>
    <x v="1"/>
    <x v="0"/>
    <x v="0"/>
    <s v="2025-07-09"/>
    <s v="2025-07-12"/>
    <n v="3"/>
    <n v="8261.74"/>
    <x v="0"/>
    <s v="Discharged"/>
    <x v="3"/>
    <x v="0"/>
  </r>
  <r>
    <x v="679"/>
    <x v="16"/>
    <x v="0"/>
    <x v="1"/>
    <x v="2"/>
    <s v="2025-12-22"/>
    <s v="2025-12-26"/>
    <n v="4"/>
    <n v="7243.61"/>
    <x v="0"/>
    <s v="Discharged"/>
    <x v="4"/>
    <x v="0"/>
  </r>
  <r>
    <x v="680"/>
    <x v="56"/>
    <x v="0"/>
    <x v="4"/>
    <x v="1"/>
    <s v="2025-08-22"/>
    <s v="2025-08-27"/>
    <n v="5"/>
    <n v="8787.42"/>
    <x v="0"/>
    <s v="Discharged"/>
    <x v="0"/>
    <x v="0"/>
  </r>
  <r>
    <x v="681"/>
    <x v="62"/>
    <x v="0"/>
    <x v="1"/>
    <x v="2"/>
    <s v="2025-09-02"/>
    <s v="2025-09-09"/>
    <n v="7"/>
    <n v="4772.95"/>
    <x v="0"/>
    <s v="Discharged"/>
    <x v="2"/>
    <x v="0"/>
  </r>
  <r>
    <x v="682"/>
    <x v="35"/>
    <x v="1"/>
    <x v="0"/>
    <x v="1"/>
    <s v="2025-12-23"/>
    <s v="2025-12-27"/>
    <n v="4"/>
    <n v="7179.03"/>
    <x v="0"/>
    <s v="Discharged"/>
    <x v="4"/>
    <x v="0"/>
  </r>
  <r>
    <x v="683"/>
    <x v="47"/>
    <x v="1"/>
    <x v="2"/>
    <x v="1"/>
    <s v="2025-05-07"/>
    <s v="2025-05-17"/>
    <n v="10"/>
    <n v="12821.89"/>
    <x v="0"/>
    <s v="Discharged"/>
    <x v="4"/>
    <x v="1"/>
  </r>
  <r>
    <x v="684"/>
    <x v="18"/>
    <x v="0"/>
    <x v="4"/>
    <x v="1"/>
    <s v="2025-12-29"/>
    <s v="2026-01-06"/>
    <n v="8"/>
    <n v="12748.52"/>
    <x v="1"/>
    <s v="Discharged"/>
    <x v="3"/>
    <x v="1"/>
  </r>
  <r>
    <x v="685"/>
    <x v="64"/>
    <x v="1"/>
    <x v="1"/>
    <x v="2"/>
    <s v="2025-11-17"/>
    <s v="2025-11-19"/>
    <n v="2"/>
    <n v="6365.09"/>
    <x v="0"/>
    <s v="Discharged"/>
    <x v="4"/>
    <x v="0"/>
  </r>
  <r>
    <x v="686"/>
    <x v="2"/>
    <x v="0"/>
    <x v="1"/>
    <x v="2"/>
    <s v="2025-11-28"/>
    <s v="2025-11-30"/>
    <n v="2"/>
    <n v="4712.12"/>
    <x v="0"/>
    <s v="Discharged"/>
    <x v="1"/>
    <x v="0"/>
  </r>
  <r>
    <x v="687"/>
    <x v="67"/>
    <x v="0"/>
    <x v="0"/>
    <x v="1"/>
    <s v="2025-02-20"/>
    <s v="2025-02-24"/>
    <n v="4"/>
    <n v="4802.3900000000003"/>
    <x v="0"/>
    <s v="Discharged"/>
    <x v="3"/>
    <x v="0"/>
  </r>
  <r>
    <x v="688"/>
    <x v="26"/>
    <x v="0"/>
    <x v="3"/>
    <x v="2"/>
    <s v="2025-09-21"/>
    <s v="2025-09-24"/>
    <n v="3"/>
    <n v="11010.98"/>
    <x v="0"/>
    <s v="Discharged"/>
    <x v="3"/>
    <x v="0"/>
  </r>
  <r>
    <x v="689"/>
    <x v="44"/>
    <x v="1"/>
    <x v="0"/>
    <x v="2"/>
    <s v="2025-05-23"/>
    <s v="2025-05-29"/>
    <n v="6"/>
    <n v="9049.16"/>
    <x v="0"/>
    <s v="Discharged"/>
    <x v="1"/>
    <x v="0"/>
  </r>
  <r>
    <x v="690"/>
    <x v="67"/>
    <x v="0"/>
    <x v="0"/>
    <x v="2"/>
    <s v="2025-09-20"/>
    <s v="2025-09-23"/>
    <n v="3"/>
    <n v="6913.44"/>
    <x v="1"/>
    <s v="Discharged"/>
    <x v="3"/>
    <x v="0"/>
  </r>
  <r>
    <x v="691"/>
    <x v="44"/>
    <x v="0"/>
    <x v="1"/>
    <x v="2"/>
    <s v="2025-07-17"/>
    <s v="2025-07-21"/>
    <n v="4"/>
    <n v="4580"/>
    <x v="0"/>
    <s v="Discharged"/>
    <x v="1"/>
    <x v="0"/>
  </r>
  <r>
    <x v="692"/>
    <x v="45"/>
    <x v="1"/>
    <x v="0"/>
    <x v="1"/>
    <s v="2025-07-10"/>
    <s v="2025-07-18"/>
    <n v="8"/>
    <n v="9101.56"/>
    <x v="0"/>
    <s v="Discharged"/>
    <x v="1"/>
    <x v="1"/>
  </r>
  <r>
    <x v="693"/>
    <x v="39"/>
    <x v="0"/>
    <x v="5"/>
    <x v="0"/>
    <s v="2025-10-30"/>
    <s v="2025-11-03"/>
    <n v="4"/>
    <n v="7807.28"/>
    <x v="1"/>
    <s v="Discharged"/>
    <x v="4"/>
    <x v="0"/>
  </r>
  <r>
    <x v="694"/>
    <x v="1"/>
    <x v="1"/>
    <x v="4"/>
    <x v="2"/>
    <s v="2025-12-10"/>
    <s v="2025-12-16"/>
    <n v="6"/>
    <n v="11945.8"/>
    <x v="0"/>
    <s v="Discharged"/>
    <x v="0"/>
    <x v="0"/>
  </r>
  <r>
    <x v="695"/>
    <x v="58"/>
    <x v="1"/>
    <x v="5"/>
    <x v="1"/>
    <s v="2025-03-16"/>
    <s v="2025-03-22"/>
    <n v="6"/>
    <n v="8905.9500000000007"/>
    <x v="0"/>
    <s v="Discharged"/>
    <x v="2"/>
    <x v="0"/>
  </r>
  <r>
    <x v="696"/>
    <x v="40"/>
    <x v="0"/>
    <x v="2"/>
    <x v="1"/>
    <s v="2025-10-31"/>
    <s v="2025-11-06"/>
    <n v="6"/>
    <n v="11110.36"/>
    <x v="0"/>
    <s v="Discharged"/>
    <x v="1"/>
    <x v="0"/>
  </r>
  <r>
    <x v="697"/>
    <x v="49"/>
    <x v="0"/>
    <x v="4"/>
    <x v="2"/>
    <s v="2025-09-16"/>
    <s v="2025-09-24"/>
    <n v="8"/>
    <n v="11323.05"/>
    <x v="0"/>
    <s v="Discharged"/>
    <x v="0"/>
    <x v="1"/>
  </r>
  <r>
    <x v="698"/>
    <x v="29"/>
    <x v="1"/>
    <x v="4"/>
    <x v="0"/>
    <s v="2025-06-17"/>
    <s v="2025-06-22"/>
    <n v="5"/>
    <n v="10062.92"/>
    <x v="0"/>
    <s v="Discharged"/>
    <x v="3"/>
    <x v="0"/>
  </r>
  <r>
    <x v="699"/>
    <x v="45"/>
    <x v="0"/>
    <x v="2"/>
    <x v="2"/>
    <s v="2025-06-28"/>
    <s v="2025-07-03"/>
    <n v="5"/>
    <n v="10538.02"/>
    <x v="0"/>
    <s v="Discharged"/>
    <x v="1"/>
    <x v="0"/>
  </r>
  <r>
    <x v="700"/>
    <x v="44"/>
    <x v="1"/>
    <x v="1"/>
    <x v="0"/>
    <s v="2025-03-10"/>
    <s v="2025-03-12"/>
    <n v="2"/>
    <n v="6780.34"/>
    <x v="0"/>
    <s v="Discharged"/>
    <x v="1"/>
    <x v="0"/>
  </r>
  <r>
    <x v="701"/>
    <x v="11"/>
    <x v="0"/>
    <x v="1"/>
    <x v="0"/>
    <s v="2025-06-27"/>
    <s v="2025-06-29"/>
    <n v="2"/>
    <n v="4784.6499999999996"/>
    <x v="0"/>
    <s v="Discharged"/>
    <x v="2"/>
    <x v="0"/>
  </r>
  <r>
    <x v="702"/>
    <x v="44"/>
    <x v="1"/>
    <x v="1"/>
    <x v="2"/>
    <s v="2025-03-25"/>
    <s v="2025-03-29"/>
    <n v="4"/>
    <n v="3907.25"/>
    <x v="0"/>
    <s v="Discharged"/>
    <x v="1"/>
    <x v="0"/>
  </r>
  <r>
    <x v="703"/>
    <x v="8"/>
    <x v="1"/>
    <x v="0"/>
    <x v="2"/>
    <s v="2025-05-01"/>
    <s v="2025-05-07"/>
    <n v="6"/>
    <n v="9423.91"/>
    <x v="0"/>
    <s v="Transferred"/>
    <x v="3"/>
    <x v="0"/>
  </r>
  <r>
    <x v="704"/>
    <x v="48"/>
    <x v="1"/>
    <x v="3"/>
    <x v="2"/>
    <s v="2025-11-10"/>
    <s v="2025-11-21"/>
    <n v="11"/>
    <n v="16956.09"/>
    <x v="0"/>
    <s v="Discharged"/>
    <x v="0"/>
    <x v="1"/>
  </r>
  <r>
    <x v="705"/>
    <x v="44"/>
    <x v="0"/>
    <x v="5"/>
    <x v="2"/>
    <s v="2025-08-23"/>
    <s v="2025-08-27"/>
    <n v="4"/>
    <n v="7989.35"/>
    <x v="0"/>
    <s v="Discharged"/>
    <x v="1"/>
    <x v="0"/>
  </r>
  <r>
    <x v="706"/>
    <x v="26"/>
    <x v="0"/>
    <x v="4"/>
    <x v="1"/>
    <s v="2025-12-12"/>
    <s v="2025-12-22"/>
    <n v="10"/>
    <n v="15328.76"/>
    <x v="0"/>
    <s v="Discharged"/>
    <x v="3"/>
    <x v="1"/>
  </r>
  <r>
    <x v="707"/>
    <x v="5"/>
    <x v="0"/>
    <x v="1"/>
    <x v="1"/>
    <s v="2025-07-05"/>
    <s v="2025-07-12"/>
    <n v="7"/>
    <n v="7963.05"/>
    <x v="0"/>
    <s v="Discharged"/>
    <x v="0"/>
    <x v="0"/>
  </r>
  <r>
    <x v="708"/>
    <x v="58"/>
    <x v="0"/>
    <x v="5"/>
    <x v="0"/>
    <s v="2025-03-21"/>
    <s v="2025-03-29"/>
    <n v="8"/>
    <n v="11606.73"/>
    <x v="0"/>
    <s v="Discharged"/>
    <x v="2"/>
    <x v="1"/>
  </r>
  <r>
    <x v="709"/>
    <x v="16"/>
    <x v="0"/>
    <x v="5"/>
    <x v="2"/>
    <s v="2025-03-07"/>
    <s v="2025-03-10"/>
    <n v="3"/>
    <n v="8367.23"/>
    <x v="0"/>
    <s v="Discharged"/>
    <x v="4"/>
    <x v="0"/>
  </r>
  <r>
    <x v="710"/>
    <x v="72"/>
    <x v="0"/>
    <x v="1"/>
    <x v="0"/>
    <s v="2025-07-25"/>
    <s v="2025-07-29"/>
    <n v="4"/>
    <n v="5260.63"/>
    <x v="0"/>
    <s v="Transferred"/>
    <x v="2"/>
    <x v="0"/>
  </r>
  <r>
    <x v="711"/>
    <x v="54"/>
    <x v="1"/>
    <x v="0"/>
    <x v="0"/>
    <s v="2025-03-19"/>
    <s v="2025-03-22"/>
    <n v="3"/>
    <n v="5373.25"/>
    <x v="0"/>
    <s v="Discharged"/>
    <x v="2"/>
    <x v="0"/>
  </r>
  <r>
    <x v="712"/>
    <x v="60"/>
    <x v="1"/>
    <x v="0"/>
    <x v="1"/>
    <s v="2025-09-11"/>
    <s v="2025-09-19"/>
    <n v="8"/>
    <n v="7336.37"/>
    <x v="0"/>
    <s v="Discharged"/>
    <x v="3"/>
    <x v="1"/>
  </r>
  <r>
    <x v="713"/>
    <x v="20"/>
    <x v="1"/>
    <x v="0"/>
    <x v="0"/>
    <s v="2025-11-18"/>
    <s v="2025-11-22"/>
    <n v="4"/>
    <n v="6007.12"/>
    <x v="0"/>
    <s v="Discharged"/>
    <x v="0"/>
    <x v="0"/>
  </r>
  <r>
    <x v="714"/>
    <x v="35"/>
    <x v="0"/>
    <x v="0"/>
    <x v="0"/>
    <s v="2025-08-29"/>
    <s v="2025-08-30"/>
    <n v="1"/>
    <n v="5481.41"/>
    <x v="0"/>
    <s v="Discharged"/>
    <x v="4"/>
    <x v="0"/>
  </r>
  <r>
    <x v="715"/>
    <x v="8"/>
    <x v="1"/>
    <x v="5"/>
    <x v="2"/>
    <s v="2025-12-29"/>
    <s v="2026-01-02"/>
    <n v="4"/>
    <n v="8160.06"/>
    <x v="0"/>
    <s v="Discharged"/>
    <x v="3"/>
    <x v="0"/>
  </r>
  <r>
    <x v="716"/>
    <x v="43"/>
    <x v="1"/>
    <x v="1"/>
    <x v="0"/>
    <s v="2025-04-08"/>
    <s v="2025-04-15"/>
    <n v="7"/>
    <n v="8337.7000000000007"/>
    <x v="0"/>
    <s v="Discharged"/>
    <x v="2"/>
    <x v="0"/>
  </r>
  <r>
    <x v="717"/>
    <x v="17"/>
    <x v="1"/>
    <x v="0"/>
    <x v="1"/>
    <s v="2025-09-09"/>
    <s v="2025-09-12"/>
    <n v="3"/>
    <n v="7146.77"/>
    <x v="0"/>
    <s v="Discharged"/>
    <x v="2"/>
    <x v="0"/>
  </r>
  <r>
    <x v="718"/>
    <x v="0"/>
    <x v="1"/>
    <x v="1"/>
    <x v="1"/>
    <s v="2025-10-30"/>
    <s v="2025-11-02"/>
    <n v="3"/>
    <n v="6520.9"/>
    <x v="0"/>
    <s v="Discharged"/>
    <x v="0"/>
    <x v="0"/>
  </r>
  <r>
    <x v="719"/>
    <x v="53"/>
    <x v="0"/>
    <x v="2"/>
    <x v="0"/>
    <s v="2025-09-29"/>
    <s v="2025-10-02"/>
    <n v="3"/>
    <n v="11731.33"/>
    <x v="0"/>
    <s v="Discharged"/>
    <x v="4"/>
    <x v="0"/>
  </r>
  <r>
    <x v="720"/>
    <x v="32"/>
    <x v="1"/>
    <x v="5"/>
    <x v="2"/>
    <s v="2025-11-30"/>
    <s v="2025-12-05"/>
    <n v="5"/>
    <n v="7438.44"/>
    <x v="0"/>
    <s v="Discharged"/>
    <x v="3"/>
    <x v="0"/>
  </r>
  <r>
    <x v="721"/>
    <x v="40"/>
    <x v="0"/>
    <x v="5"/>
    <x v="1"/>
    <s v="2025-02-11"/>
    <s v="2025-02-16"/>
    <n v="5"/>
    <n v="11183.33"/>
    <x v="0"/>
    <s v="Discharged"/>
    <x v="1"/>
    <x v="0"/>
  </r>
  <r>
    <x v="722"/>
    <x v="14"/>
    <x v="0"/>
    <x v="3"/>
    <x v="2"/>
    <s v="2025-07-10"/>
    <s v="2025-07-15"/>
    <n v="5"/>
    <n v="11290.74"/>
    <x v="0"/>
    <s v="Discharged"/>
    <x v="0"/>
    <x v="0"/>
  </r>
  <r>
    <x v="723"/>
    <x v="2"/>
    <x v="0"/>
    <x v="0"/>
    <x v="2"/>
    <s v="2025-01-27"/>
    <s v="2025-01-29"/>
    <n v="2"/>
    <n v="3931.07"/>
    <x v="0"/>
    <s v="Discharged"/>
    <x v="1"/>
    <x v="0"/>
  </r>
  <r>
    <x v="724"/>
    <x v="4"/>
    <x v="1"/>
    <x v="1"/>
    <x v="2"/>
    <s v="2025-05-18"/>
    <s v="2025-05-25"/>
    <n v="7"/>
    <n v="6176.28"/>
    <x v="1"/>
    <s v="Discharged"/>
    <x v="2"/>
    <x v="0"/>
  </r>
  <r>
    <x v="725"/>
    <x v="11"/>
    <x v="1"/>
    <x v="4"/>
    <x v="1"/>
    <s v="2025-04-17"/>
    <s v="2025-04-28"/>
    <n v="11"/>
    <n v="14590.96"/>
    <x v="1"/>
    <s v="Discharged"/>
    <x v="2"/>
    <x v="1"/>
  </r>
  <r>
    <x v="726"/>
    <x v="54"/>
    <x v="0"/>
    <x v="1"/>
    <x v="2"/>
    <s v="2025-03-04"/>
    <s v="2025-03-08"/>
    <n v="4"/>
    <n v="5932.86"/>
    <x v="0"/>
    <s v="Discharged"/>
    <x v="2"/>
    <x v="0"/>
  </r>
  <r>
    <x v="727"/>
    <x v="63"/>
    <x v="0"/>
    <x v="2"/>
    <x v="1"/>
    <s v="2025-01-29"/>
    <s v="2025-02-05"/>
    <n v="7"/>
    <n v="13445.38"/>
    <x v="1"/>
    <s v="Discharged"/>
    <x v="3"/>
    <x v="0"/>
  </r>
  <r>
    <x v="728"/>
    <x v="20"/>
    <x v="1"/>
    <x v="0"/>
    <x v="0"/>
    <s v="2025-03-14"/>
    <s v="2025-03-21"/>
    <n v="7"/>
    <n v="9354.76"/>
    <x v="0"/>
    <s v="Discharged"/>
    <x v="0"/>
    <x v="0"/>
  </r>
  <r>
    <x v="729"/>
    <x v="46"/>
    <x v="1"/>
    <x v="3"/>
    <x v="2"/>
    <s v="2025-05-20"/>
    <s v="2025-05-28"/>
    <n v="8"/>
    <n v="15569.07"/>
    <x v="0"/>
    <s v="Discharged"/>
    <x v="1"/>
    <x v="1"/>
  </r>
  <r>
    <x v="730"/>
    <x v="48"/>
    <x v="1"/>
    <x v="3"/>
    <x v="1"/>
    <s v="2025-08-30"/>
    <s v="2025-09-04"/>
    <n v="5"/>
    <n v="13814.81"/>
    <x v="0"/>
    <s v="Discharged"/>
    <x v="0"/>
    <x v="0"/>
  </r>
  <r>
    <x v="731"/>
    <x v="32"/>
    <x v="1"/>
    <x v="0"/>
    <x v="0"/>
    <s v="2025-09-12"/>
    <s v="2025-09-18"/>
    <n v="6"/>
    <n v="8067.53"/>
    <x v="1"/>
    <s v="Discharged"/>
    <x v="3"/>
    <x v="0"/>
  </r>
  <r>
    <x v="732"/>
    <x v="8"/>
    <x v="1"/>
    <x v="1"/>
    <x v="2"/>
    <s v="2025-10-05"/>
    <s v="2025-10-12"/>
    <n v="7"/>
    <n v="6313.79"/>
    <x v="0"/>
    <s v="Discharged"/>
    <x v="3"/>
    <x v="0"/>
  </r>
  <r>
    <x v="733"/>
    <x v="52"/>
    <x v="1"/>
    <x v="5"/>
    <x v="0"/>
    <s v="2025-07-23"/>
    <s v="2025-07-29"/>
    <n v="6"/>
    <n v="10822.42"/>
    <x v="1"/>
    <s v="Discharged"/>
    <x v="4"/>
    <x v="0"/>
  </r>
  <r>
    <x v="734"/>
    <x v="0"/>
    <x v="1"/>
    <x v="2"/>
    <x v="2"/>
    <s v="2025-01-29"/>
    <s v="2025-02-01"/>
    <n v="3"/>
    <n v="10750.82"/>
    <x v="0"/>
    <s v="Discharged"/>
    <x v="0"/>
    <x v="0"/>
  </r>
  <r>
    <x v="735"/>
    <x v="8"/>
    <x v="1"/>
    <x v="4"/>
    <x v="2"/>
    <s v="2025-01-19"/>
    <s v="2025-01-24"/>
    <n v="5"/>
    <n v="11284.65"/>
    <x v="0"/>
    <s v="Discharged"/>
    <x v="3"/>
    <x v="0"/>
  </r>
  <r>
    <x v="736"/>
    <x v="67"/>
    <x v="2"/>
    <x v="4"/>
    <x v="1"/>
    <s v="2025-09-15"/>
    <s v="2025-09-22"/>
    <n v="7"/>
    <n v="10400.9"/>
    <x v="0"/>
    <s v="Transferred"/>
    <x v="3"/>
    <x v="0"/>
  </r>
  <r>
    <x v="737"/>
    <x v="57"/>
    <x v="0"/>
    <x v="5"/>
    <x v="2"/>
    <s v="2025-11-05"/>
    <s v="2025-11-14"/>
    <n v="9"/>
    <n v="12533.24"/>
    <x v="0"/>
    <s v="Discharged"/>
    <x v="3"/>
    <x v="1"/>
  </r>
  <r>
    <x v="738"/>
    <x v="13"/>
    <x v="1"/>
    <x v="3"/>
    <x v="0"/>
    <s v="2025-01-18"/>
    <s v="2025-01-24"/>
    <n v="6"/>
    <n v="10875.77"/>
    <x v="0"/>
    <s v="Discharged"/>
    <x v="1"/>
    <x v="0"/>
  </r>
  <r>
    <x v="739"/>
    <x v="22"/>
    <x v="0"/>
    <x v="2"/>
    <x v="1"/>
    <s v="2025-08-29"/>
    <s v="2025-09-09"/>
    <n v="11"/>
    <n v="13611.38"/>
    <x v="0"/>
    <s v="Discharged"/>
    <x v="3"/>
    <x v="1"/>
  </r>
  <r>
    <x v="740"/>
    <x v="26"/>
    <x v="0"/>
    <x v="1"/>
    <x v="0"/>
    <s v="2025-12-21"/>
    <s v="2025-12-27"/>
    <n v="6"/>
    <n v="8159.04"/>
    <x v="0"/>
    <s v="Discharged"/>
    <x v="3"/>
    <x v="0"/>
  </r>
  <r>
    <x v="741"/>
    <x v="23"/>
    <x v="0"/>
    <x v="1"/>
    <x v="0"/>
    <s v="2025-04-24"/>
    <s v="2025-05-01"/>
    <n v="7"/>
    <n v="8234.8700000000008"/>
    <x v="0"/>
    <s v="Discharged"/>
    <x v="3"/>
    <x v="0"/>
  </r>
  <r>
    <x v="742"/>
    <x v="56"/>
    <x v="1"/>
    <x v="1"/>
    <x v="0"/>
    <s v="2025-10-22"/>
    <s v="2025-10-24"/>
    <n v="2"/>
    <n v="3156.88"/>
    <x v="0"/>
    <s v="Discharged"/>
    <x v="0"/>
    <x v="0"/>
  </r>
  <r>
    <x v="743"/>
    <x v="51"/>
    <x v="1"/>
    <x v="1"/>
    <x v="2"/>
    <s v="2025-05-15"/>
    <s v="2025-05-20"/>
    <n v="5"/>
    <n v="5121.2299999999996"/>
    <x v="0"/>
    <s v="Discharged"/>
    <x v="1"/>
    <x v="0"/>
  </r>
  <r>
    <x v="744"/>
    <x v="32"/>
    <x v="1"/>
    <x v="4"/>
    <x v="2"/>
    <s v="2025-08-26"/>
    <s v="2025-08-29"/>
    <n v="3"/>
    <n v="11414.72"/>
    <x v="1"/>
    <s v="Discharged"/>
    <x v="3"/>
    <x v="0"/>
  </r>
  <r>
    <x v="745"/>
    <x v="45"/>
    <x v="0"/>
    <x v="1"/>
    <x v="0"/>
    <s v="2025-08-19"/>
    <s v="2025-08-23"/>
    <n v="4"/>
    <n v="6044.62"/>
    <x v="0"/>
    <s v="Discharged"/>
    <x v="1"/>
    <x v="0"/>
  </r>
  <r>
    <x v="746"/>
    <x v="70"/>
    <x v="0"/>
    <x v="1"/>
    <x v="2"/>
    <s v="2025-10-23"/>
    <s v="2025-10-26"/>
    <n v="3"/>
    <n v="6170.64"/>
    <x v="0"/>
    <s v="Discharged"/>
    <x v="1"/>
    <x v="0"/>
  </r>
  <r>
    <x v="747"/>
    <x v="39"/>
    <x v="1"/>
    <x v="3"/>
    <x v="2"/>
    <s v="2025-03-21"/>
    <s v="2025-03-30"/>
    <n v="9"/>
    <n v="13675.99"/>
    <x v="0"/>
    <s v="Discharged"/>
    <x v="4"/>
    <x v="1"/>
  </r>
  <r>
    <x v="748"/>
    <x v="12"/>
    <x v="0"/>
    <x v="4"/>
    <x v="2"/>
    <s v="2025-02-26"/>
    <s v="2025-03-04"/>
    <n v="6"/>
    <n v="8666.35"/>
    <x v="0"/>
    <s v="Transferred"/>
    <x v="2"/>
    <x v="0"/>
  </r>
  <r>
    <x v="749"/>
    <x v="22"/>
    <x v="1"/>
    <x v="2"/>
    <x v="2"/>
    <s v="2025-06-14"/>
    <s v="2025-06-21"/>
    <n v="7"/>
    <n v="10847.94"/>
    <x v="0"/>
    <s v="Discharged"/>
    <x v="3"/>
    <x v="0"/>
  </r>
  <r>
    <x v="750"/>
    <x v="1"/>
    <x v="1"/>
    <x v="0"/>
    <x v="1"/>
    <s v="2025-10-09"/>
    <s v="2025-10-17"/>
    <n v="8"/>
    <n v="6922.53"/>
    <x v="1"/>
    <s v="Discharged"/>
    <x v="0"/>
    <x v="1"/>
  </r>
  <r>
    <x v="751"/>
    <x v="70"/>
    <x v="1"/>
    <x v="2"/>
    <x v="2"/>
    <s v="2025-06-16"/>
    <s v="2025-06-26"/>
    <n v="10"/>
    <n v="14768.8"/>
    <x v="0"/>
    <s v="Discharged"/>
    <x v="1"/>
    <x v="1"/>
  </r>
  <r>
    <x v="752"/>
    <x v="33"/>
    <x v="1"/>
    <x v="3"/>
    <x v="2"/>
    <s v="2025-12-28"/>
    <s v="2026-01-02"/>
    <n v="5"/>
    <n v="13376.76"/>
    <x v="0"/>
    <s v="Discharged"/>
    <x v="2"/>
    <x v="0"/>
  </r>
  <r>
    <x v="753"/>
    <x v="1"/>
    <x v="0"/>
    <x v="0"/>
    <x v="1"/>
    <s v="2025-09-01"/>
    <s v="2025-09-05"/>
    <n v="4"/>
    <n v="4885.49"/>
    <x v="0"/>
    <s v="Discharged"/>
    <x v="0"/>
    <x v="0"/>
  </r>
  <r>
    <x v="754"/>
    <x v="52"/>
    <x v="0"/>
    <x v="0"/>
    <x v="1"/>
    <s v="2025-06-28"/>
    <s v="2025-06-29"/>
    <n v="1"/>
    <n v="6232.65"/>
    <x v="1"/>
    <s v="Discharged"/>
    <x v="4"/>
    <x v="0"/>
  </r>
  <r>
    <x v="755"/>
    <x v="28"/>
    <x v="0"/>
    <x v="0"/>
    <x v="1"/>
    <s v="2025-10-22"/>
    <s v="2025-10-26"/>
    <n v="4"/>
    <n v="4681.92"/>
    <x v="0"/>
    <s v="Other"/>
    <x v="4"/>
    <x v="0"/>
  </r>
  <r>
    <x v="756"/>
    <x v="49"/>
    <x v="1"/>
    <x v="5"/>
    <x v="1"/>
    <s v="2025-06-02"/>
    <s v="2025-06-09"/>
    <n v="7"/>
    <n v="10974.66"/>
    <x v="0"/>
    <s v="Discharged"/>
    <x v="0"/>
    <x v="0"/>
  </r>
  <r>
    <x v="757"/>
    <x v="4"/>
    <x v="1"/>
    <x v="5"/>
    <x v="0"/>
    <s v="2025-09-24"/>
    <s v="2025-10-03"/>
    <n v="9"/>
    <n v="13391.44"/>
    <x v="1"/>
    <s v="Discharged"/>
    <x v="2"/>
    <x v="1"/>
  </r>
  <r>
    <x v="758"/>
    <x v="69"/>
    <x v="1"/>
    <x v="3"/>
    <x v="2"/>
    <s v="2025-08-06"/>
    <s v="2025-08-14"/>
    <n v="8"/>
    <n v="12835.09"/>
    <x v="0"/>
    <s v="Discharged"/>
    <x v="3"/>
    <x v="1"/>
  </r>
  <r>
    <x v="759"/>
    <x v="72"/>
    <x v="1"/>
    <x v="1"/>
    <x v="1"/>
    <s v="2025-02-24"/>
    <s v="2025-02-26"/>
    <n v="2"/>
    <n v="3758.37"/>
    <x v="0"/>
    <s v="Discharged"/>
    <x v="2"/>
    <x v="0"/>
  </r>
  <r>
    <x v="760"/>
    <x v="36"/>
    <x v="0"/>
    <x v="5"/>
    <x v="2"/>
    <s v="2025-03-19"/>
    <s v="2025-03-23"/>
    <n v="4"/>
    <n v="10951.12"/>
    <x v="0"/>
    <s v="Discharged"/>
    <x v="1"/>
    <x v="0"/>
  </r>
  <r>
    <x v="761"/>
    <x v="54"/>
    <x v="0"/>
    <x v="0"/>
    <x v="2"/>
    <s v="2025-10-21"/>
    <s v="2025-10-25"/>
    <n v="4"/>
    <n v="4817.28"/>
    <x v="0"/>
    <s v="Discharged"/>
    <x v="2"/>
    <x v="0"/>
  </r>
  <r>
    <x v="762"/>
    <x v="27"/>
    <x v="0"/>
    <x v="0"/>
    <x v="0"/>
    <s v="2025-12-16"/>
    <s v="2025-12-19"/>
    <n v="3"/>
    <n v="6366.59"/>
    <x v="0"/>
    <s v="Discharged"/>
    <x v="1"/>
    <x v="0"/>
  </r>
  <r>
    <x v="763"/>
    <x v="15"/>
    <x v="2"/>
    <x v="3"/>
    <x v="0"/>
    <s v="2025-05-08"/>
    <s v="2025-05-13"/>
    <n v="5"/>
    <n v="12852.57"/>
    <x v="0"/>
    <s v="Discharged"/>
    <x v="1"/>
    <x v="0"/>
  </r>
  <r>
    <x v="764"/>
    <x v="23"/>
    <x v="0"/>
    <x v="0"/>
    <x v="0"/>
    <s v="2025-11-10"/>
    <s v="2025-11-19"/>
    <n v="9"/>
    <n v="10818.82"/>
    <x v="1"/>
    <s v="Discharged"/>
    <x v="3"/>
    <x v="1"/>
  </r>
  <r>
    <x v="765"/>
    <x v="12"/>
    <x v="0"/>
    <x v="1"/>
    <x v="0"/>
    <s v="2025-05-22"/>
    <s v="2025-05-27"/>
    <n v="5"/>
    <n v="4585.6899999999996"/>
    <x v="0"/>
    <s v="Discharged"/>
    <x v="2"/>
    <x v="0"/>
  </r>
  <r>
    <x v="766"/>
    <x v="59"/>
    <x v="0"/>
    <x v="2"/>
    <x v="0"/>
    <s v="2025-11-14"/>
    <s v="2025-11-23"/>
    <n v="9"/>
    <n v="12444.34"/>
    <x v="0"/>
    <s v="Discharged"/>
    <x v="3"/>
    <x v="1"/>
  </r>
  <r>
    <x v="767"/>
    <x v="56"/>
    <x v="0"/>
    <x v="3"/>
    <x v="2"/>
    <s v="2025-11-23"/>
    <s v="2025-11-27"/>
    <n v="4"/>
    <n v="12217.88"/>
    <x v="0"/>
    <s v="Discharged"/>
    <x v="0"/>
    <x v="0"/>
  </r>
  <r>
    <x v="768"/>
    <x v="57"/>
    <x v="1"/>
    <x v="2"/>
    <x v="1"/>
    <s v="2025-06-08"/>
    <s v="2025-06-13"/>
    <n v="5"/>
    <n v="10812.92"/>
    <x v="0"/>
    <s v="Discharged"/>
    <x v="3"/>
    <x v="0"/>
  </r>
  <r>
    <x v="769"/>
    <x v="4"/>
    <x v="1"/>
    <x v="3"/>
    <x v="2"/>
    <s v="2025-03-12"/>
    <s v="2025-03-23"/>
    <n v="11"/>
    <n v="14145.76"/>
    <x v="0"/>
    <s v="Discharged"/>
    <x v="2"/>
    <x v="1"/>
  </r>
  <r>
    <x v="770"/>
    <x v="54"/>
    <x v="0"/>
    <x v="0"/>
    <x v="2"/>
    <s v="2025-11-20"/>
    <s v="2025-11-25"/>
    <n v="5"/>
    <n v="6719.23"/>
    <x v="0"/>
    <s v="Discharged"/>
    <x v="2"/>
    <x v="0"/>
  </r>
  <r>
    <x v="771"/>
    <x v="49"/>
    <x v="1"/>
    <x v="1"/>
    <x v="2"/>
    <s v="2025-08-17"/>
    <s v="2025-08-20"/>
    <n v="3"/>
    <n v="3512.27"/>
    <x v="0"/>
    <s v="Discharged"/>
    <x v="0"/>
    <x v="0"/>
  </r>
  <r>
    <x v="772"/>
    <x v="13"/>
    <x v="0"/>
    <x v="0"/>
    <x v="2"/>
    <s v="2025-06-18"/>
    <s v="2025-06-19"/>
    <n v="1"/>
    <n v="3500.7"/>
    <x v="0"/>
    <s v="Discharged"/>
    <x v="1"/>
    <x v="0"/>
  </r>
  <r>
    <x v="773"/>
    <x v="26"/>
    <x v="0"/>
    <x v="5"/>
    <x v="2"/>
    <s v="2025-01-28"/>
    <s v="2025-02-06"/>
    <n v="9"/>
    <n v="11713.96"/>
    <x v="0"/>
    <s v="Other"/>
    <x v="3"/>
    <x v="1"/>
  </r>
  <r>
    <x v="774"/>
    <x v="70"/>
    <x v="1"/>
    <x v="4"/>
    <x v="0"/>
    <s v="2025-04-13"/>
    <s v="2025-04-19"/>
    <n v="6"/>
    <n v="10200.219999999999"/>
    <x v="0"/>
    <s v="Discharged"/>
    <x v="1"/>
    <x v="0"/>
  </r>
  <r>
    <x v="775"/>
    <x v="51"/>
    <x v="0"/>
    <x v="5"/>
    <x v="2"/>
    <s v="2025-06-02"/>
    <s v="2025-06-08"/>
    <n v="6"/>
    <n v="11679.24"/>
    <x v="0"/>
    <s v="Discharged"/>
    <x v="1"/>
    <x v="0"/>
  </r>
  <r>
    <x v="776"/>
    <x v="64"/>
    <x v="1"/>
    <x v="4"/>
    <x v="0"/>
    <s v="2025-10-03"/>
    <s v="2025-10-09"/>
    <n v="6"/>
    <n v="12027.18"/>
    <x v="0"/>
    <s v="Discharged"/>
    <x v="4"/>
    <x v="0"/>
  </r>
  <r>
    <x v="777"/>
    <x v="43"/>
    <x v="0"/>
    <x v="1"/>
    <x v="2"/>
    <s v="2025-07-20"/>
    <s v="2025-07-28"/>
    <n v="8"/>
    <n v="7079.09"/>
    <x v="0"/>
    <s v="Discharged"/>
    <x v="2"/>
    <x v="1"/>
  </r>
  <r>
    <x v="778"/>
    <x v="63"/>
    <x v="1"/>
    <x v="0"/>
    <x v="2"/>
    <s v="2025-10-07"/>
    <s v="2025-10-13"/>
    <n v="6"/>
    <n v="8347.2099999999991"/>
    <x v="0"/>
    <s v="Discharged"/>
    <x v="3"/>
    <x v="0"/>
  </r>
  <r>
    <x v="779"/>
    <x v="26"/>
    <x v="0"/>
    <x v="4"/>
    <x v="2"/>
    <s v="2025-07-30"/>
    <s v="2025-08-07"/>
    <n v="8"/>
    <n v="14097.72"/>
    <x v="0"/>
    <s v="Discharged"/>
    <x v="3"/>
    <x v="1"/>
  </r>
  <r>
    <x v="780"/>
    <x v="24"/>
    <x v="0"/>
    <x v="2"/>
    <x v="0"/>
    <s v="2025-10-27"/>
    <s v="2025-11-04"/>
    <n v="8"/>
    <n v="13686.78"/>
    <x v="0"/>
    <s v="Discharged"/>
    <x v="2"/>
    <x v="1"/>
  </r>
  <r>
    <x v="781"/>
    <x v="3"/>
    <x v="0"/>
    <x v="1"/>
    <x v="2"/>
    <s v="2025-09-20"/>
    <s v="2025-09-24"/>
    <n v="4"/>
    <n v="5793.22"/>
    <x v="0"/>
    <s v="Discharged"/>
    <x v="0"/>
    <x v="0"/>
  </r>
  <r>
    <x v="782"/>
    <x v="67"/>
    <x v="0"/>
    <x v="0"/>
    <x v="2"/>
    <s v="2025-06-21"/>
    <m/>
    <n v="8"/>
    <n v="11705.22"/>
    <x v="1"/>
    <s v="Discharged"/>
    <x v="3"/>
    <x v="1"/>
  </r>
  <r>
    <x v="783"/>
    <x v="47"/>
    <x v="0"/>
    <x v="2"/>
    <x v="2"/>
    <s v="2025-11-18"/>
    <s v="2025-11-23"/>
    <n v="5"/>
    <n v="9018.08"/>
    <x v="0"/>
    <s v="Discharged"/>
    <x v="4"/>
    <x v="0"/>
  </r>
  <r>
    <x v="784"/>
    <x v="5"/>
    <x v="1"/>
    <x v="1"/>
    <x v="2"/>
    <s v="2025-04-18"/>
    <s v="2025-04-22"/>
    <n v="4"/>
    <n v="6808.29"/>
    <x v="0"/>
    <s v="Transferred"/>
    <x v="0"/>
    <x v="0"/>
  </r>
  <r>
    <x v="785"/>
    <x v="11"/>
    <x v="1"/>
    <x v="2"/>
    <x v="2"/>
    <s v="2025-10-12"/>
    <s v="2025-10-20"/>
    <n v="8"/>
    <n v="13346.3"/>
    <x v="0"/>
    <s v="Discharged"/>
    <x v="2"/>
    <x v="1"/>
  </r>
  <r>
    <x v="786"/>
    <x v="26"/>
    <x v="1"/>
    <x v="2"/>
    <x v="0"/>
    <s v="2025-02-03"/>
    <s v="2025-02-09"/>
    <n v="6"/>
    <n v="12700.21"/>
    <x v="0"/>
    <s v="Discharged"/>
    <x v="3"/>
    <x v="0"/>
  </r>
  <r>
    <x v="787"/>
    <x v="67"/>
    <x v="0"/>
    <x v="1"/>
    <x v="2"/>
    <s v="2025-01-07"/>
    <s v="2025-01-08"/>
    <n v="1"/>
    <n v="4603.9399999999996"/>
    <x v="0"/>
    <s v="Discharged"/>
    <x v="3"/>
    <x v="0"/>
  </r>
  <r>
    <x v="788"/>
    <x v="4"/>
    <x v="1"/>
    <x v="4"/>
    <x v="0"/>
    <s v="2025-03-24"/>
    <s v="2025-04-01"/>
    <n v="8"/>
    <n v="12013.56"/>
    <x v="0"/>
    <s v="Discharged"/>
    <x v="2"/>
    <x v="1"/>
  </r>
  <r>
    <x v="789"/>
    <x v="51"/>
    <x v="0"/>
    <x v="5"/>
    <x v="2"/>
    <s v="2025-05-26"/>
    <s v="2025-06-01"/>
    <n v="6"/>
    <n v="9559.4500000000007"/>
    <x v="0"/>
    <s v="Discharged"/>
    <x v="1"/>
    <x v="0"/>
  </r>
  <r>
    <x v="790"/>
    <x v="3"/>
    <x v="1"/>
    <x v="4"/>
    <x v="0"/>
    <s v="2025-08-15"/>
    <s v="2025-08-22"/>
    <n v="7"/>
    <n v="12526.4"/>
    <x v="0"/>
    <s v="Discharged"/>
    <x v="0"/>
    <x v="0"/>
  </r>
  <r>
    <x v="791"/>
    <x v="72"/>
    <x v="0"/>
    <x v="0"/>
    <x v="1"/>
    <s v="2025-07-12"/>
    <s v="2025-07-17"/>
    <n v="5"/>
    <n v="8565.6200000000008"/>
    <x v="0"/>
    <s v="Discharged"/>
    <x v="2"/>
    <x v="0"/>
  </r>
  <r>
    <x v="792"/>
    <x v="55"/>
    <x v="1"/>
    <x v="1"/>
    <x v="0"/>
    <s v="2025-08-06"/>
    <s v="2025-08-10"/>
    <n v="4"/>
    <n v="4742.7"/>
    <x v="1"/>
    <s v="Discharged"/>
    <x v="4"/>
    <x v="0"/>
  </r>
  <r>
    <x v="793"/>
    <x v="27"/>
    <x v="1"/>
    <x v="1"/>
    <x v="1"/>
    <s v="2025-08-30"/>
    <s v="2025-09-06"/>
    <n v="7"/>
    <n v="6638.22"/>
    <x v="1"/>
    <s v="Discharged"/>
    <x v="1"/>
    <x v="0"/>
  </r>
  <r>
    <x v="794"/>
    <x v="20"/>
    <x v="0"/>
    <x v="0"/>
    <x v="2"/>
    <s v="2025-09-10"/>
    <s v="2025-09-13"/>
    <n v="3"/>
    <n v="6014.57"/>
    <x v="0"/>
    <s v="Discharged"/>
    <x v="0"/>
    <x v="0"/>
  </r>
  <r>
    <x v="795"/>
    <x v="27"/>
    <x v="1"/>
    <x v="0"/>
    <x v="1"/>
    <s v="2025-05-04"/>
    <s v="2025-05-11"/>
    <n v="7"/>
    <n v="7971.69"/>
    <x v="0"/>
    <s v="Discharged"/>
    <x v="1"/>
    <x v="0"/>
  </r>
  <r>
    <x v="796"/>
    <x v="39"/>
    <x v="0"/>
    <x v="5"/>
    <x v="2"/>
    <s v="2025-06-17"/>
    <s v="2025-06-26"/>
    <n v="9"/>
    <n v="14035.1"/>
    <x v="0"/>
    <s v="Discharged"/>
    <x v="4"/>
    <x v="1"/>
  </r>
  <r>
    <x v="797"/>
    <x v="45"/>
    <x v="1"/>
    <x v="1"/>
    <x v="2"/>
    <s v="2025-07-05"/>
    <s v="2025-07-12"/>
    <n v="7"/>
    <n v="6592.67"/>
    <x v="1"/>
    <s v="Discharged"/>
    <x v="1"/>
    <x v="0"/>
  </r>
  <r>
    <x v="798"/>
    <x v="53"/>
    <x v="1"/>
    <x v="3"/>
    <x v="2"/>
    <s v="2025-02-24"/>
    <s v="2025-03-04"/>
    <n v="8"/>
    <n v="14437.97"/>
    <x v="1"/>
    <s v="Discharged"/>
    <x v="4"/>
    <x v="1"/>
  </r>
  <r>
    <x v="799"/>
    <x v="24"/>
    <x v="0"/>
    <x v="1"/>
    <x v="1"/>
    <s v="2025-03-13"/>
    <s v="2025-03-17"/>
    <n v="4"/>
    <n v="5113.93"/>
    <x v="0"/>
    <s v="Transferred"/>
    <x v="2"/>
    <x v="0"/>
  </r>
  <r>
    <x v="800"/>
    <x v="60"/>
    <x v="1"/>
    <x v="1"/>
    <x v="1"/>
    <s v="2025-11-25"/>
    <s v="2025-12-02"/>
    <n v="7"/>
    <n v="7345.76"/>
    <x v="0"/>
    <s v="Discharged"/>
    <x v="3"/>
    <x v="0"/>
  </r>
  <r>
    <x v="801"/>
    <x v="49"/>
    <x v="2"/>
    <x v="0"/>
    <x v="2"/>
    <s v="2025-12-03"/>
    <s v="2025-12-11"/>
    <n v="8"/>
    <n v="10301.65"/>
    <x v="0"/>
    <s v="Discharged"/>
    <x v="0"/>
    <x v="1"/>
  </r>
  <r>
    <x v="802"/>
    <x v="48"/>
    <x v="1"/>
    <x v="5"/>
    <x v="2"/>
    <s v="2025-03-31"/>
    <s v="2025-04-06"/>
    <n v="6"/>
    <n v="8984.18"/>
    <x v="0"/>
    <s v="Discharged"/>
    <x v="0"/>
    <x v="0"/>
  </r>
  <r>
    <x v="803"/>
    <x v="29"/>
    <x v="0"/>
    <x v="2"/>
    <x v="2"/>
    <s v="2025-07-10"/>
    <s v="2025-07-17"/>
    <n v="7"/>
    <n v="9100.16"/>
    <x v="0"/>
    <s v="Discharged"/>
    <x v="3"/>
    <x v="0"/>
  </r>
  <r>
    <x v="804"/>
    <x v="25"/>
    <x v="0"/>
    <x v="2"/>
    <x v="0"/>
    <s v="2025-10-26"/>
    <s v="2025-10-31"/>
    <n v="5"/>
    <n v="10163.68"/>
    <x v="0"/>
    <s v="Discharged"/>
    <x v="2"/>
    <x v="0"/>
  </r>
  <r>
    <x v="805"/>
    <x v="70"/>
    <x v="0"/>
    <x v="3"/>
    <x v="1"/>
    <s v="2025-08-09"/>
    <s v="2025-08-11"/>
    <n v="2"/>
    <n v="8676.93"/>
    <x v="0"/>
    <s v="Other"/>
    <x v="1"/>
    <x v="0"/>
  </r>
  <r>
    <x v="806"/>
    <x v="64"/>
    <x v="0"/>
    <x v="4"/>
    <x v="1"/>
    <s v="2025-11-14"/>
    <s v="2025-11-19"/>
    <n v="5"/>
    <n v="10171.73"/>
    <x v="0"/>
    <s v="Transferred"/>
    <x v="4"/>
    <x v="0"/>
  </r>
  <r>
    <x v="807"/>
    <x v="6"/>
    <x v="1"/>
    <x v="3"/>
    <x v="2"/>
    <s v="2025-04-05"/>
    <s v="2025-04-18"/>
    <n v="13"/>
    <n v="17859.05"/>
    <x v="0"/>
    <s v="Discharged"/>
    <x v="3"/>
    <x v="1"/>
  </r>
  <r>
    <x v="808"/>
    <x v="6"/>
    <x v="0"/>
    <x v="1"/>
    <x v="2"/>
    <s v="2025-06-17"/>
    <s v="2025-06-22"/>
    <n v="5"/>
    <n v="6203.95"/>
    <x v="0"/>
    <s v="Discharged"/>
    <x v="3"/>
    <x v="0"/>
  </r>
  <r>
    <x v="809"/>
    <x v="30"/>
    <x v="0"/>
    <x v="5"/>
    <x v="0"/>
    <s v="2025-11-27"/>
    <s v="2025-11-29"/>
    <n v="2"/>
    <n v="6245.02"/>
    <x v="0"/>
    <s v="Discharged"/>
    <x v="0"/>
    <x v="0"/>
  </r>
  <r>
    <x v="810"/>
    <x v="51"/>
    <x v="1"/>
    <x v="1"/>
    <x v="2"/>
    <s v="2025-12-27"/>
    <s v="2025-12-30"/>
    <n v="3"/>
    <n v="5760.35"/>
    <x v="0"/>
    <s v="Discharged"/>
    <x v="1"/>
    <x v="0"/>
  </r>
  <r>
    <x v="811"/>
    <x v="15"/>
    <x v="0"/>
    <x v="1"/>
    <x v="0"/>
    <s v="2025-05-03"/>
    <s v="2025-05-05"/>
    <n v="2"/>
    <n v="1721.5"/>
    <x v="0"/>
    <s v="Discharged"/>
    <x v="1"/>
    <x v="0"/>
  </r>
  <r>
    <x v="812"/>
    <x v="9"/>
    <x v="1"/>
    <x v="5"/>
    <x v="1"/>
    <s v="2025-12-04"/>
    <s v="2025-12-09"/>
    <n v="5"/>
    <n v="9482.36"/>
    <x v="0"/>
    <s v="Discharged"/>
    <x v="4"/>
    <x v="0"/>
  </r>
  <r>
    <x v="813"/>
    <x v="0"/>
    <x v="1"/>
    <x v="5"/>
    <x v="1"/>
    <s v="2025-04-18"/>
    <s v="2025-04-25"/>
    <n v="7"/>
    <n v="10272.43"/>
    <x v="1"/>
    <s v="Discharged"/>
    <x v="0"/>
    <x v="0"/>
  </r>
  <r>
    <x v="814"/>
    <x v="17"/>
    <x v="0"/>
    <x v="0"/>
    <x v="0"/>
    <s v="2025-06-08"/>
    <s v="2025-06-14"/>
    <n v="6"/>
    <n v="8645.2999999999993"/>
    <x v="1"/>
    <s v="Discharged"/>
    <x v="2"/>
    <x v="0"/>
  </r>
  <r>
    <x v="815"/>
    <x v="55"/>
    <x v="0"/>
    <x v="1"/>
    <x v="2"/>
    <s v="2025-11-27"/>
    <s v="2025-12-04"/>
    <n v="7"/>
    <n v="9172.94"/>
    <x v="1"/>
    <s v="Discharged"/>
    <x v="4"/>
    <x v="0"/>
  </r>
  <r>
    <x v="816"/>
    <x v="38"/>
    <x v="0"/>
    <x v="1"/>
    <x v="2"/>
    <s v="2025-06-18"/>
    <s v="2025-06-29"/>
    <n v="11"/>
    <n v="8598.59"/>
    <x v="1"/>
    <s v="Transferred"/>
    <x v="0"/>
    <x v="1"/>
  </r>
  <r>
    <x v="817"/>
    <x v="11"/>
    <x v="1"/>
    <x v="1"/>
    <x v="1"/>
    <s v="2025-08-10"/>
    <s v="2025-08-16"/>
    <n v="6"/>
    <n v="7042"/>
    <x v="0"/>
    <s v="Discharged"/>
    <x v="2"/>
    <x v="0"/>
  </r>
  <r>
    <x v="818"/>
    <x v="47"/>
    <x v="0"/>
    <x v="2"/>
    <x v="0"/>
    <s v="2025-12-07"/>
    <s v="2025-12-12"/>
    <n v="5"/>
    <n v="11703.04"/>
    <x v="1"/>
    <s v="Discharged"/>
    <x v="4"/>
    <x v="0"/>
  </r>
  <r>
    <x v="819"/>
    <x v="27"/>
    <x v="1"/>
    <x v="1"/>
    <x v="2"/>
    <s v="2025-01-28"/>
    <s v="2025-01-31"/>
    <n v="3"/>
    <n v="6899.97"/>
    <x v="0"/>
    <s v="Discharged"/>
    <x v="1"/>
    <x v="0"/>
  </r>
  <r>
    <x v="820"/>
    <x v="21"/>
    <x v="0"/>
    <x v="1"/>
    <x v="2"/>
    <s v="2025-07-10"/>
    <s v="2025-07-16"/>
    <n v="6"/>
    <n v="6057.46"/>
    <x v="0"/>
    <s v="Discharged"/>
    <x v="4"/>
    <x v="0"/>
  </r>
  <r>
    <x v="821"/>
    <x v="8"/>
    <x v="1"/>
    <x v="4"/>
    <x v="0"/>
    <s v="2025-01-04"/>
    <s v="2025-01-10"/>
    <n v="6"/>
    <n v="11115.55"/>
    <x v="0"/>
    <s v="Discharged"/>
    <x v="3"/>
    <x v="0"/>
  </r>
  <r>
    <x v="822"/>
    <x v="12"/>
    <x v="1"/>
    <x v="5"/>
    <x v="2"/>
    <s v="2025-01-19"/>
    <s v="2025-01-26"/>
    <n v="7"/>
    <n v="11082.17"/>
    <x v="0"/>
    <s v="Discharged"/>
    <x v="2"/>
    <x v="0"/>
  </r>
  <r>
    <x v="823"/>
    <x v="19"/>
    <x v="1"/>
    <x v="1"/>
    <x v="1"/>
    <s v="2025-04-27"/>
    <s v="2025-05-03"/>
    <n v="6"/>
    <n v="4182.1499999999996"/>
    <x v="0"/>
    <s v="Discharged"/>
    <x v="2"/>
    <x v="0"/>
  </r>
  <r>
    <x v="824"/>
    <x v="28"/>
    <x v="0"/>
    <x v="1"/>
    <x v="0"/>
    <s v="2025-12-31"/>
    <s v="2026-01-03"/>
    <n v="3"/>
    <n v="3399.71"/>
    <x v="0"/>
    <s v="Discharged"/>
    <x v="4"/>
    <x v="0"/>
  </r>
  <r>
    <x v="825"/>
    <x v="52"/>
    <x v="1"/>
    <x v="1"/>
    <x v="2"/>
    <s v="2025-12-29"/>
    <s v="2026-01-02"/>
    <n v="4"/>
    <n v="5454.4"/>
    <x v="0"/>
    <s v="Discharged"/>
    <x v="4"/>
    <x v="0"/>
  </r>
  <r>
    <x v="826"/>
    <x v="58"/>
    <x v="0"/>
    <x v="1"/>
    <x v="2"/>
    <s v="2025-03-10"/>
    <s v="2025-03-16"/>
    <n v="6"/>
    <n v="6084.18"/>
    <x v="0"/>
    <s v="Transferred"/>
    <x v="2"/>
    <x v="0"/>
  </r>
  <r>
    <x v="827"/>
    <x v="55"/>
    <x v="0"/>
    <x v="3"/>
    <x v="2"/>
    <s v="2025-11-21"/>
    <s v="2025-11-29"/>
    <n v="8"/>
    <n v="13432.03"/>
    <x v="0"/>
    <s v="Discharged"/>
    <x v="4"/>
    <x v="1"/>
  </r>
  <r>
    <x v="828"/>
    <x v="20"/>
    <x v="0"/>
    <x v="2"/>
    <x v="2"/>
    <s v="2025-04-21"/>
    <s v="2025-04-29"/>
    <n v="8"/>
    <n v="12620.98"/>
    <x v="0"/>
    <s v="Discharged"/>
    <x v="0"/>
    <x v="1"/>
  </r>
  <r>
    <x v="829"/>
    <x v="25"/>
    <x v="1"/>
    <x v="0"/>
    <x v="1"/>
    <s v="2025-05-07"/>
    <s v="2025-05-12"/>
    <n v="5"/>
    <n v="8689.5300000000007"/>
    <x v="0"/>
    <s v="Discharged"/>
    <x v="2"/>
    <x v="0"/>
  </r>
  <r>
    <x v="830"/>
    <x v="36"/>
    <x v="0"/>
    <x v="5"/>
    <x v="0"/>
    <s v="2025-10-16"/>
    <s v="2025-10-20"/>
    <n v="4"/>
    <n v="11762.32"/>
    <x v="0"/>
    <s v="Discharged"/>
    <x v="1"/>
    <x v="0"/>
  </r>
  <r>
    <x v="831"/>
    <x v="4"/>
    <x v="1"/>
    <x v="1"/>
    <x v="0"/>
    <s v="2025-08-11"/>
    <s v="2025-08-12"/>
    <n v="1"/>
    <n v="3372.38"/>
    <x v="0"/>
    <s v="Discharged"/>
    <x v="2"/>
    <x v="0"/>
  </r>
  <r>
    <x v="832"/>
    <x v="61"/>
    <x v="0"/>
    <x v="5"/>
    <x v="2"/>
    <s v="2025-05-14"/>
    <s v="2025-05-22"/>
    <n v="8"/>
    <n v="10929.66"/>
    <x v="0"/>
    <s v="Discharged"/>
    <x v="4"/>
    <x v="1"/>
  </r>
  <r>
    <x v="833"/>
    <x v="20"/>
    <x v="1"/>
    <x v="2"/>
    <x v="2"/>
    <s v="2025-01-06"/>
    <s v="2025-01-15"/>
    <n v="9"/>
    <n v="13077.9"/>
    <x v="0"/>
    <s v="Discharged"/>
    <x v="0"/>
    <x v="1"/>
  </r>
  <r>
    <x v="834"/>
    <x v="70"/>
    <x v="1"/>
    <x v="0"/>
    <x v="1"/>
    <s v="2025-09-16"/>
    <s v="2025-09-24"/>
    <n v="8"/>
    <n v="8992.58"/>
    <x v="0"/>
    <s v="Discharged"/>
    <x v="1"/>
    <x v="1"/>
  </r>
  <r>
    <x v="835"/>
    <x v="15"/>
    <x v="1"/>
    <x v="2"/>
    <x v="1"/>
    <s v="2025-07-20"/>
    <s v="2025-07-28"/>
    <n v="8"/>
    <n v="10400.209999999999"/>
    <x v="0"/>
    <s v="Discharged"/>
    <x v="1"/>
    <x v="1"/>
  </r>
  <r>
    <x v="836"/>
    <x v="67"/>
    <x v="1"/>
    <x v="0"/>
    <x v="2"/>
    <s v="2025-08-13"/>
    <s v="2025-08-19"/>
    <n v="6"/>
    <n v="5944.68"/>
    <x v="0"/>
    <s v="Discharged"/>
    <x v="3"/>
    <x v="0"/>
  </r>
  <r>
    <x v="837"/>
    <x v="68"/>
    <x v="0"/>
    <x v="5"/>
    <x v="0"/>
    <s v="2025-08-14"/>
    <s v="2025-08-17"/>
    <n v="3"/>
    <n v="7588.88"/>
    <x v="0"/>
    <s v="Discharged"/>
    <x v="3"/>
    <x v="0"/>
  </r>
  <r>
    <x v="838"/>
    <x v="51"/>
    <x v="2"/>
    <x v="2"/>
    <x v="2"/>
    <s v="2025-01-01"/>
    <s v="2025-01-11"/>
    <n v="10"/>
    <n v="11469.3"/>
    <x v="0"/>
    <s v="Discharged"/>
    <x v="1"/>
    <x v="1"/>
  </r>
  <r>
    <x v="839"/>
    <x v="19"/>
    <x v="0"/>
    <x v="3"/>
    <x v="2"/>
    <s v="2025-09-04"/>
    <s v="2025-09-11"/>
    <n v="7"/>
    <n v="15432.42"/>
    <x v="1"/>
    <s v="Discharged"/>
    <x v="2"/>
    <x v="0"/>
  </r>
  <r>
    <x v="840"/>
    <x v="48"/>
    <x v="0"/>
    <x v="4"/>
    <x v="2"/>
    <s v="2025-08-19"/>
    <s v="2025-08-27"/>
    <n v="8"/>
    <n v="12790.2"/>
    <x v="0"/>
    <s v="Transferred"/>
    <x v="0"/>
    <x v="1"/>
  </r>
  <r>
    <x v="841"/>
    <x v="18"/>
    <x v="1"/>
    <x v="4"/>
    <x v="2"/>
    <s v="2025-12-16"/>
    <s v="2025-12-26"/>
    <n v="10"/>
    <n v="13062.24"/>
    <x v="0"/>
    <s v="Discharged"/>
    <x v="3"/>
    <x v="1"/>
  </r>
  <r>
    <x v="842"/>
    <x v="45"/>
    <x v="0"/>
    <x v="5"/>
    <x v="1"/>
    <s v="2025-05-05"/>
    <s v="2025-05-08"/>
    <n v="3"/>
    <n v="9675.5499999999993"/>
    <x v="0"/>
    <s v="Discharged"/>
    <x v="1"/>
    <x v="0"/>
  </r>
  <r>
    <x v="843"/>
    <x v="61"/>
    <x v="1"/>
    <x v="3"/>
    <x v="0"/>
    <s v="2025-06-21"/>
    <s v="2025-06-27"/>
    <n v="6"/>
    <n v="15067.41"/>
    <x v="0"/>
    <s v="Discharged"/>
    <x v="4"/>
    <x v="0"/>
  </r>
  <r>
    <x v="844"/>
    <x v="21"/>
    <x v="0"/>
    <x v="0"/>
    <x v="1"/>
    <s v="2025-01-19"/>
    <s v="2025-01-23"/>
    <n v="4"/>
    <n v="7386.03"/>
    <x v="0"/>
    <s v="Discharged"/>
    <x v="4"/>
    <x v="0"/>
  </r>
  <r>
    <x v="845"/>
    <x v="25"/>
    <x v="1"/>
    <x v="1"/>
    <x v="1"/>
    <s v="2025-09-23"/>
    <s v="2025-09-27"/>
    <n v="4"/>
    <n v="3589.43"/>
    <x v="0"/>
    <s v="Discharged"/>
    <x v="2"/>
    <x v="0"/>
  </r>
  <r>
    <x v="846"/>
    <x v="3"/>
    <x v="0"/>
    <x v="0"/>
    <x v="1"/>
    <s v="2025-07-06"/>
    <s v="2025-07-12"/>
    <n v="6"/>
    <n v="3507.52"/>
    <x v="0"/>
    <s v="Discharged"/>
    <x v="0"/>
    <x v="0"/>
  </r>
  <r>
    <x v="847"/>
    <x v="61"/>
    <x v="1"/>
    <x v="3"/>
    <x v="2"/>
    <s v="2025-05-15"/>
    <s v="2025-05-23"/>
    <n v="8"/>
    <n v="13639.75"/>
    <x v="0"/>
    <s v="Discharged"/>
    <x v="4"/>
    <x v="1"/>
  </r>
  <r>
    <x v="848"/>
    <x v="61"/>
    <x v="0"/>
    <x v="3"/>
    <x v="2"/>
    <s v="2025-11-25"/>
    <s v="2025-11-30"/>
    <n v="5"/>
    <n v="12044.01"/>
    <x v="1"/>
    <s v="Discharged"/>
    <x v="4"/>
    <x v="0"/>
  </r>
  <r>
    <x v="849"/>
    <x v="49"/>
    <x v="1"/>
    <x v="1"/>
    <x v="2"/>
    <s v="2025-03-13"/>
    <s v="2025-03-20"/>
    <n v="7"/>
    <n v="7299.36"/>
    <x v="0"/>
    <s v="Discharged"/>
    <x v="0"/>
    <x v="0"/>
  </r>
  <r>
    <x v="850"/>
    <x v="38"/>
    <x v="0"/>
    <x v="0"/>
    <x v="2"/>
    <s v="2025-03-31"/>
    <s v="2025-04-06"/>
    <n v="6"/>
    <n v="7744.53"/>
    <x v="0"/>
    <s v="Discharged"/>
    <x v="0"/>
    <x v="0"/>
  </r>
  <r>
    <x v="851"/>
    <x v="59"/>
    <x v="1"/>
    <x v="1"/>
    <x v="2"/>
    <s v="2025-07-26"/>
    <s v="2025-08-01"/>
    <n v="6"/>
    <n v="5729.73"/>
    <x v="0"/>
    <s v="Discharged"/>
    <x v="3"/>
    <x v="0"/>
  </r>
  <r>
    <x v="852"/>
    <x v="33"/>
    <x v="1"/>
    <x v="0"/>
    <x v="2"/>
    <s v="2025-05-28"/>
    <s v="2025-06-05"/>
    <n v="8"/>
    <n v="10945.7"/>
    <x v="0"/>
    <s v="Discharged"/>
    <x v="2"/>
    <x v="1"/>
  </r>
  <r>
    <x v="853"/>
    <x v="10"/>
    <x v="0"/>
    <x v="0"/>
    <x v="1"/>
    <s v="2025-07-14"/>
    <s v="2025-07-17"/>
    <n v="3"/>
    <n v="6493.71"/>
    <x v="0"/>
    <s v="Discharged"/>
    <x v="4"/>
    <x v="0"/>
  </r>
  <r>
    <x v="854"/>
    <x v="72"/>
    <x v="0"/>
    <x v="1"/>
    <x v="0"/>
    <s v="2025-02-27"/>
    <s v="2025-03-02"/>
    <n v="3"/>
    <n v="4706.24"/>
    <x v="0"/>
    <s v="Discharged"/>
    <x v="2"/>
    <x v="0"/>
  </r>
  <r>
    <x v="855"/>
    <x v="34"/>
    <x v="0"/>
    <x v="2"/>
    <x v="0"/>
    <s v="2025-08-30"/>
    <s v="2025-09-08"/>
    <n v="9"/>
    <n v="14148.54"/>
    <x v="0"/>
    <s v="Discharged"/>
    <x v="2"/>
    <x v="1"/>
  </r>
  <r>
    <x v="856"/>
    <x v="49"/>
    <x v="1"/>
    <x v="0"/>
    <x v="0"/>
    <s v="2025-09-12"/>
    <s v="2025-09-18"/>
    <n v="6"/>
    <n v="8877.56"/>
    <x v="0"/>
    <s v="Discharged"/>
    <x v="0"/>
    <x v="0"/>
  </r>
  <r>
    <x v="857"/>
    <x v="5"/>
    <x v="0"/>
    <x v="5"/>
    <x v="2"/>
    <s v="2025-01-27"/>
    <s v="2025-01-30"/>
    <n v="3"/>
    <n v="10124.540000000001"/>
    <x v="0"/>
    <s v="Discharged"/>
    <x v="0"/>
    <x v="0"/>
  </r>
  <r>
    <x v="858"/>
    <x v="3"/>
    <x v="0"/>
    <x v="0"/>
    <x v="2"/>
    <s v="2025-12-04"/>
    <s v="2025-12-09"/>
    <n v="5"/>
    <n v="6325.25"/>
    <x v="0"/>
    <s v="Transferred"/>
    <x v="0"/>
    <x v="0"/>
  </r>
  <r>
    <x v="859"/>
    <x v="45"/>
    <x v="0"/>
    <x v="0"/>
    <x v="2"/>
    <s v="2025-03-14"/>
    <s v="2025-03-18"/>
    <n v="4"/>
    <n v="6972.5"/>
    <x v="0"/>
    <s v="Discharged"/>
    <x v="1"/>
    <x v="0"/>
  </r>
  <r>
    <x v="860"/>
    <x v="6"/>
    <x v="0"/>
    <x v="3"/>
    <x v="1"/>
    <s v="2025-06-21"/>
    <s v="2025-06-28"/>
    <n v="7"/>
    <n v="14199.31"/>
    <x v="0"/>
    <s v="Discharged"/>
    <x v="3"/>
    <x v="0"/>
  </r>
  <r>
    <x v="861"/>
    <x v="4"/>
    <x v="1"/>
    <x v="5"/>
    <x v="2"/>
    <s v="2025-04-10"/>
    <s v="2025-04-19"/>
    <n v="9"/>
    <n v="12977.45"/>
    <x v="0"/>
    <s v="Discharged"/>
    <x v="2"/>
    <x v="1"/>
  </r>
  <r>
    <x v="862"/>
    <x v="71"/>
    <x v="0"/>
    <x v="0"/>
    <x v="0"/>
    <s v="2025-07-12"/>
    <s v="2025-07-14"/>
    <n v="2"/>
    <n v="4132.38"/>
    <x v="0"/>
    <s v="Discharged"/>
    <x v="1"/>
    <x v="0"/>
  </r>
  <r>
    <x v="863"/>
    <x v="46"/>
    <x v="1"/>
    <x v="2"/>
    <x v="1"/>
    <s v="2025-06-04"/>
    <s v="2025-06-07"/>
    <n v="3"/>
    <n v="7146.39"/>
    <x v="0"/>
    <s v="Discharged"/>
    <x v="1"/>
    <x v="0"/>
  </r>
  <r>
    <x v="864"/>
    <x v="69"/>
    <x v="0"/>
    <x v="2"/>
    <x v="2"/>
    <s v="2025-09-18"/>
    <s v="2025-09-24"/>
    <n v="6"/>
    <n v="10358.61"/>
    <x v="0"/>
    <s v="Discharged"/>
    <x v="3"/>
    <x v="0"/>
  </r>
  <r>
    <x v="865"/>
    <x v="16"/>
    <x v="1"/>
    <x v="1"/>
    <x v="0"/>
    <s v="2025-10-05"/>
    <s v="2025-10-11"/>
    <n v="6"/>
    <n v="5743.75"/>
    <x v="0"/>
    <s v="Discharged"/>
    <x v="4"/>
    <x v="0"/>
  </r>
  <r>
    <x v="866"/>
    <x v="5"/>
    <x v="0"/>
    <x v="2"/>
    <x v="2"/>
    <s v="2025-04-10"/>
    <s v="2025-04-15"/>
    <n v="5"/>
    <n v="9929.82"/>
    <x v="0"/>
    <s v="Discharged"/>
    <x v="0"/>
    <x v="0"/>
  </r>
  <r>
    <x v="867"/>
    <x v="22"/>
    <x v="0"/>
    <x v="1"/>
    <x v="0"/>
    <s v="2025-10-19"/>
    <s v="2025-10-24"/>
    <n v="5"/>
    <n v="7783.78"/>
    <x v="1"/>
    <s v="Discharged"/>
    <x v="3"/>
    <x v="0"/>
  </r>
  <r>
    <x v="868"/>
    <x v="41"/>
    <x v="0"/>
    <x v="5"/>
    <x v="0"/>
    <s v="2025-04-18"/>
    <s v="2025-04-23"/>
    <n v="5"/>
    <n v="7606.95"/>
    <x v="1"/>
    <s v="Discharged"/>
    <x v="1"/>
    <x v="0"/>
  </r>
  <r>
    <x v="869"/>
    <x v="45"/>
    <x v="0"/>
    <x v="4"/>
    <x v="2"/>
    <s v="2025-01-08"/>
    <s v="2025-01-16"/>
    <n v="8"/>
    <n v="13123.85"/>
    <x v="0"/>
    <s v="Discharged"/>
    <x v="1"/>
    <x v="1"/>
  </r>
  <r>
    <x v="870"/>
    <x v="15"/>
    <x v="0"/>
    <x v="5"/>
    <x v="0"/>
    <s v="2025-03-11"/>
    <s v="2025-03-15"/>
    <n v="4"/>
    <n v="8711.18"/>
    <x v="0"/>
    <s v="Discharged"/>
    <x v="1"/>
    <x v="0"/>
  </r>
  <r>
    <x v="871"/>
    <x v="35"/>
    <x v="1"/>
    <x v="1"/>
    <x v="1"/>
    <s v="2025-01-19"/>
    <s v="2025-01-26"/>
    <n v="7"/>
    <n v="6514.9"/>
    <x v="1"/>
    <s v="Discharged"/>
    <x v="4"/>
    <x v="0"/>
  </r>
  <r>
    <x v="872"/>
    <x v="62"/>
    <x v="1"/>
    <x v="5"/>
    <x v="2"/>
    <s v="2025-04-02"/>
    <s v="2025-04-10"/>
    <n v="8"/>
    <n v="10292.209999999999"/>
    <x v="0"/>
    <s v="Discharged"/>
    <x v="2"/>
    <x v="1"/>
  </r>
  <r>
    <x v="873"/>
    <x v="8"/>
    <x v="1"/>
    <x v="2"/>
    <x v="0"/>
    <s v="2025-01-24"/>
    <s v="2025-02-01"/>
    <n v="8"/>
    <n v="11094.4"/>
    <x v="0"/>
    <s v="Discharged"/>
    <x v="3"/>
    <x v="1"/>
  </r>
  <r>
    <x v="874"/>
    <x v="29"/>
    <x v="0"/>
    <x v="0"/>
    <x v="1"/>
    <s v="2025-09-07"/>
    <s v="2025-09-12"/>
    <n v="5"/>
    <n v="10723.26"/>
    <x v="0"/>
    <s v="Other"/>
    <x v="3"/>
    <x v="0"/>
  </r>
  <r>
    <x v="875"/>
    <x v="19"/>
    <x v="0"/>
    <x v="0"/>
    <x v="2"/>
    <s v="2025-09-08"/>
    <s v="2025-09-16"/>
    <n v="8"/>
    <n v="9714.2900000000009"/>
    <x v="1"/>
    <s v="Discharged"/>
    <x v="2"/>
    <x v="1"/>
  </r>
  <r>
    <x v="876"/>
    <x v="57"/>
    <x v="1"/>
    <x v="0"/>
    <x v="2"/>
    <s v="2025-03-14"/>
    <s v="2025-03-18"/>
    <n v="4"/>
    <n v="6503.87"/>
    <x v="0"/>
    <s v="Discharged"/>
    <x v="3"/>
    <x v="0"/>
  </r>
  <r>
    <x v="877"/>
    <x v="62"/>
    <x v="1"/>
    <x v="1"/>
    <x v="0"/>
    <s v="2025-01-29"/>
    <s v="2025-01-30"/>
    <n v="1"/>
    <n v="4558.62"/>
    <x v="0"/>
    <s v="Discharged"/>
    <x v="2"/>
    <x v="0"/>
  </r>
  <r>
    <x v="878"/>
    <x v="69"/>
    <x v="1"/>
    <x v="0"/>
    <x v="0"/>
    <s v="2025-03-25"/>
    <s v="2025-04-04"/>
    <n v="10"/>
    <n v="11833.2"/>
    <x v="0"/>
    <s v="Discharged"/>
    <x v="3"/>
    <x v="1"/>
  </r>
  <r>
    <x v="879"/>
    <x v="58"/>
    <x v="1"/>
    <x v="1"/>
    <x v="2"/>
    <s v="2025-04-21"/>
    <s v="2025-04-26"/>
    <n v="5"/>
    <n v="6631.3"/>
    <x v="0"/>
    <s v="Discharged"/>
    <x v="2"/>
    <x v="0"/>
  </r>
  <r>
    <x v="880"/>
    <x v="56"/>
    <x v="0"/>
    <x v="0"/>
    <x v="0"/>
    <s v="2025-04-01"/>
    <s v="2025-04-05"/>
    <n v="4"/>
    <n v="8026.72"/>
    <x v="0"/>
    <s v="Discharged"/>
    <x v="0"/>
    <x v="0"/>
  </r>
  <r>
    <x v="881"/>
    <x v="22"/>
    <x v="1"/>
    <x v="1"/>
    <x v="2"/>
    <s v="2025-07-08"/>
    <s v="2025-07-17"/>
    <n v="9"/>
    <n v="8875.7800000000007"/>
    <x v="0"/>
    <s v="Discharged"/>
    <x v="3"/>
    <x v="1"/>
  </r>
  <r>
    <x v="882"/>
    <x v="26"/>
    <x v="1"/>
    <x v="1"/>
    <x v="1"/>
    <s v="2025-07-14"/>
    <s v="2025-07-17"/>
    <n v="3"/>
    <n v="5861.64"/>
    <x v="0"/>
    <s v="Discharged"/>
    <x v="3"/>
    <x v="0"/>
  </r>
  <r>
    <x v="883"/>
    <x v="29"/>
    <x v="1"/>
    <x v="1"/>
    <x v="0"/>
    <s v="2025-09-09"/>
    <s v="2025-09-13"/>
    <n v="4"/>
    <n v="3777.99"/>
    <x v="0"/>
    <s v="Transferred"/>
    <x v="3"/>
    <x v="0"/>
  </r>
  <r>
    <x v="884"/>
    <x v="26"/>
    <x v="1"/>
    <x v="1"/>
    <x v="2"/>
    <s v="2025-10-04"/>
    <s v="2025-10-11"/>
    <n v="7"/>
    <n v="9057.1299999999992"/>
    <x v="0"/>
    <s v="Discharged"/>
    <x v="3"/>
    <x v="0"/>
  </r>
  <r>
    <x v="885"/>
    <x v="63"/>
    <x v="0"/>
    <x v="0"/>
    <x v="0"/>
    <s v="2025-12-30"/>
    <s v="2026-01-05"/>
    <n v="6"/>
    <n v="7198.49"/>
    <x v="0"/>
    <s v="Discharged"/>
    <x v="3"/>
    <x v="0"/>
  </r>
  <r>
    <x v="886"/>
    <x v="70"/>
    <x v="1"/>
    <x v="1"/>
    <x v="0"/>
    <s v="2025-09-27"/>
    <s v="2025-10-03"/>
    <n v="6"/>
    <n v="8535.83"/>
    <x v="0"/>
    <s v="Discharged"/>
    <x v="1"/>
    <x v="0"/>
  </r>
  <r>
    <x v="887"/>
    <x v="5"/>
    <x v="1"/>
    <x v="5"/>
    <x v="2"/>
    <s v="2025-02-23"/>
    <s v="2025-02-28"/>
    <n v="5"/>
    <n v="7855.24"/>
    <x v="0"/>
    <s v="Discharged"/>
    <x v="0"/>
    <x v="0"/>
  </r>
  <r>
    <x v="888"/>
    <x v="68"/>
    <x v="1"/>
    <x v="4"/>
    <x v="0"/>
    <s v="2025-09-07"/>
    <s v="2025-09-13"/>
    <n v="6"/>
    <n v="10863.51"/>
    <x v="0"/>
    <s v="Discharged"/>
    <x v="3"/>
    <x v="0"/>
  </r>
  <r>
    <x v="889"/>
    <x v="65"/>
    <x v="1"/>
    <x v="1"/>
    <x v="2"/>
    <s v="2025-08-26"/>
    <s v="2025-08-30"/>
    <n v="4"/>
    <n v="3844.01"/>
    <x v="0"/>
    <s v="Discharged"/>
    <x v="3"/>
    <x v="0"/>
  </r>
  <r>
    <x v="890"/>
    <x v="59"/>
    <x v="0"/>
    <x v="1"/>
    <x v="0"/>
    <s v="2025-08-25"/>
    <s v="2025-08-26"/>
    <n v="1"/>
    <n v="3053.44"/>
    <x v="0"/>
    <s v="Discharged"/>
    <x v="3"/>
    <x v="0"/>
  </r>
  <r>
    <x v="891"/>
    <x v="16"/>
    <x v="0"/>
    <x v="1"/>
    <x v="2"/>
    <s v="2025-11-14"/>
    <s v="2025-11-20"/>
    <n v="6"/>
    <n v="6643.44"/>
    <x v="0"/>
    <s v="Discharged"/>
    <x v="4"/>
    <x v="0"/>
  </r>
  <r>
    <x v="892"/>
    <x v="58"/>
    <x v="0"/>
    <x v="1"/>
    <x v="2"/>
    <s v="2025-07-19"/>
    <s v="2025-07-24"/>
    <n v="5"/>
    <n v="5826.7"/>
    <x v="0"/>
    <s v="Discharged"/>
    <x v="2"/>
    <x v="0"/>
  </r>
  <r>
    <x v="893"/>
    <x v="41"/>
    <x v="2"/>
    <x v="0"/>
    <x v="0"/>
    <s v="2025-01-27"/>
    <s v="2025-02-02"/>
    <n v="6"/>
    <n v="7398.22"/>
    <x v="0"/>
    <s v="Discharged"/>
    <x v="1"/>
    <x v="0"/>
  </r>
  <r>
    <x v="894"/>
    <x v="52"/>
    <x v="1"/>
    <x v="2"/>
    <x v="2"/>
    <s v="2025-11-08"/>
    <s v="2025-11-15"/>
    <n v="7"/>
    <n v="14010.63"/>
    <x v="0"/>
    <s v="Discharged"/>
    <x v="4"/>
    <x v="0"/>
  </r>
  <r>
    <x v="895"/>
    <x v="34"/>
    <x v="0"/>
    <x v="4"/>
    <x v="2"/>
    <s v="2025-11-28"/>
    <s v="2025-12-07"/>
    <n v="9"/>
    <n v="13034.71"/>
    <x v="0"/>
    <s v="Other"/>
    <x v="2"/>
    <x v="1"/>
  </r>
  <r>
    <x v="896"/>
    <x v="39"/>
    <x v="1"/>
    <x v="0"/>
    <x v="2"/>
    <s v="2025-09-05"/>
    <s v="2025-09-11"/>
    <n v="6"/>
    <n v="10103.19"/>
    <x v="0"/>
    <s v="Discharged"/>
    <x v="4"/>
    <x v="0"/>
  </r>
  <r>
    <x v="897"/>
    <x v="6"/>
    <x v="1"/>
    <x v="2"/>
    <x v="0"/>
    <s v="2025-02-08"/>
    <s v="2025-02-14"/>
    <n v="6"/>
    <n v="11228.23"/>
    <x v="0"/>
    <s v="Discharged"/>
    <x v="3"/>
    <x v="0"/>
  </r>
  <r>
    <x v="898"/>
    <x v="44"/>
    <x v="0"/>
    <x v="1"/>
    <x v="2"/>
    <s v="2025-09-16"/>
    <s v="2025-09-23"/>
    <n v="7"/>
    <n v="8821.68"/>
    <x v="0"/>
    <s v="Discharged"/>
    <x v="1"/>
    <x v="0"/>
  </r>
  <r>
    <x v="899"/>
    <x v="36"/>
    <x v="1"/>
    <x v="5"/>
    <x v="2"/>
    <s v="2025-03-23"/>
    <s v="2025-03-31"/>
    <n v="8"/>
    <n v="10194.879999999999"/>
    <x v="0"/>
    <s v="Discharged"/>
    <x v="1"/>
    <x v="1"/>
  </r>
  <r>
    <x v="900"/>
    <x v="33"/>
    <x v="0"/>
    <x v="1"/>
    <x v="2"/>
    <s v="2025-05-30"/>
    <s v="2025-06-07"/>
    <n v="8"/>
    <n v="8035.1"/>
    <x v="0"/>
    <s v="Discharged"/>
    <x v="2"/>
    <x v="1"/>
  </r>
  <r>
    <x v="901"/>
    <x v="38"/>
    <x v="0"/>
    <x v="2"/>
    <x v="2"/>
    <s v="2025-04-14"/>
    <s v="2025-04-22"/>
    <n v="8"/>
    <n v="14278.33"/>
    <x v="0"/>
    <s v="Discharged"/>
    <x v="0"/>
    <x v="1"/>
  </r>
  <r>
    <x v="902"/>
    <x v="67"/>
    <x v="0"/>
    <x v="3"/>
    <x v="0"/>
    <s v="2025-02-15"/>
    <s v="2025-02-23"/>
    <n v="8"/>
    <n v="14465.92"/>
    <x v="0"/>
    <s v="Discharged"/>
    <x v="3"/>
    <x v="1"/>
  </r>
  <r>
    <x v="903"/>
    <x v="21"/>
    <x v="1"/>
    <x v="0"/>
    <x v="1"/>
    <s v="2025-04-12"/>
    <s v="2025-04-15"/>
    <n v="3"/>
    <n v="6659.28"/>
    <x v="0"/>
    <s v="Discharged"/>
    <x v="4"/>
    <x v="0"/>
  </r>
  <r>
    <x v="904"/>
    <x v="43"/>
    <x v="1"/>
    <x v="1"/>
    <x v="1"/>
    <s v="2025-08-09"/>
    <s v="2025-08-13"/>
    <n v="4"/>
    <n v="6272.44"/>
    <x v="1"/>
    <s v="Discharged"/>
    <x v="2"/>
    <x v="0"/>
  </r>
  <r>
    <x v="905"/>
    <x v="38"/>
    <x v="0"/>
    <x v="1"/>
    <x v="2"/>
    <s v="2025-08-30"/>
    <s v="2025-09-03"/>
    <n v="4"/>
    <n v="4744.29"/>
    <x v="0"/>
    <s v="Discharged"/>
    <x v="0"/>
    <x v="0"/>
  </r>
  <r>
    <x v="906"/>
    <x v="8"/>
    <x v="1"/>
    <x v="3"/>
    <x v="2"/>
    <s v="2025-08-23"/>
    <s v="2025-08-29"/>
    <n v="6"/>
    <n v="11165.5"/>
    <x v="0"/>
    <s v="Discharged"/>
    <x v="3"/>
    <x v="0"/>
  </r>
  <r>
    <x v="907"/>
    <x v="37"/>
    <x v="0"/>
    <x v="1"/>
    <x v="2"/>
    <s v="2025-03-02"/>
    <s v="2025-03-08"/>
    <n v="6"/>
    <n v="6816.01"/>
    <x v="0"/>
    <s v="Discharged"/>
    <x v="1"/>
    <x v="0"/>
  </r>
  <r>
    <x v="908"/>
    <x v="31"/>
    <x v="0"/>
    <x v="2"/>
    <x v="0"/>
    <s v="2025-05-13"/>
    <s v="2025-05-16"/>
    <n v="3"/>
    <n v="11295.39"/>
    <x v="0"/>
    <s v="Transferred"/>
    <x v="2"/>
    <x v="0"/>
  </r>
  <r>
    <x v="909"/>
    <x v="29"/>
    <x v="1"/>
    <x v="2"/>
    <x v="0"/>
    <s v="2025-05-04"/>
    <s v="2025-05-11"/>
    <n v="7"/>
    <n v="8977.17"/>
    <x v="1"/>
    <s v="Discharged"/>
    <x v="3"/>
    <x v="0"/>
  </r>
  <r>
    <x v="910"/>
    <x v="46"/>
    <x v="1"/>
    <x v="2"/>
    <x v="2"/>
    <s v="2025-07-23"/>
    <s v="2025-07-27"/>
    <n v="4"/>
    <n v="9637.9599999999991"/>
    <x v="0"/>
    <s v="Discharged"/>
    <x v="1"/>
    <x v="0"/>
  </r>
  <r>
    <x v="911"/>
    <x v="62"/>
    <x v="1"/>
    <x v="3"/>
    <x v="0"/>
    <s v="2025-12-13"/>
    <s v="2025-12-18"/>
    <n v="5"/>
    <n v="13825.02"/>
    <x v="0"/>
    <s v="Discharged"/>
    <x v="2"/>
    <x v="0"/>
  </r>
  <r>
    <x v="912"/>
    <x v="25"/>
    <x v="1"/>
    <x v="5"/>
    <x v="2"/>
    <s v="2025-12-04"/>
    <s v="2025-12-11"/>
    <n v="7"/>
    <n v="10154.65"/>
    <x v="0"/>
    <s v="Discharged"/>
    <x v="2"/>
    <x v="0"/>
  </r>
  <r>
    <x v="913"/>
    <x v="10"/>
    <x v="1"/>
    <x v="1"/>
    <x v="1"/>
    <s v="2025-12-23"/>
    <s v="2025-12-26"/>
    <n v="3"/>
    <n v="6147.84"/>
    <x v="0"/>
    <s v="Discharged"/>
    <x v="4"/>
    <x v="0"/>
  </r>
  <r>
    <x v="914"/>
    <x v="55"/>
    <x v="0"/>
    <x v="2"/>
    <x v="0"/>
    <s v="2025-01-07"/>
    <s v="2025-01-08"/>
    <n v="1"/>
    <n v="9086.15"/>
    <x v="0"/>
    <s v="Discharged"/>
    <x v="4"/>
    <x v="0"/>
  </r>
  <r>
    <x v="915"/>
    <x v="48"/>
    <x v="0"/>
    <x v="1"/>
    <x v="2"/>
    <s v="2025-10-09"/>
    <s v="2025-10-10"/>
    <n v="1"/>
    <n v="4895.59"/>
    <x v="0"/>
    <s v="Discharged"/>
    <x v="0"/>
    <x v="0"/>
  </r>
  <r>
    <x v="916"/>
    <x v="22"/>
    <x v="0"/>
    <x v="1"/>
    <x v="2"/>
    <s v="2025-08-06"/>
    <s v="2025-08-09"/>
    <n v="3"/>
    <n v="3954.38"/>
    <x v="0"/>
    <s v="Discharged"/>
    <x v="3"/>
    <x v="0"/>
  </r>
  <r>
    <x v="917"/>
    <x v="68"/>
    <x v="0"/>
    <x v="1"/>
    <x v="0"/>
    <s v="2025-01-15"/>
    <s v="2025-01-19"/>
    <n v="4"/>
    <n v="7196.11"/>
    <x v="0"/>
    <s v="Discharged"/>
    <x v="3"/>
    <x v="0"/>
  </r>
  <r>
    <x v="918"/>
    <x v="3"/>
    <x v="0"/>
    <x v="0"/>
    <x v="2"/>
    <s v="2025-03-15"/>
    <s v="2025-03-20"/>
    <n v="5"/>
    <n v="5923.88"/>
    <x v="0"/>
    <s v="Discharged"/>
    <x v="0"/>
    <x v="0"/>
  </r>
  <r>
    <x v="919"/>
    <x v="52"/>
    <x v="0"/>
    <x v="4"/>
    <x v="2"/>
    <s v="2025-12-06"/>
    <s v="2025-12-15"/>
    <n v="9"/>
    <n v="12776.99"/>
    <x v="0"/>
    <s v="Discharged"/>
    <x v="4"/>
    <x v="1"/>
  </r>
  <r>
    <x v="920"/>
    <x v="32"/>
    <x v="0"/>
    <x v="0"/>
    <x v="2"/>
    <s v="2025-09-12"/>
    <s v="2025-09-16"/>
    <n v="4"/>
    <n v="5538.62"/>
    <x v="1"/>
    <s v="Discharged"/>
    <x v="3"/>
    <x v="0"/>
  </r>
  <r>
    <x v="921"/>
    <x v="20"/>
    <x v="1"/>
    <x v="1"/>
    <x v="1"/>
    <s v="2025-03-20"/>
    <s v="2025-03-21"/>
    <n v="1"/>
    <n v="2494.9699999999998"/>
    <x v="0"/>
    <s v="Discharged"/>
    <x v="0"/>
    <x v="0"/>
  </r>
  <r>
    <x v="922"/>
    <x v="24"/>
    <x v="1"/>
    <x v="2"/>
    <x v="2"/>
    <s v="2025-06-08"/>
    <s v="2025-06-18"/>
    <n v="10"/>
    <n v="12364.23"/>
    <x v="1"/>
    <s v="Discharged"/>
    <x v="2"/>
    <x v="1"/>
  </r>
  <r>
    <x v="923"/>
    <x v="45"/>
    <x v="1"/>
    <x v="1"/>
    <x v="1"/>
    <s v="2025-12-01"/>
    <s v="2025-12-05"/>
    <n v="4"/>
    <n v="6062.15"/>
    <x v="0"/>
    <s v="Discharged"/>
    <x v="1"/>
    <x v="0"/>
  </r>
  <r>
    <x v="924"/>
    <x v="23"/>
    <x v="0"/>
    <x v="0"/>
    <x v="1"/>
    <s v="2025-12-02"/>
    <s v="2025-12-12"/>
    <n v="10"/>
    <n v="9360.76"/>
    <x v="0"/>
    <s v="Discharged"/>
    <x v="3"/>
    <x v="1"/>
  </r>
  <r>
    <x v="925"/>
    <x v="12"/>
    <x v="0"/>
    <x v="2"/>
    <x v="2"/>
    <s v="2025-03-09"/>
    <s v="2025-03-19"/>
    <n v="10"/>
    <n v="14130.79"/>
    <x v="0"/>
    <s v="Discharged"/>
    <x v="2"/>
    <x v="1"/>
  </r>
  <r>
    <x v="926"/>
    <x v="39"/>
    <x v="1"/>
    <x v="5"/>
    <x v="2"/>
    <s v="2025-11-01"/>
    <s v="2025-11-05"/>
    <n v="4"/>
    <n v="7220.37"/>
    <x v="0"/>
    <s v="Discharged"/>
    <x v="4"/>
    <x v="0"/>
  </r>
  <r>
    <x v="927"/>
    <x v="30"/>
    <x v="0"/>
    <x v="4"/>
    <x v="2"/>
    <s v="2025-10-10"/>
    <s v="2025-10-17"/>
    <n v="7"/>
    <n v="11926.13"/>
    <x v="0"/>
    <s v="Discharged"/>
    <x v="0"/>
    <x v="0"/>
  </r>
  <r>
    <x v="928"/>
    <x v="63"/>
    <x v="1"/>
    <x v="4"/>
    <x v="0"/>
    <s v="2025-08-01"/>
    <s v="2025-08-08"/>
    <n v="7"/>
    <n v="12814.06"/>
    <x v="0"/>
    <s v="Discharged"/>
    <x v="3"/>
    <x v="0"/>
  </r>
  <r>
    <x v="929"/>
    <x v="21"/>
    <x v="0"/>
    <x v="5"/>
    <x v="2"/>
    <s v="2025-02-07"/>
    <s v="2025-02-17"/>
    <n v="10"/>
    <n v="15147.55"/>
    <x v="0"/>
    <s v="Transferred"/>
    <x v="4"/>
    <x v="1"/>
  </r>
  <r>
    <x v="930"/>
    <x v="18"/>
    <x v="0"/>
    <x v="3"/>
    <x v="0"/>
    <s v="2025-11-14"/>
    <s v="2025-11-20"/>
    <n v="6"/>
    <n v="12738.84"/>
    <x v="0"/>
    <s v="Discharged"/>
    <x v="3"/>
    <x v="0"/>
  </r>
  <r>
    <x v="931"/>
    <x v="59"/>
    <x v="1"/>
    <x v="0"/>
    <x v="1"/>
    <s v="2025-03-08"/>
    <s v="2025-03-12"/>
    <n v="4"/>
    <n v="6518.02"/>
    <x v="0"/>
    <s v="Discharged"/>
    <x v="3"/>
    <x v="0"/>
  </r>
  <r>
    <x v="932"/>
    <x v="63"/>
    <x v="0"/>
    <x v="4"/>
    <x v="0"/>
    <s v="2025-04-10"/>
    <s v="2025-04-12"/>
    <n v="2"/>
    <n v="10487.49"/>
    <x v="0"/>
    <s v="Discharged"/>
    <x v="3"/>
    <x v="0"/>
  </r>
  <r>
    <x v="933"/>
    <x v="46"/>
    <x v="0"/>
    <x v="2"/>
    <x v="2"/>
    <s v="2025-04-25"/>
    <s v="2025-05-01"/>
    <n v="6"/>
    <n v="11502.96"/>
    <x v="0"/>
    <s v="Discharged"/>
    <x v="1"/>
    <x v="0"/>
  </r>
  <r>
    <x v="934"/>
    <x v="70"/>
    <x v="1"/>
    <x v="1"/>
    <x v="2"/>
    <s v="2025-10-19"/>
    <s v="2025-10-26"/>
    <n v="7"/>
    <n v="6873.07"/>
    <x v="0"/>
    <s v="Discharged"/>
    <x v="1"/>
    <x v="0"/>
  </r>
  <r>
    <x v="935"/>
    <x v="23"/>
    <x v="1"/>
    <x v="4"/>
    <x v="0"/>
    <s v="2025-04-08"/>
    <s v="2025-04-16"/>
    <n v="8"/>
    <n v="14312.5"/>
    <x v="0"/>
    <s v="Discharged"/>
    <x v="3"/>
    <x v="1"/>
  </r>
  <r>
    <x v="936"/>
    <x v="36"/>
    <x v="0"/>
    <x v="1"/>
    <x v="2"/>
    <s v="2025-02-10"/>
    <s v="2025-02-19"/>
    <n v="9"/>
    <n v="7898.8"/>
    <x v="1"/>
    <s v="Discharged"/>
    <x v="1"/>
    <x v="1"/>
  </r>
  <r>
    <x v="937"/>
    <x v="39"/>
    <x v="1"/>
    <x v="5"/>
    <x v="2"/>
    <s v="2025-01-29"/>
    <s v="2025-02-04"/>
    <n v="6"/>
    <n v="10666.88"/>
    <x v="0"/>
    <s v="Discharged"/>
    <x v="4"/>
    <x v="0"/>
  </r>
  <r>
    <x v="938"/>
    <x v="70"/>
    <x v="1"/>
    <x v="2"/>
    <x v="2"/>
    <s v="2025-12-02"/>
    <s v="2025-12-05"/>
    <n v="3"/>
    <n v="9353.7199999999993"/>
    <x v="0"/>
    <s v="Discharged"/>
    <x v="1"/>
    <x v="0"/>
  </r>
  <r>
    <x v="939"/>
    <x v="1"/>
    <x v="1"/>
    <x v="0"/>
    <x v="2"/>
    <s v="2025-07-13"/>
    <s v="2025-07-17"/>
    <n v="4"/>
    <n v="5443.34"/>
    <x v="0"/>
    <s v="Discharged"/>
    <x v="0"/>
    <x v="0"/>
  </r>
  <r>
    <x v="940"/>
    <x v="58"/>
    <x v="1"/>
    <x v="0"/>
    <x v="2"/>
    <s v="2025-01-23"/>
    <s v="2025-01-26"/>
    <n v="3"/>
    <n v="6566.6"/>
    <x v="0"/>
    <s v="Discharged"/>
    <x v="2"/>
    <x v="0"/>
  </r>
  <r>
    <x v="941"/>
    <x v="26"/>
    <x v="1"/>
    <x v="1"/>
    <x v="1"/>
    <s v="2025-02-17"/>
    <s v="2025-02-21"/>
    <n v="4"/>
    <n v="3750.21"/>
    <x v="0"/>
    <s v="Discharged"/>
    <x v="3"/>
    <x v="0"/>
  </r>
  <r>
    <x v="942"/>
    <x v="70"/>
    <x v="1"/>
    <x v="5"/>
    <x v="1"/>
    <s v="2025-08-16"/>
    <s v="2025-08-24"/>
    <n v="8"/>
    <n v="12199.28"/>
    <x v="0"/>
    <s v="Discharged"/>
    <x v="1"/>
    <x v="1"/>
  </r>
  <r>
    <x v="943"/>
    <x v="63"/>
    <x v="1"/>
    <x v="1"/>
    <x v="2"/>
    <s v="2025-04-02"/>
    <s v="2025-04-09"/>
    <n v="7"/>
    <n v="7966.16"/>
    <x v="0"/>
    <s v="Transferred"/>
    <x v="3"/>
    <x v="0"/>
  </r>
  <r>
    <x v="944"/>
    <x v="56"/>
    <x v="1"/>
    <x v="3"/>
    <x v="2"/>
    <s v="2025-07-04"/>
    <s v="2025-07-13"/>
    <n v="9"/>
    <n v="16379.71"/>
    <x v="0"/>
    <s v="Discharged"/>
    <x v="0"/>
    <x v="1"/>
  </r>
  <r>
    <x v="945"/>
    <x v="51"/>
    <x v="0"/>
    <x v="2"/>
    <x v="2"/>
    <s v="2025-11-28"/>
    <s v="2025-12-04"/>
    <n v="6"/>
    <n v="9490.49"/>
    <x v="0"/>
    <s v="Discharged"/>
    <x v="1"/>
    <x v="0"/>
  </r>
  <r>
    <x v="946"/>
    <x v="27"/>
    <x v="1"/>
    <x v="0"/>
    <x v="1"/>
    <s v="2025-02-09"/>
    <s v="2025-02-14"/>
    <n v="5"/>
    <n v="5724.68"/>
    <x v="0"/>
    <s v="Discharged"/>
    <x v="1"/>
    <x v="0"/>
  </r>
  <r>
    <x v="947"/>
    <x v="29"/>
    <x v="1"/>
    <x v="0"/>
    <x v="0"/>
    <s v="2025-04-29"/>
    <s v="2025-05-01"/>
    <n v="2"/>
    <n v="2982.92"/>
    <x v="0"/>
    <s v="Discharged"/>
    <x v="3"/>
    <x v="0"/>
  </r>
  <r>
    <x v="948"/>
    <x v="30"/>
    <x v="1"/>
    <x v="1"/>
    <x v="1"/>
    <s v="2025-10-21"/>
    <s v="2025-10-25"/>
    <n v="4"/>
    <n v="7205.83"/>
    <x v="0"/>
    <s v="Discharged"/>
    <x v="0"/>
    <x v="0"/>
  </r>
  <r>
    <x v="949"/>
    <x v="23"/>
    <x v="0"/>
    <x v="0"/>
    <x v="0"/>
    <s v="2025-01-03"/>
    <s v="2025-01-08"/>
    <n v="5"/>
    <n v="7835.97"/>
    <x v="0"/>
    <s v="Discharged"/>
    <x v="3"/>
    <x v="0"/>
  </r>
  <r>
    <x v="950"/>
    <x v="48"/>
    <x v="0"/>
    <x v="5"/>
    <x v="0"/>
    <s v="2025-05-23"/>
    <s v="2025-05-27"/>
    <n v="4"/>
    <n v="7833.15"/>
    <x v="1"/>
    <s v="Discharged"/>
    <x v="0"/>
    <x v="0"/>
  </r>
  <r>
    <x v="951"/>
    <x v="15"/>
    <x v="1"/>
    <x v="1"/>
    <x v="1"/>
    <s v="2025-02-19"/>
    <s v="2025-02-20"/>
    <n v="1"/>
    <n v="3604.68"/>
    <x v="0"/>
    <s v="Discharged"/>
    <x v="1"/>
    <x v="0"/>
  </r>
  <r>
    <x v="952"/>
    <x v="63"/>
    <x v="0"/>
    <x v="0"/>
    <x v="1"/>
    <s v="2025-12-21"/>
    <s v="2025-12-25"/>
    <n v="4"/>
    <n v="5640.56"/>
    <x v="0"/>
    <s v="Discharged"/>
    <x v="3"/>
    <x v="0"/>
  </r>
  <r>
    <x v="953"/>
    <x v="37"/>
    <x v="1"/>
    <x v="0"/>
    <x v="2"/>
    <s v="2025-04-06"/>
    <s v="2025-04-12"/>
    <n v="6"/>
    <n v="7526.2"/>
    <x v="0"/>
    <s v="Discharged"/>
    <x v="1"/>
    <x v="0"/>
  </r>
  <r>
    <x v="954"/>
    <x v="70"/>
    <x v="1"/>
    <x v="0"/>
    <x v="2"/>
    <s v="2025-08-13"/>
    <s v="2025-08-21"/>
    <n v="8"/>
    <n v="6770.81"/>
    <x v="0"/>
    <s v="Discharged"/>
    <x v="1"/>
    <x v="1"/>
  </r>
  <r>
    <x v="955"/>
    <x v="48"/>
    <x v="1"/>
    <x v="0"/>
    <x v="1"/>
    <s v="2025-01-30"/>
    <s v="2025-02-04"/>
    <n v="5"/>
    <n v="5924.64"/>
    <x v="0"/>
    <s v="Discharged"/>
    <x v="0"/>
    <x v="0"/>
  </r>
  <r>
    <x v="956"/>
    <x v="17"/>
    <x v="1"/>
    <x v="1"/>
    <x v="0"/>
    <s v="2025-01-03"/>
    <s v="2025-01-04"/>
    <n v="1"/>
    <n v="1760.36"/>
    <x v="0"/>
    <s v="Discharged"/>
    <x v="2"/>
    <x v="0"/>
  </r>
  <r>
    <x v="957"/>
    <x v="34"/>
    <x v="1"/>
    <x v="1"/>
    <x v="1"/>
    <s v="2025-02-20"/>
    <s v="2025-02-21"/>
    <n v="1"/>
    <n v="2812.18"/>
    <x v="0"/>
    <s v="Discharged"/>
    <x v="2"/>
    <x v="0"/>
  </r>
  <r>
    <x v="958"/>
    <x v="2"/>
    <x v="1"/>
    <x v="1"/>
    <x v="2"/>
    <s v="2025-11-26"/>
    <s v="2025-12-02"/>
    <n v="6"/>
    <n v="6941.78"/>
    <x v="1"/>
    <s v="Other"/>
    <x v="1"/>
    <x v="0"/>
  </r>
  <r>
    <x v="959"/>
    <x v="38"/>
    <x v="0"/>
    <x v="1"/>
    <x v="2"/>
    <s v="2025-11-14"/>
    <s v="2025-11-19"/>
    <n v="5"/>
    <n v="6533.82"/>
    <x v="1"/>
    <s v="Other"/>
    <x v="0"/>
    <x v="0"/>
  </r>
  <r>
    <x v="960"/>
    <x v="71"/>
    <x v="0"/>
    <x v="5"/>
    <x v="1"/>
    <s v="2025-03-28"/>
    <s v="2025-04-03"/>
    <n v="6"/>
    <n v="13033.66"/>
    <x v="0"/>
    <s v="Discharged"/>
    <x v="1"/>
    <x v="0"/>
  </r>
  <r>
    <x v="961"/>
    <x v="4"/>
    <x v="1"/>
    <x v="4"/>
    <x v="0"/>
    <s v="2025-08-27"/>
    <s v="2025-09-03"/>
    <n v="7"/>
    <n v="12442.78"/>
    <x v="0"/>
    <s v="Discharged"/>
    <x v="2"/>
    <x v="0"/>
  </r>
  <r>
    <x v="962"/>
    <x v="28"/>
    <x v="1"/>
    <x v="0"/>
    <x v="2"/>
    <s v="2025-03-05"/>
    <s v="2025-03-11"/>
    <n v="6"/>
    <n v="6173.2"/>
    <x v="0"/>
    <s v="Transferred"/>
    <x v="4"/>
    <x v="0"/>
  </r>
  <r>
    <x v="963"/>
    <x v="22"/>
    <x v="0"/>
    <x v="5"/>
    <x v="2"/>
    <s v="2025-12-01"/>
    <s v="2025-12-05"/>
    <n v="4"/>
    <n v="7995.61"/>
    <x v="1"/>
    <s v="Discharged"/>
    <x v="3"/>
    <x v="0"/>
  </r>
  <r>
    <x v="964"/>
    <x v="61"/>
    <x v="1"/>
    <x v="5"/>
    <x v="2"/>
    <s v="2025-06-27"/>
    <s v="2025-07-03"/>
    <n v="6"/>
    <n v="8370.75"/>
    <x v="0"/>
    <s v="Discharged"/>
    <x v="4"/>
    <x v="0"/>
  </r>
  <r>
    <x v="965"/>
    <x v="66"/>
    <x v="1"/>
    <x v="0"/>
    <x v="1"/>
    <s v="2025-02-13"/>
    <s v="2025-02-17"/>
    <n v="4"/>
    <n v="5272.95"/>
    <x v="0"/>
    <s v="Discharged"/>
    <x v="1"/>
    <x v="0"/>
  </r>
  <r>
    <x v="966"/>
    <x v="26"/>
    <x v="1"/>
    <x v="2"/>
    <x v="0"/>
    <s v="2025-07-04"/>
    <m/>
    <n v="5"/>
    <n v="7348.46"/>
    <x v="0"/>
    <s v="Discharged"/>
    <x v="3"/>
    <x v="0"/>
  </r>
  <r>
    <x v="967"/>
    <x v="16"/>
    <x v="0"/>
    <x v="5"/>
    <x v="0"/>
    <s v="2025-03-15"/>
    <s v="2025-03-17"/>
    <n v="2"/>
    <n v="7627.15"/>
    <x v="0"/>
    <s v="Discharged"/>
    <x v="4"/>
    <x v="0"/>
  </r>
  <r>
    <x v="968"/>
    <x v="35"/>
    <x v="0"/>
    <x v="4"/>
    <x v="1"/>
    <s v="2025-04-07"/>
    <s v="2025-04-12"/>
    <n v="5"/>
    <n v="10548.26"/>
    <x v="0"/>
    <s v="Discharged"/>
    <x v="4"/>
    <x v="0"/>
  </r>
  <r>
    <x v="969"/>
    <x v="8"/>
    <x v="0"/>
    <x v="3"/>
    <x v="2"/>
    <s v="2025-09-10"/>
    <s v="2025-09-21"/>
    <n v="11"/>
    <n v="15303.16"/>
    <x v="1"/>
    <s v="Discharged"/>
    <x v="3"/>
    <x v="1"/>
  </r>
  <r>
    <x v="970"/>
    <x v="39"/>
    <x v="1"/>
    <x v="4"/>
    <x v="0"/>
    <s v="2025-09-04"/>
    <s v="2025-09-12"/>
    <n v="8"/>
    <n v="11125.46"/>
    <x v="0"/>
    <s v="Transferred"/>
    <x v="4"/>
    <x v="1"/>
  </r>
  <r>
    <x v="971"/>
    <x v="6"/>
    <x v="1"/>
    <x v="1"/>
    <x v="0"/>
    <s v="2025-08-25"/>
    <s v="2025-08-31"/>
    <n v="6"/>
    <n v="6529.51"/>
    <x v="0"/>
    <s v="Discharged"/>
    <x v="3"/>
    <x v="0"/>
  </r>
  <r>
    <x v="972"/>
    <x v="3"/>
    <x v="0"/>
    <x v="0"/>
    <x v="2"/>
    <s v="2025-12-03"/>
    <s v="2025-12-06"/>
    <n v="3"/>
    <n v="5492.83"/>
    <x v="0"/>
    <s v="Discharged"/>
    <x v="0"/>
    <x v="0"/>
  </r>
  <r>
    <x v="973"/>
    <x v="4"/>
    <x v="1"/>
    <x v="3"/>
    <x v="2"/>
    <s v="2025-01-05"/>
    <s v="2025-01-15"/>
    <n v="10"/>
    <n v="13360.2"/>
    <x v="0"/>
    <s v="Discharged"/>
    <x v="2"/>
    <x v="1"/>
  </r>
  <r>
    <x v="974"/>
    <x v="47"/>
    <x v="2"/>
    <x v="0"/>
    <x v="2"/>
    <s v="2025-03-14"/>
    <s v="2025-03-20"/>
    <n v="6"/>
    <n v="7375.68"/>
    <x v="0"/>
    <s v="Discharged"/>
    <x v="4"/>
    <x v="0"/>
  </r>
  <r>
    <x v="975"/>
    <x v="62"/>
    <x v="0"/>
    <x v="0"/>
    <x v="2"/>
    <s v="2025-02-03"/>
    <s v="2025-02-07"/>
    <n v="4"/>
    <n v="6030.02"/>
    <x v="0"/>
    <s v="Discharged"/>
    <x v="2"/>
    <x v="0"/>
  </r>
  <r>
    <x v="976"/>
    <x v="2"/>
    <x v="1"/>
    <x v="3"/>
    <x v="0"/>
    <s v="2025-11-25"/>
    <s v="2025-11-27"/>
    <n v="2"/>
    <n v="7951.47"/>
    <x v="0"/>
    <s v="Discharged"/>
    <x v="1"/>
    <x v="0"/>
  </r>
  <r>
    <x v="977"/>
    <x v="70"/>
    <x v="1"/>
    <x v="1"/>
    <x v="2"/>
    <s v="2025-03-20"/>
    <s v="2025-03-23"/>
    <n v="3"/>
    <n v="5344.63"/>
    <x v="0"/>
    <s v="Discharged"/>
    <x v="1"/>
    <x v="0"/>
  </r>
  <r>
    <x v="978"/>
    <x v="12"/>
    <x v="0"/>
    <x v="0"/>
    <x v="2"/>
    <s v="2025-11-20"/>
    <s v="2025-11-26"/>
    <n v="6"/>
    <n v="7733.17"/>
    <x v="1"/>
    <s v="Discharged"/>
    <x v="2"/>
    <x v="0"/>
  </r>
  <r>
    <x v="979"/>
    <x v="70"/>
    <x v="0"/>
    <x v="3"/>
    <x v="2"/>
    <s v="2025-07-10"/>
    <s v="2025-07-18"/>
    <n v="8"/>
    <n v="12668.51"/>
    <x v="0"/>
    <s v="Discharged"/>
    <x v="1"/>
    <x v="1"/>
  </r>
  <r>
    <x v="980"/>
    <x v="33"/>
    <x v="1"/>
    <x v="1"/>
    <x v="1"/>
    <s v="2025-11-05"/>
    <s v="2025-11-13"/>
    <n v="8"/>
    <n v="8932.2800000000007"/>
    <x v="0"/>
    <s v="Discharged"/>
    <x v="2"/>
    <x v="1"/>
  </r>
  <r>
    <x v="981"/>
    <x v="45"/>
    <x v="0"/>
    <x v="1"/>
    <x v="1"/>
    <s v="2025-01-22"/>
    <s v="2025-01-25"/>
    <n v="3"/>
    <n v="6239.72"/>
    <x v="0"/>
    <s v="Discharged"/>
    <x v="1"/>
    <x v="0"/>
  </r>
  <r>
    <x v="982"/>
    <x v="30"/>
    <x v="0"/>
    <x v="1"/>
    <x v="1"/>
    <s v="2025-08-26"/>
    <s v="2025-08-29"/>
    <n v="3"/>
    <n v="4229.1499999999996"/>
    <x v="0"/>
    <s v="Discharged"/>
    <x v="0"/>
    <x v="0"/>
  </r>
  <r>
    <x v="983"/>
    <x v="22"/>
    <x v="1"/>
    <x v="4"/>
    <x v="2"/>
    <s v="2025-02-14"/>
    <s v="2025-02-25"/>
    <n v="11"/>
    <n v="14160.04"/>
    <x v="0"/>
    <s v="Discharged"/>
    <x v="3"/>
    <x v="1"/>
  </r>
  <r>
    <x v="984"/>
    <x v="22"/>
    <x v="1"/>
    <x v="2"/>
    <x v="2"/>
    <s v="2025-04-16"/>
    <s v="2025-04-21"/>
    <n v="5"/>
    <n v="10326.629999999999"/>
    <x v="0"/>
    <s v="Discharged"/>
    <x v="3"/>
    <x v="0"/>
  </r>
  <r>
    <x v="985"/>
    <x v="10"/>
    <x v="1"/>
    <x v="2"/>
    <x v="1"/>
    <s v="2025-10-18"/>
    <s v="2025-10-26"/>
    <n v="8"/>
    <n v="12045.83"/>
    <x v="0"/>
    <s v="Discharged"/>
    <x v="4"/>
    <x v="1"/>
  </r>
  <r>
    <x v="986"/>
    <x v="5"/>
    <x v="1"/>
    <x v="1"/>
    <x v="2"/>
    <s v="2025-07-07"/>
    <s v="2025-07-11"/>
    <n v="4"/>
    <n v="4698.67"/>
    <x v="0"/>
    <s v="Discharged"/>
    <x v="0"/>
    <x v="0"/>
  </r>
  <r>
    <x v="987"/>
    <x v="11"/>
    <x v="1"/>
    <x v="3"/>
    <x v="2"/>
    <s v="2025-05-05"/>
    <s v="2025-05-08"/>
    <n v="3"/>
    <n v="12118.62"/>
    <x v="1"/>
    <s v="Discharged"/>
    <x v="2"/>
    <x v="0"/>
  </r>
  <r>
    <x v="988"/>
    <x v="42"/>
    <x v="1"/>
    <x v="5"/>
    <x v="0"/>
    <s v="2025-04-01"/>
    <s v="2025-04-08"/>
    <n v="7"/>
    <n v="12128.38"/>
    <x v="0"/>
    <s v="Discharged"/>
    <x v="4"/>
    <x v="0"/>
  </r>
  <r>
    <x v="989"/>
    <x v="10"/>
    <x v="0"/>
    <x v="3"/>
    <x v="1"/>
    <s v="2025-05-27"/>
    <s v="2025-06-04"/>
    <n v="8"/>
    <n v="12770.13"/>
    <x v="0"/>
    <s v="Transferred"/>
    <x v="4"/>
    <x v="1"/>
  </r>
  <r>
    <x v="990"/>
    <x v="17"/>
    <x v="1"/>
    <x v="5"/>
    <x v="1"/>
    <s v="2025-07-15"/>
    <s v="2025-07-26"/>
    <n v="11"/>
    <n v="12874.43"/>
    <x v="0"/>
    <s v="Discharged"/>
    <x v="2"/>
    <x v="1"/>
  </r>
  <r>
    <x v="991"/>
    <x v="19"/>
    <x v="0"/>
    <x v="5"/>
    <x v="2"/>
    <s v="2025-12-23"/>
    <s v="2025-12-29"/>
    <n v="6"/>
    <n v="9126.2900000000009"/>
    <x v="0"/>
    <s v="Discharged"/>
    <x v="2"/>
    <x v="0"/>
  </r>
  <r>
    <x v="992"/>
    <x v="51"/>
    <x v="1"/>
    <x v="5"/>
    <x v="0"/>
    <s v="2025-02-03"/>
    <s v="2025-02-11"/>
    <n v="8"/>
    <n v="10517.2"/>
    <x v="0"/>
    <s v="Discharged"/>
    <x v="1"/>
    <x v="1"/>
  </r>
  <r>
    <x v="993"/>
    <x v="59"/>
    <x v="1"/>
    <x v="1"/>
    <x v="0"/>
    <s v="2025-05-01"/>
    <s v="2025-05-08"/>
    <n v="7"/>
    <n v="5966.01"/>
    <x v="0"/>
    <s v="Discharged"/>
    <x v="3"/>
    <x v="0"/>
  </r>
  <r>
    <x v="994"/>
    <x v="19"/>
    <x v="0"/>
    <x v="0"/>
    <x v="2"/>
    <s v="2025-02-28"/>
    <s v="2025-03-07"/>
    <n v="7"/>
    <n v="9167.52"/>
    <x v="1"/>
    <s v="Discharged"/>
    <x v="2"/>
    <x v="0"/>
  </r>
  <r>
    <x v="995"/>
    <x v="70"/>
    <x v="1"/>
    <x v="0"/>
    <x v="0"/>
    <s v="2025-06-09"/>
    <s v="2025-06-18"/>
    <n v="9"/>
    <n v="9312.0400000000009"/>
    <x v="0"/>
    <s v="Discharged"/>
    <x v="1"/>
    <x v="1"/>
  </r>
  <r>
    <x v="996"/>
    <x v="35"/>
    <x v="0"/>
    <x v="2"/>
    <x v="2"/>
    <s v="2025-04-07"/>
    <s v="2025-04-13"/>
    <n v="6"/>
    <n v="11850.92"/>
    <x v="0"/>
    <s v="Discharged"/>
    <x v="4"/>
    <x v="0"/>
  </r>
  <r>
    <x v="997"/>
    <x v="2"/>
    <x v="0"/>
    <x v="2"/>
    <x v="2"/>
    <s v="2025-04-18"/>
    <s v="2025-04-26"/>
    <n v="8"/>
    <n v="14710.13"/>
    <x v="0"/>
    <s v="Discharged"/>
    <x v="1"/>
    <x v="1"/>
  </r>
  <r>
    <x v="998"/>
    <x v="62"/>
    <x v="0"/>
    <x v="1"/>
    <x v="1"/>
    <s v="2025-06-21"/>
    <s v="2025-06-26"/>
    <n v="5"/>
    <n v="8020.64"/>
    <x v="0"/>
    <s v="Transferred"/>
    <x v="2"/>
    <x v="0"/>
  </r>
  <r>
    <x v="999"/>
    <x v="33"/>
    <x v="1"/>
    <x v="1"/>
    <x v="2"/>
    <s v="2025-03-24"/>
    <s v="2025-03-28"/>
    <n v="4"/>
    <n v="3758.58"/>
    <x v="0"/>
    <s v="Discharged"/>
    <x v="2"/>
    <x v="0"/>
  </r>
  <r>
    <x v="1000"/>
    <x v="64"/>
    <x v="1"/>
    <x v="1"/>
    <x v="0"/>
    <s v="2025-12-24"/>
    <s v="2025-12-28"/>
    <n v="4"/>
    <n v="5222.2"/>
    <x v="0"/>
    <s v="Discharged"/>
    <x v="4"/>
    <x v="0"/>
  </r>
  <r>
    <x v="1001"/>
    <x v="69"/>
    <x v="1"/>
    <x v="4"/>
    <x v="2"/>
    <s v="2025-04-20"/>
    <s v="2025-04-25"/>
    <n v="5"/>
    <n v="10717.44"/>
    <x v="0"/>
    <s v="Discharged"/>
    <x v="3"/>
    <x v="0"/>
  </r>
  <r>
    <x v="1002"/>
    <x v="14"/>
    <x v="1"/>
    <x v="1"/>
    <x v="2"/>
    <s v="2025-02-27"/>
    <s v="2025-03-06"/>
    <n v="7"/>
    <n v="10526.05"/>
    <x v="0"/>
    <s v="Discharged"/>
    <x v="0"/>
    <x v="0"/>
  </r>
  <r>
    <x v="1003"/>
    <x v="32"/>
    <x v="1"/>
    <x v="0"/>
    <x v="2"/>
    <s v="2025-04-09"/>
    <s v="2025-04-14"/>
    <n v="5"/>
    <n v="9300.2999999999993"/>
    <x v="0"/>
    <s v="Discharged"/>
    <x v="3"/>
    <x v="0"/>
  </r>
  <r>
    <x v="1004"/>
    <x v="5"/>
    <x v="1"/>
    <x v="1"/>
    <x v="1"/>
    <s v="2025-05-04"/>
    <s v="2025-05-05"/>
    <n v="1"/>
    <n v="3382.13"/>
    <x v="0"/>
    <s v="Discharged"/>
    <x v="0"/>
    <x v="0"/>
  </r>
  <r>
    <x v="1005"/>
    <x v="53"/>
    <x v="0"/>
    <x v="2"/>
    <x v="2"/>
    <s v="2025-11-29"/>
    <s v="2025-12-01"/>
    <n v="2"/>
    <n v="8154.31"/>
    <x v="0"/>
    <s v="Discharged"/>
    <x v="4"/>
    <x v="0"/>
  </r>
  <r>
    <x v="1006"/>
    <x v="66"/>
    <x v="1"/>
    <x v="0"/>
    <x v="1"/>
    <s v="2025-07-05"/>
    <s v="2025-07-11"/>
    <n v="6"/>
    <n v="7659.72"/>
    <x v="0"/>
    <s v="Transferred"/>
    <x v="1"/>
    <x v="0"/>
  </r>
  <r>
    <x v="1007"/>
    <x v="63"/>
    <x v="0"/>
    <x v="5"/>
    <x v="0"/>
    <s v="2025-01-10"/>
    <s v="2025-01-16"/>
    <n v="6"/>
    <n v="10275.11"/>
    <x v="0"/>
    <s v="Discharged"/>
    <x v="3"/>
    <x v="0"/>
  </r>
  <r>
    <x v="1008"/>
    <x v="69"/>
    <x v="1"/>
    <x v="2"/>
    <x v="1"/>
    <s v="2025-05-08"/>
    <s v="2025-05-13"/>
    <n v="5"/>
    <n v="9502.5400000000009"/>
    <x v="1"/>
    <s v="Discharged"/>
    <x v="3"/>
    <x v="0"/>
  </r>
  <r>
    <x v="1009"/>
    <x v="61"/>
    <x v="1"/>
    <x v="1"/>
    <x v="0"/>
    <s v="2025-07-08"/>
    <s v="2025-07-09"/>
    <n v="1"/>
    <n v="4249.8599999999997"/>
    <x v="0"/>
    <s v="Discharged"/>
    <x v="4"/>
    <x v="0"/>
  </r>
  <r>
    <x v="1010"/>
    <x v="24"/>
    <x v="0"/>
    <x v="1"/>
    <x v="2"/>
    <s v="2025-12-14"/>
    <s v="2025-12-18"/>
    <n v="4"/>
    <n v="7464.11"/>
    <x v="0"/>
    <s v="Discharged"/>
    <x v="2"/>
    <x v="0"/>
  </r>
  <r>
    <x v="1011"/>
    <x v="10"/>
    <x v="1"/>
    <x v="2"/>
    <x v="1"/>
    <s v="2025-04-30"/>
    <s v="2025-05-06"/>
    <n v="6"/>
    <n v="11064.71"/>
    <x v="0"/>
    <s v="Discharged"/>
    <x v="4"/>
    <x v="0"/>
  </r>
  <r>
    <x v="1012"/>
    <x v="53"/>
    <x v="1"/>
    <x v="0"/>
    <x v="2"/>
    <s v="2025-09-02"/>
    <s v="2025-09-08"/>
    <n v="6"/>
    <n v="7291.05"/>
    <x v="0"/>
    <s v="Discharged"/>
    <x v="4"/>
    <x v="0"/>
  </r>
  <r>
    <x v="1013"/>
    <x v="11"/>
    <x v="1"/>
    <x v="0"/>
    <x v="0"/>
    <s v="2025-04-22"/>
    <s v="2025-04-28"/>
    <n v="6"/>
    <n v="8934.16"/>
    <x v="0"/>
    <s v="Discharged"/>
    <x v="2"/>
    <x v="0"/>
  </r>
  <r>
    <x v="1014"/>
    <x v="23"/>
    <x v="0"/>
    <x v="1"/>
    <x v="2"/>
    <s v="2025-02-08"/>
    <s v="2025-02-16"/>
    <n v="8"/>
    <n v="7028.29"/>
    <x v="0"/>
    <s v="Discharged"/>
    <x v="3"/>
    <x v="1"/>
  </r>
  <r>
    <x v="1015"/>
    <x v="31"/>
    <x v="0"/>
    <x v="1"/>
    <x v="0"/>
    <s v="2025-04-06"/>
    <s v="2025-04-12"/>
    <n v="6"/>
    <n v="7060.69"/>
    <x v="1"/>
    <s v="Discharged"/>
    <x v="2"/>
    <x v="0"/>
  </r>
  <r>
    <x v="1016"/>
    <x v="20"/>
    <x v="0"/>
    <x v="3"/>
    <x v="0"/>
    <s v="2025-10-09"/>
    <s v="2025-10-15"/>
    <n v="6"/>
    <n v="10795.53"/>
    <x v="1"/>
    <s v="Discharged"/>
    <x v="0"/>
    <x v="0"/>
  </r>
  <r>
    <x v="1017"/>
    <x v="9"/>
    <x v="1"/>
    <x v="0"/>
    <x v="2"/>
    <s v="2025-11-14"/>
    <s v="2025-11-22"/>
    <n v="8"/>
    <n v="9922.43"/>
    <x v="0"/>
    <s v="Discharged"/>
    <x v="4"/>
    <x v="1"/>
  </r>
  <r>
    <x v="1018"/>
    <x v="39"/>
    <x v="1"/>
    <x v="4"/>
    <x v="2"/>
    <s v="2025-01-01"/>
    <s v="2025-01-07"/>
    <n v="6"/>
    <n v="10176.959999999999"/>
    <x v="0"/>
    <s v="Discharged"/>
    <x v="4"/>
    <x v="0"/>
  </r>
  <r>
    <x v="1019"/>
    <x v="53"/>
    <x v="1"/>
    <x v="3"/>
    <x v="1"/>
    <s v="2025-12-28"/>
    <s v="2026-01-03"/>
    <n v="6"/>
    <n v="13052.2"/>
    <x v="0"/>
    <s v="Discharged"/>
    <x v="4"/>
    <x v="0"/>
  </r>
  <r>
    <x v="1020"/>
    <x v="64"/>
    <x v="1"/>
    <x v="1"/>
    <x v="0"/>
    <s v="2025-04-10"/>
    <s v="2025-04-14"/>
    <n v="4"/>
    <n v="4315.55"/>
    <x v="1"/>
    <s v="Discharged"/>
    <x v="4"/>
    <x v="0"/>
  </r>
  <r>
    <x v="1021"/>
    <x v="4"/>
    <x v="1"/>
    <x v="5"/>
    <x v="1"/>
    <s v="2025-09-22"/>
    <s v="2025-09-28"/>
    <n v="6"/>
    <n v="8266.68"/>
    <x v="0"/>
    <s v="Discharged"/>
    <x v="2"/>
    <x v="0"/>
  </r>
  <r>
    <x v="1022"/>
    <x v="42"/>
    <x v="1"/>
    <x v="1"/>
    <x v="2"/>
    <s v="2025-01-13"/>
    <s v="2025-01-18"/>
    <n v="5"/>
    <n v="8274.09"/>
    <x v="0"/>
    <s v="Transferred"/>
    <x v="4"/>
    <x v="0"/>
  </r>
  <r>
    <x v="1023"/>
    <x v="14"/>
    <x v="1"/>
    <x v="0"/>
    <x v="0"/>
    <s v="2025-07-01"/>
    <s v="2025-07-03"/>
    <n v="2"/>
    <n v="8764.6"/>
    <x v="0"/>
    <s v="Discharged"/>
    <x v="0"/>
    <x v="0"/>
  </r>
  <r>
    <x v="1024"/>
    <x v="70"/>
    <x v="1"/>
    <x v="0"/>
    <x v="0"/>
    <s v="2025-05-21"/>
    <s v="2025-05-25"/>
    <n v="4"/>
    <n v="6111.5"/>
    <x v="0"/>
    <s v="Discharged"/>
    <x v="1"/>
    <x v="0"/>
  </r>
  <r>
    <x v="1025"/>
    <x v="17"/>
    <x v="1"/>
    <x v="0"/>
    <x v="2"/>
    <s v="2025-10-31"/>
    <s v="2025-11-07"/>
    <n v="7"/>
    <n v="9072.41"/>
    <x v="0"/>
    <s v="Discharged"/>
    <x v="2"/>
    <x v="0"/>
  </r>
  <r>
    <x v="1026"/>
    <x v="41"/>
    <x v="1"/>
    <x v="1"/>
    <x v="2"/>
    <s v="2025-07-23"/>
    <s v="2025-07-24"/>
    <n v="1"/>
    <n v="3925.35"/>
    <x v="0"/>
    <s v="Discharged"/>
    <x v="1"/>
    <x v="0"/>
  </r>
  <r>
    <x v="1027"/>
    <x v="9"/>
    <x v="1"/>
    <x v="1"/>
    <x v="2"/>
    <s v="2025-11-08"/>
    <s v="2025-11-10"/>
    <n v="2"/>
    <n v="2919.51"/>
    <x v="0"/>
    <s v="Discharged"/>
    <x v="4"/>
    <x v="0"/>
  </r>
  <r>
    <x v="1028"/>
    <x v="32"/>
    <x v="0"/>
    <x v="0"/>
    <x v="2"/>
    <s v="2025-10-21"/>
    <m/>
    <n v="6"/>
    <n v="5531.32"/>
    <x v="0"/>
    <s v="Discharged"/>
    <x v="3"/>
    <x v="0"/>
  </r>
  <r>
    <x v="1029"/>
    <x v="61"/>
    <x v="1"/>
    <x v="1"/>
    <x v="0"/>
    <s v="2025-07-03"/>
    <s v="2025-07-05"/>
    <n v="2"/>
    <n v="4134.0600000000004"/>
    <x v="0"/>
    <s v="Discharged"/>
    <x v="4"/>
    <x v="0"/>
  </r>
  <r>
    <x v="1030"/>
    <x v="50"/>
    <x v="1"/>
    <x v="1"/>
    <x v="0"/>
    <s v="2025-10-01"/>
    <s v="2025-10-06"/>
    <n v="5"/>
    <n v="5171.78"/>
    <x v="0"/>
    <s v="Discharged"/>
    <x v="0"/>
    <x v="0"/>
  </r>
  <r>
    <x v="1031"/>
    <x v="43"/>
    <x v="1"/>
    <x v="1"/>
    <x v="1"/>
    <s v="2025-09-01"/>
    <s v="2025-09-05"/>
    <n v="4"/>
    <n v="3391.88"/>
    <x v="0"/>
    <s v="Discharged"/>
    <x v="2"/>
    <x v="0"/>
  </r>
  <r>
    <x v="1032"/>
    <x v="34"/>
    <x v="1"/>
    <x v="1"/>
    <x v="0"/>
    <s v="2025-05-28"/>
    <s v="2025-06-02"/>
    <n v="5"/>
    <n v="7742.74"/>
    <x v="0"/>
    <s v="Transferred"/>
    <x v="2"/>
    <x v="0"/>
  </r>
  <r>
    <x v="1033"/>
    <x v="6"/>
    <x v="1"/>
    <x v="0"/>
    <x v="2"/>
    <s v="2025-04-11"/>
    <s v="2025-04-21"/>
    <n v="10"/>
    <n v="10084.74"/>
    <x v="0"/>
    <s v="Discharged"/>
    <x v="3"/>
    <x v="1"/>
  </r>
  <r>
    <x v="1034"/>
    <x v="24"/>
    <x v="1"/>
    <x v="3"/>
    <x v="1"/>
    <s v="2025-08-02"/>
    <s v="2025-08-09"/>
    <n v="7"/>
    <n v="15183.87"/>
    <x v="0"/>
    <s v="Discharged"/>
    <x v="2"/>
    <x v="0"/>
  </r>
  <r>
    <x v="1035"/>
    <x v="1"/>
    <x v="1"/>
    <x v="1"/>
    <x v="2"/>
    <s v="2025-10-07"/>
    <s v="2025-10-11"/>
    <n v="4"/>
    <n v="5414.16"/>
    <x v="0"/>
    <s v="Discharged"/>
    <x v="0"/>
    <x v="0"/>
  </r>
  <r>
    <x v="1036"/>
    <x v="38"/>
    <x v="0"/>
    <x v="1"/>
    <x v="1"/>
    <s v="2025-08-18"/>
    <s v="2025-08-22"/>
    <n v="4"/>
    <n v="3992.88"/>
    <x v="1"/>
    <s v="Discharged"/>
    <x v="0"/>
    <x v="0"/>
  </r>
  <r>
    <x v="1037"/>
    <x v="32"/>
    <x v="0"/>
    <x v="0"/>
    <x v="1"/>
    <s v="2025-03-02"/>
    <s v="2025-03-10"/>
    <n v="8"/>
    <n v="10116.450000000001"/>
    <x v="0"/>
    <s v="Discharged"/>
    <x v="3"/>
    <x v="1"/>
  </r>
  <r>
    <x v="1038"/>
    <x v="16"/>
    <x v="1"/>
    <x v="0"/>
    <x v="1"/>
    <s v="2025-02-15"/>
    <s v="2025-02-21"/>
    <n v="6"/>
    <n v="4516.3500000000004"/>
    <x v="0"/>
    <s v="Discharged"/>
    <x v="4"/>
    <x v="0"/>
  </r>
  <r>
    <x v="1039"/>
    <x v="41"/>
    <x v="0"/>
    <x v="3"/>
    <x v="2"/>
    <s v="2025-06-12"/>
    <s v="2025-06-20"/>
    <n v="8"/>
    <n v="12890.03"/>
    <x v="0"/>
    <s v="Discharged"/>
    <x v="1"/>
    <x v="1"/>
  </r>
  <r>
    <x v="1040"/>
    <x v="16"/>
    <x v="0"/>
    <x v="1"/>
    <x v="0"/>
    <s v="2025-07-09"/>
    <s v="2025-07-14"/>
    <n v="5"/>
    <n v="4618.3500000000004"/>
    <x v="0"/>
    <s v="Discharged"/>
    <x v="4"/>
    <x v="0"/>
  </r>
  <r>
    <x v="1041"/>
    <x v="24"/>
    <x v="0"/>
    <x v="0"/>
    <x v="2"/>
    <s v="2025-06-12"/>
    <s v="2025-06-18"/>
    <n v="6"/>
    <n v="8231.7000000000007"/>
    <x v="0"/>
    <s v="Discharged"/>
    <x v="2"/>
    <x v="0"/>
  </r>
  <r>
    <x v="1042"/>
    <x v="63"/>
    <x v="0"/>
    <x v="2"/>
    <x v="0"/>
    <s v="2025-09-27"/>
    <s v="2025-10-04"/>
    <n v="7"/>
    <n v="12736.1"/>
    <x v="1"/>
    <s v="Discharged"/>
    <x v="3"/>
    <x v="0"/>
  </r>
  <r>
    <x v="1043"/>
    <x v="3"/>
    <x v="1"/>
    <x v="1"/>
    <x v="2"/>
    <s v="2025-12-11"/>
    <s v="2025-12-19"/>
    <n v="8"/>
    <n v="7584.03"/>
    <x v="0"/>
    <s v="Discharged"/>
    <x v="0"/>
    <x v="1"/>
  </r>
  <r>
    <x v="1044"/>
    <x v="67"/>
    <x v="0"/>
    <x v="1"/>
    <x v="2"/>
    <s v="2025-07-20"/>
    <s v="2025-07-26"/>
    <n v="6"/>
    <n v="7109.98"/>
    <x v="0"/>
    <s v="Transferred"/>
    <x v="3"/>
    <x v="0"/>
  </r>
  <r>
    <x v="1045"/>
    <x v="9"/>
    <x v="0"/>
    <x v="1"/>
    <x v="0"/>
    <s v="2025-12-02"/>
    <s v="2025-12-04"/>
    <n v="2"/>
    <n v="350"/>
    <x v="0"/>
    <s v="Discharged"/>
    <x v="4"/>
    <x v="0"/>
  </r>
  <r>
    <x v="1046"/>
    <x v="13"/>
    <x v="0"/>
    <x v="5"/>
    <x v="0"/>
    <s v="2025-05-28"/>
    <s v="2025-06-03"/>
    <n v="6"/>
    <n v="9676.5"/>
    <x v="0"/>
    <s v="Discharged"/>
    <x v="1"/>
    <x v="0"/>
  </r>
  <r>
    <x v="1047"/>
    <x v="3"/>
    <x v="1"/>
    <x v="4"/>
    <x v="2"/>
    <s v="2025-11-11"/>
    <s v="2025-11-21"/>
    <n v="10"/>
    <n v="11710.26"/>
    <x v="0"/>
    <s v="Discharged"/>
    <x v="0"/>
    <x v="1"/>
  </r>
  <r>
    <x v="1048"/>
    <x v="40"/>
    <x v="1"/>
    <x v="0"/>
    <x v="0"/>
    <s v="2025-10-26"/>
    <s v="2025-10-28"/>
    <n v="2"/>
    <n v="5938.37"/>
    <x v="0"/>
    <s v="Discharged"/>
    <x v="1"/>
    <x v="0"/>
  </r>
  <r>
    <x v="1049"/>
    <x v="72"/>
    <x v="0"/>
    <x v="0"/>
    <x v="0"/>
    <s v="2025-02-04"/>
    <s v="2025-02-09"/>
    <n v="5"/>
    <n v="8533.2000000000007"/>
    <x v="0"/>
    <s v="Discharged"/>
    <x v="2"/>
    <x v="0"/>
  </r>
  <r>
    <x v="1050"/>
    <x v="14"/>
    <x v="0"/>
    <x v="5"/>
    <x v="0"/>
    <s v="2025-07-21"/>
    <s v="2025-07-27"/>
    <n v="6"/>
    <n v="10951.12"/>
    <x v="0"/>
    <s v="Discharged"/>
    <x v="0"/>
    <x v="0"/>
  </r>
  <r>
    <x v="1051"/>
    <x v="18"/>
    <x v="1"/>
    <x v="1"/>
    <x v="1"/>
    <s v="2025-12-22"/>
    <s v="2025-12-29"/>
    <n v="7"/>
    <n v="8378.34"/>
    <x v="0"/>
    <s v="Discharged"/>
    <x v="3"/>
    <x v="0"/>
  </r>
  <r>
    <x v="1052"/>
    <x v="13"/>
    <x v="0"/>
    <x v="5"/>
    <x v="1"/>
    <s v="2025-01-19"/>
    <s v="2025-01-25"/>
    <n v="6"/>
    <n v="10483.51"/>
    <x v="0"/>
    <s v="Discharged"/>
    <x v="1"/>
    <x v="0"/>
  </r>
  <r>
    <x v="1053"/>
    <x v="53"/>
    <x v="0"/>
    <x v="2"/>
    <x v="0"/>
    <s v="2025-01-25"/>
    <s v="2025-02-01"/>
    <n v="7"/>
    <n v="9204.74"/>
    <x v="1"/>
    <s v="Discharged"/>
    <x v="4"/>
    <x v="0"/>
  </r>
  <r>
    <x v="1054"/>
    <x v="67"/>
    <x v="0"/>
    <x v="1"/>
    <x v="2"/>
    <s v="2025-08-04"/>
    <s v="2025-08-10"/>
    <n v="6"/>
    <n v="6704.59"/>
    <x v="0"/>
    <s v="Discharged"/>
    <x v="3"/>
    <x v="0"/>
  </r>
  <r>
    <x v="1055"/>
    <x v="24"/>
    <x v="0"/>
    <x v="0"/>
    <x v="1"/>
    <s v="2025-12-10"/>
    <s v="2025-12-12"/>
    <n v="2"/>
    <n v="5287.16"/>
    <x v="0"/>
    <s v="Transferred"/>
    <x v="2"/>
    <x v="0"/>
  </r>
  <r>
    <x v="1056"/>
    <x v="61"/>
    <x v="0"/>
    <x v="3"/>
    <x v="0"/>
    <s v="2025-07-11"/>
    <s v="2025-07-13"/>
    <n v="2"/>
    <n v="10588.01"/>
    <x v="0"/>
    <s v="Discharged"/>
    <x v="4"/>
    <x v="0"/>
  </r>
  <r>
    <x v="1057"/>
    <x v="31"/>
    <x v="1"/>
    <x v="2"/>
    <x v="0"/>
    <s v="2025-07-12"/>
    <s v="2025-07-20"/>
    <n v="8"/>
    <n v="11393.45"/>
    <x v="1"/>
    <s v="Discharged"/>
    <x v="2"/>
    <x v="1"/>
  </r>
  <r>
    <x v="1058"/>
    <x v="5"/>
    <x v="1"/>
    <x v="2"/>
    <x v="1"/>
    <s v="2025-02-18"/>
    <s v="2025-02-22"/>
    <n v="4"/>
    <n v="9287.7199999999993"/>
    <x v="1"/>
    <s v="Discharged"/>
    <x v="0"/>
    <x v="0"/>
  </r>
  <r>
    <x v="1059"/>
    <x v="55"/>
    <x v="0"/>
    <x v="5"/>
    <x v="1"/>
    <s v="2025-12-21"/>
    <s v="2025-12-28"/>
    <n v="7"/>
    <n v="10909.52"/>
    <x v="0"/>
    <s v="Discharged"/>
    <x v="4"/>
    <x v="0"/>
  </r>
  <r>
    <x v="1060"/>
    <x v="67"/>
    <x v="1"/>
    <x v="3"/>
    <x v="2"/>
    <s v="2025-01-02"/>
    <s v="2025-01-09"/>
    <n v="7"/>
    <n v="11873.26"/>
    <x v="0"/>
    <s v="Discharged"/>
    <x v="3"/>
    <x v="0"/>
  </r>
  <r>
    <x v="1061"/>
    <x v="42"/>
    <x v="0"/>
    <x v="5"/>
    <x v="1"/>
    <s v="2025-04-25"/>
    <s v="2025-04-27"/>
    <n v="2"/>
    <n v="9305"/>
    <x v="0"/>
    <s v="Discharged"/>
    <x v="4"/>
    <x v="0"/>
  </r>
  <r>
    <x v="1062"/>
    <x v="22"/>
    <x v="1"/>
    <x v="1"/>
    <x v="0"/>
    <s v="2025-07-14"/>
    <s v="2025-07-18"/>
    <n v="4"/>
    <n v="6943.19"/>
    <x v="0"/>
    <s v="Discharged"/>
    <x v="3"/>
    <x v="0"/>
  </r>
  <r>
    <x v="1063"/>
    <x v="31"/>
    <x v="1"/>
    <x v="1"/>
    <x v="0"/>
    <s v="2025-10-08"/>
    <s v="2025-10-14"/>
    <n v="6"/>
    <n v="5875.37"/>
    <x v="0"/>
    <s v="Discharged"/>
    <x v="2"/>
    <x v="0"/>
  </r>
  <r>
    <x v="1064"/>
    <x v="13"/>
    <x v="0"/>
    <x v="4"/>
    <x v="2"/>
    <s v="2025-05-27"/>
    <s v="2025-06-02"/>
    <n v="6"/>
    <n v="11491.55"/>
    <x v="1"/>
    <s v="Discharged"/>
    <x v="1"/>
    <x v="0"/>
  </r>
  <r>
    <x v="1065"/>
    <x v="52"/>
    <x v="1"/>
    <x v="1"/>
    <x v="2"/>
    <s v="2025-10-06"/>
    <s v="2025-10-10"/>
    <n v="4"/>
    <n v="6806.44"/>
    <x v="0"/>
    <s v="Discharged"/>
    <x v="4"/>
    <x v="0"/>
  </r>
  <r>
    <x v="1066"/>
    <x v="54"/>
    <x v="1"/>
    <x v="3"/>
    <x v="1"/>
    <s v="2025-07-31"/>
    <s v="2025-08-08"/>
    <n v="8"/>
    <n v="13711.27"/>
    <x v="0"/>
    <s v="Discharged"/>
    <x v="2"/>
    <x v="1"/>
  </r>
  <r>
    <x v="1067"/>
    <x v="5"/>
    <x v="0"/>
    <x v="4"/>
    <x v="1"/>
    <s v="2025-05-08"/>
    <s v="2025-05-16"/>
    <n v="8"/>
    <n v="15040.66"/>
    <x v="0"/>
    <s v="Discharged"/>
    <x v="0"/>
    <x v="1"/>
  </r>
  <r>
    <x v="1068"/>
    <x v="5"/>
    <x v="0"/>
    <x v="5"/>
    <x v="0"/>
    <s v="2025-02-06"/>
    <s v="2025-02-11"/>
    <n v="5"/>
    <n v="10034.15"/>
    <x v="0"/>
    <s v="Discharged"/>
    <x v="0"/>
    <x v="0"/>
  </r>
  <r>
    <x v="1069"/>
    <x v="4"/>
    <x v="0"/>
    <x v="0"/>
    <x v="0"/>
    <s v="2025-07-21"/>
    <s v="2025-07-26"/>
    <n v="5"/>
    <n v="6817.21"/>
    <x v="0"/>
    <s v="Discharged"/>
    <x v="2"/>
    <x v="0"/>
  </r>
  <r>
    <x v="1070"/>
    <x v="6"/>
    <x v="1"/>
    <x v="3"/>
    <x v="0"/>
    <s v="2025-12-21"/>
    <s v="2025-12-28"/>
    <n v="7"/>
    <n v="14319.65"/>
    <x v="1"/>
    <s v="Discharged"/>
    <x v="3"/>
    <x v="0"/>
  </r>
  <r>
    <x v="1071"/>
    <x v="56"/>
    <x v="2"/>
    <x v="5"/>
    <x v="2"/>
    <s v="2025-06-17"/>
    <s v="2025-06-24"/>
    <n v="7"/>
    <n v="9704.2999999999993"/>
    <x v="0"/>
    <s v="Discharged"/>
    <x v="0"/>
    <x v="0"/>
  </r>
  <r>
    <x v="1072"/>
    <x v="55"/>
    <x v="1"/>
    <x v="5"/>
    <x v="2"/>
    <s v="2025-02-13"/>
    <s v="2025-02-19"/>
    <n v="6"/>
    <n v="8591.73"/>
    <x v="0"/>
    <s v="Discharged"/>
    <x v="4"/>
    <x v="0"/>
  </r>
  <r>
    <x v="1073"/>
    <x v="47"/>
    <x v="0"/>
    <x v="2"/>
    <x v="2"/>
    <s v="2025-06-02"/>
    <s v="2025-06-08"/>
    <n v="6"/>
    <n v="11063.54"/>
    <x v="1"/>
    <s v="Discharged"/>
    <x v="4"/>
    <x v="0"/>
  </r>
  <r>
    <x v="1074"/>
    <x v="42"/>
    <x v="0"/>
    <x v="1"/>
    <x v="2"/>
    <s v="2025-04-21"/>
    <s v="2025-04-27"/>
    <n v="6"/>
    <n v="6694.8"/>
    <x v="0"/>
    <s v="Discharged"/>
    <x v="4"/>
    <x v="0"/>
  </r>
  <r>
    <x v="1075"/>
    <x v="17"/>
    <x v="1"/>
    <x v="5"/>
    <x v="0"/>
    <s v="2025-04-12"/>
    <s v="2025-04-18"/>
    <n v="6"/>
    <n v="10755.4"/>
    <x v="0"/>
    <s v="Transferred"/>
    <x v="2"/>
    <x v="0"/>
  </r>
  <r>
    <x v="1076"/>
    <x v="71"/>
    <x v="0"/>
    <x v="2"/>
    <x v="2"/>
    <s v="2025-07-27"/>
    <s v="2025-08-04"/>
    <n v="8"/>
    <n v="13518.2"/>
    <x v="0"/>
    <s v="Other"/>
    <x v="1"/>
    <x v="1"/>
  </r>
  <r>
    <x v="1077"/>
    <x v="56"/>
    <x v="0"/>
    <x v="0"/>
    <x v="1"/>
    <s v="2025-10-07"/>
    <s v="2025-10-11"/>
    <n v="4"/>
    <n v="4010.52"/>
    <x v="0"/>
    <s v="Discharged"/>
    <x v="0"/>
    <x v="0"/>
  </r>
  <r>
    <x v="1078"/>
    <x v="41"/>
    <x v="0"/>
    <x v="0"/>
    <x v="1"/>
    <s v="2025-07-30"/>
    <s v="2025-08-02"/>
    <n v="3"/>
    <n v="3173.79"/>
    <x v="0"/>
    <s v="Discharged"/>
    <x v="1"/>
    <x v="0"/>
  </r>
  <r>
    <x v="1079"/>
    <x v="68"/>
    <x v="0"/>
    <x v="4"/>
    <x v="0"/>
    <s v="2025-08-31"/>
    <s v="2025-09-04"/>
    <n v="4"/>
    <n v="10177.290000000001"/>
    <x v="0"/>
    <s v="Discharged"/>
    <x v="3"/>
    <x v="0"/>
  </r>
  <r>
    <x v="1080"/>
    <x v="41"/>
    <x v="0"/>
    <x v="2"/>
    <x v="0"/>
    <s v="2025-12-08"/>
    <s v="2025-12-13"/>
    <n v="5"/>
    <n v="11106.32"/>
    <x v="0"/>
    <s v="Discharged"/>
    <x v="1"/>
    <x v="0"/>
  </r>
  <r>
    <x v="1081"/>
    <x v="29"/>
    <x v="1"/>
    <x v="0"/>
    <x v="2"/>
    <s v="2025-10-16"/>
    <s v="2025-10-20"/>
    <n v="4"/>
    <n v="9102.34"/>
    <x v="0"/>
    <s v="Discharged"/>
    <x v="3"/>
    <x v="0"/>
  </r>
  <r>
    <x v="1082"/>
    <x v="28"/>
    <x v="1"/>
    <x v="2"/>
    <x v="2"/>
    <s v="2025-06-03"/>
    <s v="2025-06-05"/>
    <n v="2"/>
    <n v="7006.26"/>
    <x v="0"/>
    <s v="Discharged"/>
    <x v="4"/>
    <x v="0"/>
  </r>
  <r>
    <x v="1083"/>
    <x v="68"/>
    <x v="1"/>
    <x v="0"/>
    <x v="1"/>
    <s v="2025-04-02"/>
    <s v="2025-04-11"/>
    <n v="9"/>
    <n v="9197.24"/>
    <x v="0"/>
    <s v="Discharged"/>
    <x v="3"/>
    <x v="1"/>
  </r>
  <r>
    <x v="1084"/>
    <x v="34"/>
    <x v="0"/>
    <x v="1"/>
    <x v="0"/>
    <s v="2025-03-29"/>
    <s v="2025-04-01"/>
    <n v="3"/>
    <n v="4507.92"/>
    <x v="0"/>
    <s v="Discharged"/>
    <x v="2"/>
    <x v="0"/>
  </r>
  <r>
    <x v="1085"/>
    <x v="70"/>
    <x v="1"/>
    <x v="1"/>
    <x v="2"/>
    <s v="2025-01-19"/>
    <s v="2025-01-22"/>
    <n v="3"/>
    <n v="5603.48"/>
    <x v="0"/>
    <s v="Discharged"/>
    <x v="1"/>
    <x v="0"/>
  </r>
  <r>
    <x v="1086"/>
    <x v="48"/>
    <x v="0"/>
    <x v="1"/>
    <x v="2"/>
    <s v="2025-01-01"/>
    <s v="2025-01-06"/>
    <n v="5"/>
    <n v="3473.11"/>
    <x v="0"/>
    <s v="Discharged"/>
    <x v="0"/>
    <x v="0"/>
  </r>
  <r>
    <x v="1087"/>
    <x v="35"/>
    <x v="0"/>
    <x v="2"/>
    <x v="0"/>
    <s v="2025-09-20"/>
    <s v="2025-09-28"/>
    <n v="8"/>
    <n v="9920.84"/>
    <x v="0"/>
    <s v="Discharged"/>
    <x v="4"/>
    <x v="1"/>
  </r>
  <r>
    <x v="1088"/>
    <x v="62"/>
    <x v="0"/>
    <x v="5"/>
    <x v="2"/>
    <s v="2025-09-20"/>
    <s v="2025-09-23"/>
    <n v="3"/>
    <n v="5783.59"/>
    <x v="0"/>
    <s v="Discharged"/>
    <x v="2"/>
    <x v="0"/>
  </r>
  <r>
    <x v="1089"/>
    <x v="52"/>
    <x v="1"/>
    <x v="4"/>
    <x v="0"/>
    <s v="2025-11-30"/>
    <s v="2025-12-04"/>
    <n v="4"/>
    <n v="11417.34"/>
    <x v="0"/>
    <s v="Discharged"/>
    <x v="4"/>
    <x v="0"/>
  </r>
  <r>
    <x v="1090"/>
    <x v="39"/>
    <x v="1"/>
    <x v="1"/>
    <x v="1"/>
    <s v="2025-11-23"/>
    <s v="2025-11-26"/>
    <n v="3"/>
    <n v="2806.69"/>
    <x v="0"/>
    <s v="Discharged"/>
    <x v="4"/>
    <x v="0"/>
  </r>
  <r>
    <x v="1091"/>
    <x v="14"/>
    <x v="1"/>
    <x v="5"/>
    <x v="0"/>
    <s v="2025-07-30"/>
    <s v="2025-08-04"/>
    <n v="5"/>
    <n v="9912.42"/>
    <x v="0"/>
    <s v="Discharged"/>
    <x v="0"/>
    <x v="0"/>
  </r>
  <r>
    <x v="1092"/>
    <x v="71"/>
    <x v="0"/>
    <x v="2"/>
    <x v="1"/>
    <s v="2025-12-20"/>
    <s v="2025-12-28"/>
    <n v="8"/>
    <n v="13492.78"/>
    <x v="0"/>
    <s v="Discharged"/>
    <x v="1"/>
    <x v="1"/>
  </r>
  <r>
    <x v="1093"/>
    <x v="8"/>
    <x v="2"/>
    <x v="0"/>
    <x v="2"/>
    <s v="2025-07-26"/>
    <s v="2025-08-01"/>
    <n v="6"/>
    <n v="5060.55"/>
    <x v="0"/>
    <s v="Discharged"/>
    <x v="3"/>
    <x v="0"/>
  </r>
  <r>
    <x v="1094"/>
    <x v="0"/>
    <x v="1"/>
    <x v="1"/>
    <x v="0"/>
    <s v="2025-10-29"/>
    <s v="2025-11-04"/>
    <n v="6"/>
    <n v="4937.18"/>
    <x v="0"/>
    <s v="Discharged"/>
    <x v="0"/>
    <x v="0"/>
  </r>
  <r>
    <x v="1095"/>
    <x v="47"/>
    <x v="0"/>
    <x v="0"/>
    <x v="2"/>
    <s v="2025-08-21"/>
    <s v="2025-08-26"/>
    <n v="5"/>
    <n v="5568.35"/>
    <x v="0"/>
    <s v="Discharged"/>
    <x v="4"/>
    <x v="0"/>
  </r>
  <r>
    <x v="1096"/>
    <x v="58"/>
    <x v="0"/>
    <x v="0"/>
    <x v="1"/>
    <s v="2025-05-12"/>
    <s v="2025-05-19"/>
    <n v="7"/>
    <n v="8291.2000000000007"/>
    <x v="1"/>
    <s v="Discharged"/>
    <x v="2"/>
    <x v="0"/>
  </r>
  <r>
    <x v="1097"/>
    <x v="10"/>
    <x v="0"/>
    <x v="3"/>
    <x v="0"/>
    <s v="2025-06-07"/>
    <s v="2025-06-11"/>
    <n v="4"/>
    <n v="11076.57"/>
    <x v="0"/>
    <s v="Discharged"/>
    <x v="4"/>
    <x v="0"/>
  </r>
  <r>
    <x v="1098"/>
    <x v="14"/>
    <x v="0"/>
    <x v="0"/>
    <x v="0"/>
    <s v="2025-03-19"/>
    <s v="2025-03-24"/>
    <n v="5"/>
    <n v="7955.52"/>
    <x v="0"/>
    <s v="Discharged"/>
    <x v="0"/>
    <x v="0"/>
  </r>
  <r>
    <x v="1099"/>
    <x v="62"/>
    <x v="1"/>
    <x v="5"/>
    <x v="0"/>
    <s v="2025-02-17"/>
    <s v="2025-02-19"/>
    <n v="2"/>
    <n v="9021.7999999999993"/>
    <x v="0"/>
    <s v="Transferred"/>
    <x v="2"/>
    <x v="0"/>
  </r>
  <r>
    <x v="1100"/>
    <x v="71"/>
    <x v="1"/>
    <x v="2"/>
    <x v="0"/>
    <s v="2025-07-11"/>
    <s v="2025-07-16"/>
    <n v="5"/>
    <n v="11257.85"/>
    <x v="0"/>
    <s v="Discharged"/>
    <x v="1"/>
    <x v="0"/>
  </r>
  <r>
    <x v="1101"/>
    <x v="71"/>
    <x v="0"/>
    <x v="0"/>
    <x v="2"/>
    <s v="2025-01-08"/>
    <s v="2025-01-14"/>
    <n v="6"/>
    <n v="7304.65"/>
    <x v="0"/>
    <s v="Discharged"/>
    <x v="1"/>
    <x v="0"/>
  </r>
  <r>
    <x v="1102"/>
    <x v="5"/>
    <x v="1"/>
    <x v="4"/>
    <x v="2"/>
    <s v="2025-09-06"/>
    <s v="2025-09-13"/>
    <n v="7"/>
    <n v="12278.93"/>
    <x v="0"/>
    <s v="Discharged"/>
    <x v="0"/>
    <x v="0"/>
  </r>
  <r>
    <x v="1103"/>
    <x v="70"/>
    <x v="1"/>
    <x v="1"/>
    <x v="2"/>
    <s v="2025-09-08"/>
    <s v="2025-09-09"/>
    <n v="1"/>
    <n v="2777.37"/>
    <x v="0"/>
    <s v="Discharged"/>
    <x v="1"/>
    <x v="0"/>
  </r>
  <r>
    <x v="1104"/>
    <x v="11"/>
    <x v="0"/>
    <x v="1"/>
    <x v="2"/>
    <s v="2025-12-15"/>
    <s v="2025-12-24"/>
    <n v="9"/>
    <n v="9421.4500000000007"/>
    <x v="0"/>
    <s v="Discharged"/>
    <x v="2"/>
    <x v="1"/>
  </r>
  <r>
    <x v="1105"/>
    <x v="18"/>
    <x v="1"/>
    <x v="2"/>
    <x v="2"/>
    <s v="2025-07-05"/>
    <s v="2025-07-11"/>
    <n v="6"/>
    <n v="12663.05"/>
    <x v="0"/>
    <s v="Discharged"/>
    <x v="3"/>
    <x v="0"/>
  </r>
  <r>
    <x v="1106"/>
    <x v="29"/>
    <x v="1"/>
    <x v="0"/>
    <x v="1"/>
    <s v="2025-09-24"/>
    <s v="2025-09-29"/>
    <n v="5"/>
    <n v="6189.11"/>
    <x v="0"/>
    <s v="Discharged"/>
    <x v="3"/>
    <x v="0"/>
  </r>
  <r>
    <x v="1107"/>
    <x v="9"/>
    <x v="1"/>
    <x v="0"/>
    <x v="1"/>
    <s v="2025-03-26"/>
    <s v="2025-04-03"/>
    <n v="8"/>
    <n v="8262.7800000000007"/>
    <x v="0"/>
    <s v="Discharged"/>
    <x v="4"/>
    <x v="1"/>
  </r>
  <r>
    <x v="1108"/>
    <x v="13"/>
    <x v="1"/>
    <x v="5"/>
    <x v="2"/>
    <s v="2025-02-05"/>
    <s v="2025-02-09"/>
    <n v="4"/>
    <n v="8736.4699999999993"/>
    <x v="0"/>
    <s v="Discharged"/>
    <x v="1"/>
    <x v="0"/>
  </r>
  <r>
    <x v="1109"/>
    <x v="47"/>
    <x v="0"/>
    <x v="1"/>
    <x v="1"/>
    <s v="2025-03-04"/>
    <s v="2025-03-08"/>
    <n v="4"/>
    <n v="5148.72"/>
    <x v="0"/>
    <s v="Discharged"/>
    <x v="4"/>
    <x v="0"/>
  </r>
  <r>
    <x v="1110"/>
    <x v="28"/>
    <x v="1"/>
    <x v="4"/>
    <x v="2"/>
    <s v="2025-09-03"/>
    <s v="2025-09-11"/>
    <n v="8"/>
    <n v="14502.5"/>
    <x v="0"/>
    <s v="Transferred"/>
    <x v="4"/>
    <x v="1"/>
  </r>
  <r>
    <x v="1111"/>
    <x v="48"/>
    <x v="0"/>
    <x v="5"/>
    <x v="1"/>
    <s v="2025-02-17"/>
    <s v="2025-02-24"/>
    <n v="7"/>
    <n v="10170.620000000001"/>
    <x v="1"/>
    <s v="Discharged"/>
    <x v="0"/>
    <x v="0"/>
  </r>
  <r>
    <x v="1112"/>
    <x v="27"/>
    <x v="0"/>
    <x v="0"/>
    <x v="1"/>
    <s v="2025-04-15"/>
    <s v="2025-04-18"/>
    <n v="3"/>
    <n v="7894.7"/>
    <x v="1"/>
    <s v="Discharged"/>
    <x v="1"/>
    <x v="0"/>
  </r>
  <r>
    <x v="1113"/>
    <x v="6"/>
    <x v="1"/>
    <x v="5"/>
    <x v="0"/>
    <s v="2025-10-13"/>
    <s v="2025-10-18"/>
    <n v="5"/>
    <n v="9659.5400000000009"/>
    <x v="0"/>
    <s v="Discharged"/>
    <x v="3"/>
    <x v="0"/>
  </r>
  <r>
    <x v="1114"/>
    <x v="7"/>
    <x v="1"/>
    <x v="3"/>
    <x v="0"/>
    <s v="2025-02-27"/>
    <s v="2025-03-10"/>
    <n v="11"/>
    <n v="13554.64"/>
    <x v="0"/>
    <s v="Discharged"/>
    <x v="4"/>
    <x v="1"/>
  </r>
  <r>
    <x v="1115"/>
    <x v="68"/>
    <x v="0"/>
    <x v="4"/>
    <x v="0"/>
    <s v="2025-03-31"/>
    <s v="2025-04-06"/>
    <n v="6"/>
    <n v="8176.09"/>
    <x v="0"/>
    <s v="Transferred"/>
    <x v="3"/>
    <x v="0"/>
  </r>
  <r>
    <x v="1116"/>
    <x v="9"/>
    <x v="0"/>
    <x v="2"/>
    <x v="2"/>
    <s v="2025-06-24"/>
    <s v="2025-06-30"/>
    <n v="6"/>
    <n v="11969.6"/>
    <x v="0"/>
    <s v="Discharged"/>
    <x v="4"/>
    <x v="0"/>
  </r>
  <r>
    <x v="1117"/>
    <x v="53"/>
    <x v="0"/>
    <x v="1"/>
    <x v="2"/>
    <s v="2025-04-09"/>
    <s v="2025-04-15"/>
    <n v="6"/>
    <n v="8526.39"/>
    <x v="1"/>
    <s v="Discharged"/>
    <x v="4"/>
    <x v="0"/>
  </r>
  <r>
    <x v="1118"/>
    <x v="67"/>
    <x v="1"/>
    <x v="0"/>
    <x v="1"/>
    <s v="2025-11-15"/>
    <s v="2025-11-20"/>
    <n v="5"/>
    <n v="8579.8799999999992"/>
    <x v="0"/>
    <s v="Discharged"/>
    <x v="3"/>
    <x v="0"/>
  </r>
  <r>
    <x v="1119"/>
    <x v="19"/>
    <x v="0"/>
    <x v="0"/>
    <x v="0"/>
    <s v="2025-05-22"/>
    <s v="2025-05-25"/>
    <n v="3"/>
    <n v="8284.1200000000008"/>
    <x v="0"/>
    <s v="Discharged"/>
    <x v="2"/>
    <x v="0"/>
  </r>
  <r>
    <x v="1120"/>
    <x v="60"/>
    <x v="1"/>
    <x v="2"/>
    <x v="2"/>
    <s v="2025-09-06"/>
    <s v="2025-09-15"/>
    <n v="9"/>
    <n v="13752.9"/>
    <x v="0"/>
    <s v="Discharged"/>
    <x v="3"/>
    <x v="1"/>
  </r>
  <r>
    <x v="1121"/>
    <x v="65"/>
    <x v="1"/>
    <x v="5"/>
    <x v="0"/>
    <s v="2025-02-14"/>
    <s v="2025-02-15"/>
    <n v="1"/>
    <n v="6751.2"/>
    <x v="0"/>
    <s v="Discharged"/>
    <x v="3"/>
    <x v="0"/>
  </r>
  <r>
    <x v="1122"/>
    <x v="36"/>
    <x v="1"/>
    <x v="1"/>
    <x v="2"/>
    <s v="2025-03-11"/>
    <s v="2025-03-15"/>
    <n v="4"/>
    <n v="5629.9"/>
    <x v="0"/>
    <s v="Discharged"/>
    <x v="1"/>
    <x v="0"/>
  </r>
  <r>
    <x v="1123"/>
    <x v="44"/>
    <x v="0"/>
    <x v="5"/>
    <x v="1"/>
    <s v="2025-12-06"/>
    <s v="2025-12-13"/>
    <n v="7"/>
    <n v="8856.43"/>
    <x v="1"/>
    <s v="Discharged"/>
    <x v="1"/>
    <x v="0"/>
  </r>
  <r>
    <x v="1124"/>
    <x v="32"/>
    <x v="1"/>
    <x v="2"/>
    <x v="2"/>
    <s v="2025-12-10"/>
    <s v="2025-12-17"/>
    <n v="7"/>
    <n v="14031.58"/>
    <x v="0"/>
    <s v="Discharged"/>
    <x v="3"/>
    <x v="0"/>
  </r>
  <r>
    <x v="1125"/>
    <x v="35"/>
    <x v="1"/>
    <x v="1"/>
    <x v="2"/>
    <s v="2025-02-03"/>
    <s v="2025-02-05"/>
    <n v="2"/>
    <n v="6991.6"/>
    <x v="0"/>
    <s v="Discharged"/>
    <x v="4"/>
    <x v="0"/>
  </r>
  <r>
    <x v="1126"/>
    <x v="37"/>
    <x v="0"/>
    <x v="4"/>
    <x v="1"/>
    <s v="2025-03-18"/>
    <s v="2025-03-26"/>
    <n v="8"/>
    <n v="11910.06"/>
    <x v="1"/>
    <s v="Discharged"/>
    <x v="1"/>
    <x v="1"/>
  </r>
  <r>
    <x v="1127"/>
    <x v="51"/>
    <x v="0"/>
    <x v="4"/>
    <x v="2"/>
    <s v="2025-05-31"/>
    <s v="2025-06-07"/>
    <n v="7"/>
    <n v="10991.62"/>
    <x v="0"/>
    <s v="Discharged"/>
    <x v="1"/>
    <x v="0"/>
  </r>
  <r>
    <x v="1128"/>
    <x v="25"/>
    <x v="1"/>
    <x v="1"/>
    <x v="0"/>
    <s v="2025-01-19"/>
    <s v="2025-01-22"/>
    <n v="3"/>
    <n v="6021.74"/>
    <x v="0"/>
    <s v="Discharged"/>
    <x v="2"/>
    <x v="0"/>
  </r>
  <r>
    <x v="1129"/>
    <x v="22"/>
    <x v="1"/>
    <x v="5"/>
    <x v="1"/>
    <s v="2025-06-24"/>
    <s v="2025-06-30"/>
    <n v="6"/>
    <n v="9216.2800000000007"/>
    <x v="0"/>
    <s v="Discharged"/>
    <x v="3"/>
    <x v="0"/>
  </r>
  <r>
    <x v="1130"/>
    <x v="40"/>
    <x v="1"/>
    <x v="3"/>
    <x v="0"/>
    <s v="2025-01-03"/>
    <s v="2025-01-08"/>
    <n v="5"/>
    <n v="12769.47"/>
    <x v="0"/>
    <s v="Discharged"/>
    <x v="1"/>
    <x v="0"/>
  </r>
  <r>
    <x v="1131"/>
    <x v="55"/>
    <x v="1"/>
    <x v="0"/>
    <x v="1"/>
    <s v="2025-05-19"/>
    <s v="2025-05-24"/>
    <n v="5"/>
    <n v="7963.44"/>
    <x v="0"/>
    <s v="Discharged"/>
    <x v="4"/>
    <x v="0"/>
  </r>
  <r>
    <x v="1132"/>
    <x v="53"/>
    <x v="1"/>
    <x v="5"/>
    <x v="2"/>
    <s v="2025-04-30"/>
    <s v="2025-05-04"/>
    <n v="4"/>
    <n v="10353.98"/>
    <x v="0"/>
    <s v="Discharged"/>
    <x v="4"/>
    <x v="0"/>
  </r>
  <r>
    <x v="1133"/>
    <x v="47"/>
    <x v="1"/>
    <x v="0"/>
    <x v="0"/>
    <s v="2025-07-07"/>
    <s v="2025-07-10"/>
    <n v="3"/>
    <n v="6985.18"/>
    <x v="0"/>
    <s v="Discharged"/>
    <x v="4"/>
    <x v="0"/>
  </r>
  <r>
    <x v="1134"/>
    <x v="9"/>
    <x v="0"/>
    <x v="2"/>
    <x v="1"/>
    <s v="2025-03-10"/>
    <s v="2025-03-17"/>
    <n v="7"/>
    <n v="11200.13"/>
    <x v="0"/>
    <s v="Discharged"/>
    <x v="4"/>
    <x v="0"/>
  </r>
  <r>
    <x v="1135"/>
    <x v="1"/>
    <x v="0"/>
    <x v="5"/>
    <x v="2"/>
    <s v="2025-05-08"/>
    <s v="2025-05-15"/>
    <n v="7"/>
    <n v="11452.54"/>
    <x v="0"/>
    <s v="Discharged"/>
    <x v="0"/>
    <x v="0"/>
  </r>
  <r>
    <x v="1136"/>
    <x v="44"/>
    <x v="1"/>
    <x v="0"/>
    <x v="1"/>
    <s v="2025-06-16"/>
    <s v="2025-06-18"/>
    <n v="2"/>
    <n v="6724.25"/>
    <x v="0"/>
    <s v="Discharged"/>
    <x v="1"/>
    <x v="0"/>
  </r>
  <r>
    <x v="1137"/>
    <x v="60"/>
    <x v="0"/>
    <x v="5"/>
    <x v="1"/>
    <s v="2025-03-10"/>
    <s v="2025-03-15"/>
    <n v="5"/>
    <n v="11141.67"/>
    <x v="0"/>
    <s v="Discharged"/>
    <x v="3"/>
    <x v="0"/>
  </r>
  <r>
    <x v="1138"/>
    <x v="23"/>
    <x v="0"/>
    <x v="1"/>
    <x v="2"/>
    <s v="2025-10-07"/>
    <s v="2025-10-12"/>
    <n v="5"/>
    <n v="6568.52"/>
    <x v="0"/>
    <s v="Discharged"/>
    <x v="3"/>
    <x v="0"/>
  </r>
  <r>
    <x v="1139"/>
    <x v="30"/>
    <x v="1"/>
    <x v="3"/>
    <x v="2"/>
    <s v="2025-12-24"/>
    <s v="2026-01-01"/>
    <n v="8"/>
    <n v="13580.96"/>
    <x v="0"/>
    <s v="Discharged"/>
    <x v="0"/>
    <x v="1"/>
  </r>
  <r>
    <x v="1140"/>
    <x v="6"/>
    <x v="1"/>
    <x v="0"/>
    <x v="1"/>
    <s v="2025-04-19"/>
    <s v="2025-04-26"/>
    <n v="7"/>
    <n v="7410.81"/>
    <x v="0"/>
    <s v="Discharged"/>
    <x v="3"/>
    <x v="0"/>
  </r>
  <r>
    <x v="1141"/>
    <x v="20"/>
    <x v="1"/>
    <x v="1"/>
    <x v="2"/>
    <s v="2025-11-20"/>
    <s v="2025-11-23"/>
    <n v="3"/>
    <n v="5318.42"/>
    <x v="0"/>
    <s v="Discharged"/>
    <x v="0"/>
    <x v="0"/>
  </r>
  <r>
    <x v="1142"/>
    <x v="32"/>
    <x v="0"/>
    <x v="1"/>
    <x v="1"/>
    <s v="2025-01-07"/>
    <s v="2025-01-10"/>
    <n v="3"/>
    <n v="5611.16"/>
    <x v="1"/>
    <s v="Discharged"/>
    <x v="3"/>
    <x v="0"/>
  </r>
  <r>
    <x v="1143"/>
    <x v="17"/>
    <x v="1"/>
    <x v="0"/>
    <x v="1"/>
    <s v="2025-03-26"/>
    <s v="2025-03-30"/>
    <n v="4"/>
    <n v="6124.35"/>
    <x v="0"/>
    <s v="Discharged"/>
    <x v="2"/>
    <x v="0"/>
  </r>
  <r>
    <x v="1144"/>
    <x v="72"/>
    <x v="0"/>
    <x v="1"/>
    <x v="0"/>
    <s v="2025-12-04"/>
    <s v="2025-12-06"/>
    <n v="2"/>
    <n v="3425.26"/>
    <x v="0"/>
    <s v="Discharged"/>
    <x v="2"/>
    <x v="0"/>
  </r>
  <r>
    <x v="1145"/>
    <x v="22"/>
    <x v="0"/>
    <x v="1"/>
    <x v="2"/>
    <s v="2025-06-27"/>
    <s v="2025-06-30"/>
    <n v="3"/>
    <n v="3342.05"/>
    <x v="0"/>
    <s v="Discharged"/>
    <x v="3"/>
    <x v="0"/>
  </r>
  <r>
    <x v="1146"/>
    <x v="65"/>
    <x v="0"/>
    <x v="0"/>
    <x v="2"/>
    <s v="2025-08-27"/>
    <s v="2025-08-31"/>
    <n v="4"/>
    <n v="4711.5"/>
    <x v="0"/>
    <s v="Discharged"/>
    <x v="3"/>
    <x v="0"/>
  </r>
  <r>
    <x v="1147"/>
    <x v="61"/>
    <x v="0"/>
    <x v="0"/>
    <x v="1"/>
    <s v="2025-09-01"/>
    <s v="2025-09-04"/>
    <n v="3"/>
    <n v="3496.76"/>
    <x v="0"/>
    <s v="Discharged"/>
    <x v="4"/>
    <x v="0"/>
  </r>
  <r>
    <x v="1148"/>
    <x v="67"/>
    <x v="1"/>
    <x v="4"/>
    <x v="2"/>
    <s v="2025-07-11"/>
    <s v="2025-07-19"/>
    <n v="8"/>
    <n v="11482.76"/>
    <x v="1"/>
    <s v="Discharged"/>
    <x v="3"/>
    <x v="1"/>
  </r>
  <r>
    <x v="1149"/>
    <x v="28"/>
    <x v="0"/>
    <x v="5"/>
    <x v="2"/>
    <s v="2025-10-03"/>
    <s v="2025-10-08"/>
    <n v="5"/>
    <n v="9931.8799999999992"/>
    <x v="0"/>
    <s v="Discharged"/>
    <x v="4"/>
    <x v="0"/>
  </r>
  <r>
    <x v="1150"/>
    <x v="65"/>
    <x v="0"/>
    <x v="0"/>
    <x v="2"/>
    <s v="2025-01-14"/>
    <s v="2025-01-21"/>
    <n v="7"/>
    <n v="7256.63"/>
    <x v="0"/>
    <s v="Discharged"/>
    <x v="3"/>
    <x v="0"/>
  </r>
  <r>
    <x v="1151"/>
    <x v="33"/>
    <x v="0"/>
    <x v="0"/>
    <x v="2"/>
    <s v="2025-11-30"/>
    <s v="2025-12-07"/>
    <n v="7"/>
    <n v="9116.66"/>
    <x v="0"/>
    <s v="Discharged"/>
    <x v="2"/>
    <x v="0"/>
  </r>
  <r>
    <x v="1152"/>
    <x v="69"/>
    <x v="0"/>
    <x v="2"/>
    <x v="0"/>
    <s v="2025-11-28"/>
    <s v="2025-12-04"/>
    <n v="6"/>
    <n v="10501.17"/>
    <x v="0"/>
    <s v="Discharged"/>
    <x v="3"/>
    <x v="0"/>
  </r>
  <r>
    <x v="1153"/>
    <x v="72"/>
    <x v="0"/>
    <x v="1"/>
    <x v="0"/>
    <s v="2025-04-27"/>
    <s v="2025-05-02"/>
    <n v="5"/>
    <n v="6461.53"/>
    <x v="1"/>
    <s v="Discharged"/>
    <x v="2"/>
    <x v="0"/>
  </r>
  <r>
    <x v="1154"/>
    <x v="13"/>
    <x v="0"/>
    <x v="2"/>
    <x v="2"/>
    <s v="2025-06-18"/>
    <s v="2025-06-24"/>
    <n v="6"/>
    <n v="11449.5"/>
    <x v="0"/>
    <s v="Discharged"/>
    <x v="1"/>
    <x v="0"/>
  </r>
  <r>
    <x v="1155"/>
    <x v="51"/>
    <x v="0"/>
    <x v="1"/>
    <x v="1"/>
    <s v="2025-02-03"/>
    <s v="2025-02-04"/>
    <n v="1"/>
    <n v="4014.86"/>
    <x v="0"/>
    <s v="Discharged"/>
    <x v="1"/>
    <x v="0"/>
  </r>
  <r>
    <x v="1156"/>
    <x v="31"/>
    <x v="1"/>
    <x v="1"/>
    <x v="2"/>
    <s v="2025-08-19"/>
    <s v="2025-08-22"/>
    <n v="3"/>
    <n v="5070.59"/>
    <x v="0"/>
    <s v="Discharged"/>
    <x v="2"/>
    <x v="0"/>
  </r>
  <r>
    <x v="1157"/>
    <x v="30"/>
    <x v="0"/>
    <x v="5"/>
    <x v="2"/>
    <s v="2025-04-05"/>
    <m/>
    <n v="8"/>
    <n v="11443.48"/>
    <x v="0"/>
    <s v="Discharged"/>
    <x v="0"/>
    <x v="1"/>
  </r>
  <r>
    <x v="1158"/>
    <x v="66"/>
    <x v="0"/>
    <x v="1"/>
    <x v="0"/>
    <s v="2025-02-06"/>
    <s v="2025-02-10"/>
    <n v="4"/>
    <n v="3511.56"/>
    <x v="1"/>
    <s v="Discharged"/>
    <x v="1"/>
    <x v="0"/>
  </r>
  <r>
    <x v="1159"/>
    <x v="45"/>
    <x v="1"/>
    <x v="2"/>
    <x v="2"/>
    <s v="2025-03-06"/>
    <s v="2025-03-11"/>
    <n v="5"/>
    <n v="8175.72"/>
    <x v="0"/>
    <s v="Discharged"/>
    <x v="1"/>
    <x v="0"/>
  </r>
  <r>
    <x v="1160"/>
    <x v="35"/>
    <x v="1"/>
    <x v="4"/>
    <x v="2"/>
    <s v="2025-11-25"/>
    <s v="2025-12-04"/>
    <n v="9"/>
    <n v="12095.36"/>
    <x v="0"/>
    <s v="Discharged"/>
    <x v="4"/>
    <x v="1"/>
  </r>
  <r>
    <x v="1161"/>
    <x v="6"/>
    <x v="1"/>
    <x v="2"/>
    <x v="0"/>
    <s v="2025-04-24"/>
    <m/>
    <n v="7"/>
    <n v="11077.01"/>
    <x v="0"/>
    <s v="Discharged"/>
    <x v="3"/>
    <x v="0"/>
  </r>
  <r>
    <x v="1162"/>
    <x v="9"/>
    <x v="0"/>
    <x v="5"/>
    <x v="2"/>
    <s v="2025-07-16"/>
    <s v="2025-07-23"/>
    <n v="7"/>
    <n v="12245.3"/>
    <x v="0"/>
    <s v="Discharged"/>
    <x v="4"/>
    <x v="0"/>
  </r>
  <r>
    <x v="1163"/>
    <x v="29"/>
    <x v="0"/>
    <x v="5"/>
    <x v="0"/>
    <s v="2025-09-07"/>
    <s v="2025-09-13"/>
    <n v="6"/>
    <n v="10608.93"/>
    <x v="0"/>
    <s v="Discharged"/>
    <x v="3"/>
    <x v="0"/>
  </r>
  <r>
    <x v="1164"/>
    <x v="72"/>
    <x v="1"/>
    <x v="5"/>
    <x v="1"/>
    <s v="2025-07-05"/>
    <s v="2025-07-06"/>
    <n v="1"/>
    <n v="6606.31"/>
    <x v="0"/>
    <s v="Discharged"/>
    <x v="2"/>
    <x v="0"/>
  </r>
  <r>
    <x v="1165"/>
    <x v="71"/>
    <x v="0"/>
    <x v="0"/>
    <x v="1"/>
    <s v="2025-07-03"/>
    <s v="2025-07-07"/>
    <n v="4"/>
    <n v="8185.6"/>
    <x v="0"/>
    <s v="Discharged"/>
    <x v="1"/>
    <x v="0"/>
  </r>
  <r>
    <x v="1166"/>
    <x v="20"/>
    <x v="1"/>
    <x v="1"/>
    <x v="2"/>
    <s v="2025-09-04"/>
    <s v="2025-09-10"/>
    <n v="6"/>
    <n v="6537.85"/>
    <x v="0"/>
    <s v="Discharged"/>
    <x v="0"/>
    <x v="0"/>
  </r>
  <r>
    <x v="1167"/>
    <x v="19"/>
    <x v="1"/>
    <x v="5"/>
    <x v="2"/>
    <s v="2025-08-20"/>
    <s v="2025-08-26"/>
    <n v="6"/>
    <n v="8839.15"/>
    <x v="0"/>
    <s v="Discharged"/>
    <x v="2"/>
    <x v="0"/>
  </r>
  <r>
    <x v="1168"/>
    <x v="56"/>
    <x v="1"/>
    <x v="5"/>
    <x v="1"/>
    <s v="2025-07-01"/>
    <s v="2025-07-06"/>
    <n v="5"/>
    <n v="8667.7099999999991"/>
    <x v="0"/>
    <s v="Discharged"/>
    <x v="0"/>
    <x v="0"/>
  </r>
  <r>
    <x v="1169"/>
    <x v="26"/>
    <x v="1"/>
    <x v="1"/>
    <x v="1"/>
    <s v="2025-12-30"/>
    <s v="2026-01-06"/>
    <n v="7"/>
    <n v="9965.61"/>
    <x v="1"/>
    <s v="Discharged"/>
    <x v="3"/>
    <x v="0"/>
  </r>
  <r>
    <x v="1170"/>
    <x v="47"/>
    <x v="1"/>
    <x v="1"/>
    <x v="2"/>
    <s v="2025-07-10"/>
    <s v="2025-07-12"/>
    <n v="2"/>
    <n v="5580.73"/>
    <x v="0"/>
    <s v="Discharged"/>
    <x v="4"/>
    <x v="0"/>
  </r>
  <r>
    <x v="1171"/>
    <x v="33"/>
    <x v="0"/>
    <x v="4"/>
    <x v="2"/>
    <s v="2025-03-23"/>
    <s v="2025-03-27"/>
    <n v="4"/>
    <n v="9882.8799999999992"/>
    <x v="0"/>
    <s v="Discharged"/>
    <x v="2"/>
    <x v="0"/>
  </r>
  <r>
    <x v="1172"/>
    <x v="58"/>
    <x v="0"/>
    <x v="1"/>
    <x v="0"/>
    <s v="2025-06-01"/>
    <s v="2025-06-02"/>
    <n v="1"/>
    <n v="4078.99"/>
    <x v="0"/>
    <s v="Discharged"/>
    <x v="2"/>
    <x v="0"/>
  </r>
  <r>
    <x v="1173"/>
    <x v="54"/>
    <x v="1"/>
    <x v="2"/>
    <x v="2"/>
    <s v="2025-01-01"/>
    <s v="2025-01-08"/>
    <n v="7"/>
    <n v="10216.25"/>
    <x v="0"/>
    <s v="Discharged"/>
    <x v="2"/>
    <x v="0"/>
  </r>
  <r>
    <x v="1174"/>
    <x v="65"/>
    <x v="1"/>
    <x v="1"/>
    <x v="1"/>
    <s v="2025-02-22"/>
    <s v="2025-02-26"/>
    <n v="4"/>
    <n v="3133.5"/>
    <x v="0"/>
    <s v="Discharged"/>
    <x v="3"/>
    <x v="0"/>
  </r>
  <r>
    <x v="1175"/>
    <x v="35"/>
    <x v="1"/>
    <x v="2"/>
    <x v="2"/>
    <s v="2025-08-24"/>
    <s v="2025-08-31"/>
    <n v="7"/>
    <n v="11411.86"/>
    <x v="0"/>
    <s v="Discharged"/>
    <x v="4"/>
    <x v="0"/>
  </r>
  <r>
    <x v="1176"/>
    <x v="14"/>
    <x v="0"/>
    <x v="3"/>
    <x v="1"/>
    <s v="2025-04-01"/>
    <s v="2025-04-09"/>
    <n v="8"/>
    <n v="15056.9"/>
    <x v="0"/>
    <s v="Discharged"/>
    <x v="0"/>
    <x v="1"/>
  </r>
  <r>
    <x v="1177"/>
    <x v="66"/>
    <x v="0"/>
    <x v="0"/>
    <x v="2"/>
    <s v="2025-06-05"/>
    <m/>
    <n v="6"/>
    <n v="5843.03"/>
    <x v="1"/>
    <s v="Discharged"/>
    <x v="1"/>
    <x v="0"/>
  </r>
  <r>
    <x v="1178"/>
    <x v="71"/>
    <x v="1"/>
    <x v="4"/>
    <x v="1"/>
    <s v="2025-12-29"/>
    <s v="2026-01-03"/>
    <n v="5"/>
    <n v="12040.46"/>
    <x v="1"/>
    <s v="Discharged"/>
    <x v="1"/>
    <x v="0"/>
  </r>
  <r>
    <x v="1179"/>
    <x v="11"/>
    <x v="0"/>
    <x v="4"/>
    <x v="1"/>
    <s v="2025-01-03"/>
    <s v="2025-01-14"/>
    <n v="11"/>
    <n v="14697.78"/>
    <x v="1"/>
    <s v="Discharged"/>
    <x v="2"/>
    <x v="1"/>
  </r>
  <r>
    <x v="1180"/>
    <x v="43"/>
    <x v="0"/>
    <x v="0"/>
    <x v="1"/>
    <s v="2025-05-10"/>
    <s v="2025-05-15"/>
    <n v="5"/>
    <n v="8307.76"/>
    <x v="0"/>
    <s v="Discharged"/>
    <x v="2"/>
    <x v="0"/>
  </r>
  <r>
    <x v="1181"/>
    <x v="36"/>
    <x v="1"/>
    <x v="2"/>
    <x v="0"/>
    <s v="2025-07-23"/>
    <s v="2025-07-30"/>
    <n v="7"/>
    <n v="13224.03"/>
    <x v="1"/>
    <s v="Discharged"/>
    <x v="1"/>
    <x v="0"/>
  </r>
  <r>
    <x v="1182"/>
    <x v="62"/>
    <x v="0"/>
    <x v="2"/>
    <x v="2"/>
    <s v="2025-05-22"/>
    <s v="2025-05-31"/>
    <n v="9"/>
    <n v="15017.77"/>
    <x v="0"/>
    <s v="Discharged"/>
    <x v="2"/>
    <x v="1"/>
  </r>
  <r>
    <x v="1183"/>
    <x v="63"/>
    <x v="0"/>
    <x v="3"/>
    <x v="0"/>
    <s v="2025-03-26"/>
    <s v="2025-04-05"/>
    <n v="10"/>
    <n v="15257.05"/>
    <x v="0"/>
    <s v="Discharged"/>
    <x v="3"/>
    <x v="1"/>
  </r>
  <r>
    <x v="1184"/>
    <x v="29"/>
    <x v="1"/>
    <x v="2"/>
    <x v="0"/>
    <s v="2025-08-21"/>
    <s v="2025-08-26"/>
    <n v="5"/>
    <n v="11825.32"/>
    <x v="0"/>
    <s v="Discharged"/>
    <x v="3"/>
    <x v="0"/>
  </r>
  <r>
    <x v="1185"/>
    <x v="0"/>
    <x v="0"/>
    <x v="3"/>
    <x v="0"/>
    <s v="2025-08-13"/>
    <s v="2025-08-19"/>
    <n v="6"/>
    <n v="14372.27"/>
    <x v="0"/>
    <s v="Discharged"/>
    <x v="0"/>
    <x v="0"/>
  </r>
  <r>
    <x v="1186"/>
    <x v="10"/>
    <x v="0"/>
    <x v="1"/>
    <x v="1"/>
    <s v="2025-09-17"/>
    <s v="2025-09-20"/>
    <n v="3"/>
    <n v="3110.7"/>
    <x v="0"/>
    <s v="Discharged"/>
    <x v="4"/>
    <x v="0"/>
  </r>
  <r>
    <x v="1187"/>
    <x v="35"/>
    <x v="0"/>
    <x v="1"/>
    <x v="0"/>
    <s v="2025-02-13"/>
    <s v="2025-02-20"/>
    <n v="7"/>
    <n v="7956.14"/>
    <x v="0"/>
    <s v="Discharged"/>
    <x v="4"/>
    <x v="0"/>
  </r>
  <r>
    <x v="1188"/>
    <x v="51"/>
    <x v="0"/>
    <x v="1"/>
    <x v="0"/>
    <s v="2025-09-08"/>
    <s v="2025-09-09"/>
    <n v="1"/>
    <n v="6392.08"/>
    <x v="0"/>
    <s v="Discharged"/>
    <x v="1"/>
    <x v="0"/>
  </r>
  <r>
    <x v="1189"/>
    <x v="41"/>
    <x v="1"/>
    <x v="0"/>
    <x v="0"/>
    <s v="2025-09-08"/>
    <s v="2025-09-09"/>
    <n v="1"/>
    <n v="4948.59"/>
    <x v="0"/>
    <s v="Discharged"/>
    <x v="1"/>
    <x v="0"/>
  </r>
  <r>
    <x v="1190"/>
    <x v="63"/>
    <x v="0"/>
    <x v="1"/>
    <x v="2"/>
    <s v="2025-02-03"/>
    <s v="2025-02-09"/>
    <n v="6"/>
    <n v="5938.8"/>
    <x v="0"/>
    <s v="Discharged"/>
    <x v="3"/>
    <x v="0"/>
  </r>
  <r>
    <x v="1191"/>
    <x v="37"/>
    <x v="2"/>
    <x v="0"/>
    <x v="2"/>
    <s v="2025-03-08"/>
    <s v="2025-03-16"/>
    <n v="8"/>
    <n v="9484.3700000000008"/>
    <x v="0"/>
    <s v="Discharged"/>
    <x v="1"/>
    <x v="1"/>
  </r>
  <r>
    <x v="1192"/>
    <x v="60"/>
    <x v="0"/>
    <x v="1"/>
    <x v="0"/>
    <s v="2025-06-06"/>
    <s v="2025-06-09"/>
    <n v="3"/>
    <n v="6112.49"/>
    <x v="1"/>
    <s v="Discharged"/>
    <x v="3"/>
    <x v="0"/>
  </r>
  <r>
    <x v="1193"/>
    <x v="16"/>
    <x v="0"/>
    <x v="5"/>
    <x v="2"/>
    <s v="2025-07-11"/>
    <s v="2025-07-16"/>
    <n v="5"/>
    <n v="8945.69"/>
    <x v="0"/>
    <s v="Discharged"/>
    <x v="4"/>
    <x v="0"/>
  </r>
  <r>
    <x v="1194"/>
    <x v="45"/>
    <x v="1"/>
    <x v="0"/>
    <x v="2"/>
    <s v="2025-04-10"/>
    <s v="2025-04-12"/>
    <n v="2"/>
    <n v="4998.83"/>
    <x v="0"/>
    <s v="Discharged"/>
    <x v="1"/>
    <x v="0"/>
  </r>
  <r>
    <x v="1195"/>
    <x v="8"/>
    <x v="1"/>
    <x v="4"/>
    <x v="2"/>
    <s v="2025-09-26"/>
    <s v="2025-10-03"/>
    <n v="7"/>
    <n v="11846.18"/>
    <x v="1"/>
    <s v="Discharged"/>
    <x v="3"/>
    <x v="0"/>
  </r>
  <r>
    <x v="1196"/>
    <x v="46"/>
    <x v="0"/>
    <x v="5"/>
    <x v="1"/>
    <s v="2025-11-14"/>
    <s v="2025-11-19"/>
    <n v="5"/>
    <n v="9946.7099999999991"/>
    <x v="0"/>
    <s v="Discharged"/>
    <x v="1"/>
    <x v="0"/>
  </r>
  <r>
    <x v="1197"/>
    <x v="28"/>
    <x v="1"/>
    <x v="0"/>
    <x v="0"/>
    <s v="2025-03-21"/>
    <s v="2025-03-22"/>
    <n v="1"/>
    <n v="3343.14"/>
    <x v="0"/>
    <s v="Other"/>
    <x v="4"/>
    <x v="0"/>
  </r>
  <r>
    <x v="1198"/>
    <x v="53"/>
    <x v="1"/>
    <x v="2"/>
    <x v="2"/>
    <s v="2025-08-29"/>
    <s v="2025-09-05"/>
    <n v="7"/>
    <n v="9640.7199999999993"/>
    <x v="0"/>
    <s v="Discharged"/>
    <x v="4"/>
    <x v="0"/>
  </r>
  <r>
    <x v="1199"/>
    <x v="11"/>
    <x v="1"/>
    <x v="0"/>
    <x v="0"/>
    <s v="2025-04-09"/>
    <s v="2025-04-10"/>
    <n v="1"/>
    <n v="4486.68"/>
    <x v="0"/>
    <s v="Discharged"/>
    <x v="2"/>
    <x v="0"/>
  </r>
  <r>
    <x v="1200"/>
    <x v="7"/>
    <x v="1"/>
    <x v="0"/>
    <x v="0"/>
    <s v="2025-01-13"/>
    <s v="2025-01-17"/>
    <n v="4"/>
    <n v="5470.21"/>
    <x v="0"/>
    <s v="Transferred"/>
    <x v="4"/>
    <x v="0"/>
  </r>
  <r>
    <x v="1201"/>
    <x v="69"/>
    <x v="0"/>
    <x v="0"/>
    <x v="0"/>
    <s v="2025-05-27"/>
    <s v="2025-06-03"/>
    <n v="7"/>
    <n v="7706.5"/>
    <x v="0"/>
    <s v="Discharged"/>
    <x v="3"/>
    <x v="0"/>
  </r>
  <r>
    <x v="1202"/>
    <x v="45"/>
    <x v="1"/>
    <x v="5"/>
    <x v="2"/>
    <s v="2025-04-23"/>
    <s v="2025-04-26"/>
    <n v="3"/>
    <n v="7935.3"/>
    <x v="0"/>
    <s v="Discharged"/>
    <x v="1"/>
    <x v="0"/>
  </r>
  <r>
    <x v="1203"/>
    <x v="21"/>
    <x v="1"/>
    <x v="2"/>
    <x v="2"/>
    <s v="2025-03-09"/>
    <s v="2025-03-13"/>
    <n v="4"/>
    <n v="8583.59"/>
    <x v="0"/>
    <s v="Discharged"/>
    <x v="4"/>
    <x v="0"/>
  </r>
  <r>
    <x v="1204"/>
    <x v="25"/>
    <x v="0"/>
    <x v="0"/>
    <x v="0"/>
    <s v="2025-10-28"/>
    <s v="2025-10-31"/>
    <n v="3"/>
    <n v="3803.16"/>
    <x v="0"/>
    <s v="Discharged"/>
    <x v="2"/>
    <x v="0"/>
  </r>
  <r>
    <x v="1205"/>
    <x v="72"/>
    <x v="1"/>
    <x v="0"/>
    <x v="0"/>
    <s v="2025-06-14"/>
    <s v="2025-06-21"/>
    <n v="7"/>
    <n v="8359.41"/>
    <x v="1"/>
    <s v="Discharged"/>
    <x v="2"/>
    <x v="0"/>
  </r>
  <r>
    <x v="1206"/>
    <x v="32"/>
    <x v="0"/>
    <x v="0"/>
    <x v="1"/>
    <s v="2025-01-03"/>
    <s v="2025-01-08"/>
    <n v="5"/>
    <n v="7977.95"/>
    <x v="0"/>
    <s v="Discharged"/>
    <x v="3"/>
    <x v="0"/>
  </r>
  <r>
    <x v="1207"/>
    <x v="13"/>
    <x v="1"/>
    <x v="1"/>
    <x v="2"/>
    <s v="2025-01-23"/>
    <s v="2025-01-29"/>
    <n v="6"/>
    <n v="6969.74"/>
    <x v="0"/>
    <s v="Discharged"/>
    <x v="1"/>
    <x v="0"/>
  </r>
  <r>
    <x v="1208"/>
    <x v="19"/>
    <x v="1"/>
    <x v="2"/>
    <x v="2"/>
    <s v="2025-09-12"/>
    <s v="2025-09-22"/>
    <n v="10"/>
    <n v="13251.88"/>
    <x v="0"/>
    <s v="Discharged"/>
    <x v="2"/>
    <x v="1"/>
  </r>
  <r>
    <x v="1209"/>
    <x v="52"/>
    <x v="1"/>
    <x v="2"/>
    <x v="1"/>
    <s v="2025-09-20"/>
    <s v="2025-09-27"/>
    <n v="7"/>
    <n v="10925.72"/>
    <x v="0"/>
    <s v="Discharged"/>
    <x v="4"/>
    <x v="0"/>
  </r>
  <r>
    <x v="1210"/>
    <x v="20"/>
    <x v="1"/>
    <x v="3"/>
    <x v="2"/>
    <s v="2025-03-20"/>
    <s v="2025-03-28"/>
    <n v="8"/>
    <n v="12848.83"/>
    <x v="0"/>
    <s v="Transferred"/>
    <x v="0"/>
    <x v="1"/>
  </r>
  <r>
    <x v="1211"/>
    <x v="25"/>
    <x v="1"/>
    <x v="0"/>
    <x v="2"/>
    <s v="2025-04-27"/>
    <s v="2025-05-03"/>
    <n v="6"/>
    <n v="6836.63"/>
    <x v="0"/>
    <s v="Discharged"/>
    <x v="2"/>
    <x v="0"/>
  </r>
  <r>
    <x v="1212"/>
    <x v="30"/>
    <x v="0"/>
    <x v="1"/>
    <x v="1"/>
    <s v="2025-06-26"/>
    <s v="2025-06-29"/>
    <n v="3"/>
    <n v="2343.29"/>
    <x v="0"/>
    <s v="Discharged"/>
    <x v="0"/>
    <x v="0"/>
  </r>
  <r>
    <x v="1213"/>
    <x v="35"/>
    <x v="0"/>
    <x v="1"/>
    <x v="1"/>
    <s v="2025-09-11"/>
    <s v="2025-09-15"/>
    <n v="4"/>
    <n v="3604.37"/>
    <x v="0"/>
    <s v="Discharged"/>
    <x v="4"/>
    <x v="0"/>
  </r>
  <r>
    <x v="1214"/>
    <x v="48"/>
    <x v="0"/>
    <x v="3"/>
    <x v="0"/>
    <s v="2025-03-19"/>
    <s v="2025-03-24"/>
    <n v="5"/>
    <n v="12021.64"/>
    <x v="1"/>
    <s v="Discharged"/>
    <x v="0"/>
    <x v="0"/>
  </r>
  <r>
    <x v="1215"/>
    <x v="64"/>
    <x v="1"/>
    <x v="0"/>
    <x v="0"/>
    <s v="2025-10-06"/>
    <s v="2025-10-12"/>
    <n v="6"/>
    <n v="6708.36"/>
    <x v="0"/>
    <s v="Discharged"/>
    <x v="4"/>
    <x v="0"/>
  </r>
  <r>
    <x v="1216"/>
    <x v="1"/>
    <x v="1"/>
    <x v="2"/>
    <x v="2"/>
    <s v="2025-06-08"/>
    <s v="2025-06-14"/>
    <n v="6"/>
    <n v="9042.25"/>
    <x v="0"/>
    <s v="Discharged"/>
    <x v="0"/>
    <x v="0"/>
  </r>
  <r>
    <x v="1217"/>
    <x v="28"/>
    <x v="0"/>
    <x v="1"/>
    <x v="2"/>
    <s v="2025-11-19"/>
    <s v="2025-11-23"/>
    <n v="4"/>
    <n v="6573.5"/>
    <x v="0"/>
    <s v="Discharged"/>
    <x v="4"/>
    <x v="0"/>
  </r>
  <r>
    <x v="1218"/>
    <x v="2"/>
    <x v="0"/>
    <x v="2"/>
    <x v="1"/>
    <s v="2025-06-01"/>
    <s v="2025-06-04"/>
    <n v="3"/>
    <n v="8194.5300000000007"/>
    <x v="1"/>
    <s v="Discharged"/>
    <x v="1"/>
    <x v="0"/>
  </r>
  <r>
    <x v="1219"/>
    <x v="38"/>
    <x v="1"/>
    <x v="1"/>
    <x v="2"/>
    <s v="2025-01-18"/>
    <s v="2025-01-21"/>
    <n v="3"/>
    <n v="6043.23"/>
    <x v="0"/>
    <s v="Discharged"/>
    <x v="0"/>
    <x v="0"/>
  </r>
  <r>
    <x v="1220"/>
    <x v="68"/>
    <x v="0"/>
    <x v="0"/>
    <x v="0"/>
    <s v="2025-09-05"/>
    <s v="2025-09-12"/>
    <n v="7"/>
    <n v="9403.33"/>
    <x v="0"/>
    <s v="Discharged"/>
    <x v="3"/>
    <x v="0"/>
  </r>
  <r>
    <x v="1221"/>
    <x v="44"/>
    <x v="0"/>
    <x v="5"/>
    <x v="2"/>
    <s v="2025-12-06"/>
    <s v="2025-12-12"/>
    <n v="6"/>
    <n v="10374.94"/>
    <x v="0"/>
    <s v="Discharged"/>
    <x v="1"/>
    <x v="0"/>
  </r>
  <r>
    <x v="1222"/>
    <x v="1"/>
    <x v="0"/>
    <x v="0"/>
    <x v="2"/>
    <s v="2025-02-25"/>
    <s v="2025-03-03"/>
    <n v="6"/>
    <n v="8545.9500000000007"/>
    <x v="0"/>
    <s v="Transferred"/>
    <x v="0"/>
    <x v="0"/>
  </r>
  <r>
    <x v="1223"/>
    <x v="59"/>
    <x v="1"/>
    <x v="3"/>
    <x v="2"/>
    <s v="2025-01-21"/>
    <s v="2025-01-27"/>
    <n v="6"/>
    <n v="12306.9"/>
    <x v="0"/>
    <s v="Discharged"/>
    <x v="3"/>
    <x v="0"/>
  </r>
  <r>
    <x v="1224"/>
    <x v="52"/>
    <x v="1"/>
    <x v="4"/>
    <x v="1"/>
    <s v="2025-03-28"/>
    <s v="2025-04-05"/>
    <n v="8"/>
    <n v="13875.34"/>
    <x v="0"/>
    <s v="Discharged"/>
    <x v="4"/>
    <x v="1"/>
  </r>
  <r>
    <x v="1225"/>
    <x v="3"/>
    <x v="0"/>
    <x v="2"/>
    <x v="2"/>
    <s v="2025-03-08"/>
    <s v="2025-03-13"/>
    <n v="5"/>
    <n v="12293.61"/>
    <x v="0"/>
    <s v="Discharged"/>
    <x v="0"/>
    <x v="0"/>
  </r>
  <r>
    <x v="1226"/>
    <x v="27"/>
    <x v="0"/>
    <x v="2"/>
    <x v="2"/>
    <s v="2025-12-03"/>
    <s v="2025-12-14"/>
    <n v="11"/>
    <n v="13185.16"/>
    <x v="0"/>
    <s v="Discharged"/>
    <x v="1"/>
    <x v="1"/>
  </r>
  <r>
    <x v="1227"/>
    <x v="51"/>
    <x v="0"/>
    <x v="0"/>
    <x v="0"/>
    <s v="2025-11-20"/>
    <s v="2025-11-27"/>
    <n v="7"/>
    <n v="7197.1"/>
    <x v="0"/>
    <s v="Discharged"/>
    <x v="1"/>
    <x v="0"/>
  </r>
  <r>
    <x v="1228"/>
    <x v="50"/>
    <x v="1"/>
    <x v="4"/>
    <x v="0"/>
    <s v="2025-11-02"/>
    <s v="2025-11-11"/>
    <n v="9"/>
    <n v="14055.99"/>
    <x v="1"/>
    <s v="Discharged"/>
    <x v="0"/>
    <x v="1"/>
  </r>
  <r>
    <x v="1229"/>
    <x v="34"/>
    <x v="1"/>
    <x v="5"/>
    <x v="2"/>
    <s v="2025-04-12"/>
    <s v="2025-04-16"/>
    <n v="4"/>
    <n v="8949.49"/>
    <x v="0"/>
    <s v="Discharged"/>
    <x v="2"/>
    <x v="0"/>
  </r>
  <r>
    <x v="1230"/>
    <x v="43"/>
    <x v="1"/>
    <x v="1"/>
    <x v="1"/>
    <s v="2025-02-21"/>
    <s v="2025-02-27"/>
    <n v="6"/>
    <n v="6837.02"/>
    <x v="0"/>
    <s v="Discharged"/>
    <x v="2"/>
    <x v="0"/>
  </r>
  <r>
    <x v="1231"/>
    <x v="69"/>
    <x v="0"/>
    <x v="1"/>
    <x v="2"/>
    <s v="2025-05-24"/>
    <s v="2025-05-29"/>
    <n v="5"/>
    <n v="6329.31"/>
    <x v="0"/>
    <s v="Discharged"/>
    <x v="3"/>
    <x v="0"/>
  </r>
  <r>
    <x v="1232"/>
    <x v="10"/>
    <x v="0"/>
    <x v="5"/>
    <x v="1"/>
    <s v="2025-12-12"/>
    <s v="2025-12-19"/>
    <n v="7"/>
    <n v="9628.57"/>
    <x v="0"/>
    <s v="Transferred"/>
    <x v="4"/>
    <x v="0"/>
  </r>
  <r>
    <x v="1233"/>
    <x v="45"/>
    <x v="1"/>
    <x v="1"/>
    <x v="2"/>
    <s v="2025-02-20"/>
    <s v="2025-02-25"/>
    <n v="5"/>
    <n v="5854.8"/>
    <x v="1"/>
    <s v="Discharged"/>
    <x v="1"/>
    <x v="0"/>
  </r>
  <r>
    <x v="1234"/>
    <x v="17"/>
    <x v="0"/>
    <x v="1"/>
    <x v="1"/>
    <s v="2025-11-10"/>
    <s v="2025-11-17"/>
    <n v="7"/>
    <n v="9469.27"/>
    <x v="1"/>
    <s v="Discharged"/>
    <x v="2"/>
    <x v="0"/>
  </r>
  <r>
    <x v="1235"/>
    <x v="30"/>
    <x v="0"/>
    <x v="1"/>
    <x v="1"/>
    <s v="2025-07-04"/>
    <s v="2025-07-07"/>
    <n v="3"/>
    <n v="5010.3"/>
    <x v="0"/>
    <s v="Transferred"/>
    <x v="0"/>
    <x v="0"/>
  </r>
  <r>
    <x v="1236"/>
    <x v="32"/>
    <x v="1"/>
    <x v="1"/>
    <x v="0"/>
    <s v="2025-08-21"/>
    <s v="2025-08-24"/>
    <n v="3"/>
    <n v="5898.65"/>
    <x v="0"/>
    <s v="Discharged"/>
    <x v="3"/>
    <x v="0"/>
  </r>
  <r>
    <x v="1237"/>
    <x v="36"/>
    <x v="1"/>
    <x v="1"/>
    <x v="0"/>
    <s v="2025-09-09"/>
    <s v="2025-09-11"/>
    <n v="2"/>
    <n v="4414.18"/>
    <x v="0"/>
    <s v="Discharged"/>
    <x v="1"/>
    <x v="0"/>
  </r>
  <r>
    <x v="1238"/>
    <x v="13"/>
    <x v="0"/>
    <x v="0"/>
    <x v="1"/>
    <s v="2025-11-15"/>
    <s v="2025-11-19"/>
    <n v="4"/>
    <n v="7853.07"/>
    <x v="0"/>
    <s v="Discharged"/>
    <x v="1"/>
    <x v="0"/>
  </r>
  <r>
    <x v="1239"/>
    <x v="67"/>
    <x v="1"/>
    <x v="4"/>
    <x v="2"/>
    <s v="2025-06-05"/>
    <s v="2025-06-15"/>
    <n v="10"/>
    <n v="14350.72"/>
    <x v="1"/>
    <s v="Discharged"/>
    <x v="3"/>
    <x v="1"/>
  </r>
  <r>
    <x v="1240"/>
    <x v="20"/>
    <x v="1"/>
    <x v="2"/>
    <x v="2"/>
    <s v="2025-11-05"/>
    <s v="2025-11-12"/>
    <n v="7"/>
    <n v="13372.77"/>
    <x v="1"/>
    <s v="Transferred"/>
    <x v="0"/>
    <x v="0"/>
  </r>
  <r>
    <x v="1241"/>
    <x v="60"/>
    <x v="0"/>
    <x v="0"/>
    <x v="2"/>
    <s v="2025-12-26"/>
    <m/>
    <n v="3"/>
    <n v="7988.81"/>
    <x v="0"/>
    <s v="Discharged"/>
    <x v="3"/>
    <x v="0"/>
  </r>
  <r>
    <x v="1242"/>
    <x v="49"/>
    <x v="1"/>
    <x v="1"/>
    <x v="2"/>
    <s v="2025-03-21"/>
    <s v="2025-03-24"/>
    <n v="3"/>
    <n v="4168.0200000000004"/>
    <x v="0"/>
    <s v="Discharged"/>
    <x v="0"/>
    <x v="0"/>
  </r>
  <r>
    <x v="1243"/>
    <x v="50"/>
    <x v="0"/>
    <x v="5"/>
    <x v="0"/>
    <s v="2025-10-02"/>
    <s v="2025-10-07"/>
    <n v="5"/>
    <n v="11279.71"/>
    <x v="0"/>
    <s v="Discharged"/>
    <x v="0"/>
    <x v="0"/>
  </r>
  <r>
    <x v="1244"/>
    <x v="40"/>
    <x v="1"/>
    <x v="3"/>
    <x v="2"/>
    <s v="2025-01-06"/>
    <s v="2025-01-15"/>
    <n v="9"/>
    <n v="15357.6"/>
    <x v="0"/>
    <s v="Discharged"/>
    <x v="1"/>
    <x v="1"/>
  </r>
  <r>
    <x v="1245"/>
    <x v="70"/>
    <x v="1"/>
    <x v="2"/>
    <x v="2"/>
    <s v="2025-03-22"/>
    <s v="2025-03-30"/>
    <n v="8"/>
    <n v="10162"/>
    <x v="1"/>
    <s v="Discharged"/>
    <x v="1"/>
    <x v="1"/>
  </r>
  <r>
    <x v="1246"/>
    <x v="69"/>
    <x v="0"/>
    <x v="4"/>
    <x v="2"/>
    <s v="2025-12-08"/>
    <s v="2025-12-15"/>
    <n v="7"/>
    <n v="12150.2"/>
    <x v="1"/>
    <s v="Discharged"/>
    <x v="3"/>
    <x v="0"/>
  </r>
  <r>
    <x v="1247"/>
    <x v="58"/>
    <x v="0"/>
    <x v="1"/>
    <x v="2"/>
    <s v="2025-07-19"/>
    <s v="2025-07-22"/>
    <n v="3"/>
    <n v="6751.76"/>
    <x v="0"/>
    <s v="Discharged"/>
    <x v="2"/>
    <x v="0"/>
  </r>
  <r>
    <x v="1248"/>
    <x v="54"/>
    <x v="0"/>
    <x v="5"/>
    <x v="0"/>
    <s v="2025-11-16"/>
    <s v="2025-11-20"/>
    <n v="4"/>
    <n v="8007.03"/>
    <x v="0"/>
    <s v="Discharged"/>
    <x v="2"/>
    <x v="0"/>
  </r>
  <r>
    <x v="1249"/>
    <x v="29"/>
    <x v="0"/>
    <x v="1"/>
    <x v="2"/>
    <s v="2025-09-08"/>
    <s v="2025-09-10"/>
    <n v="2"/>
    <n v="2922.21"/>
    <x v="0"/>
    <s v="Discharged"/>
    <x v="3"/>
    <x v="0"/>
  </r>
  <r>
    <x v="1250"/>
    <x v="37"/>
    <x v="0"/>
    <x v="2"/>
    <x v="1"/>
    <s v="2025-08-14"/>
    <s v="2025-08-16"/>
    <n v="2"/>
    <n v="7466.06"/>
    <x v="0"/>
    <s v="Discharged"/>
    <x v="1"/>
    <x v="0"/>
  </r>
  <r>
    <x v="1251"/>
    <x v="24"/>
    <x v="1"/>
    <x v="1"/>
    <x v="1"/>
    <s v="2025-10-24"/>
    <s v="2025-10-27"/>
    <n v="3"/>
    <n v="5302.77"/>
    <x v="0"/>
    <s v="Discharged"/>
    <x v="2"/>
    <x v="0"/>
  </r>
  <r>
    <x v="1252"/>
    <x v="10"/>
    <x v="0"/>
    <x v="0"/>
    <x v="2"/>
    <s v="2025-03-12"/>
    <s v="2025-03-17"/>
    <n v="5"/>
    <n v="7273.83"/>
    <x v="0"/>
    <s v="Discharged"/>
    <x v="4"/>
    <x v="0"/>
  </r>
  <r>
    <x v="1253"/>
    <x v="25"/>
    <x v="1"/>
    <x v="3"/>
    <x v="1"/>
    <s v="2025-10-16"/>
    <s v="2025-10-27"/>
    <n v="11"/>
    <n v="17978.849999999999"/>
    <x v="1"/>
    <s v="Transferred"/>
    <x v="2"/>
    <x v="1"/>
  </r>
  <r>
    <x v="1254"/>
    <x v="0"/>
    <x v="0"/>
    <x v="0"/>
    <x v="2"/>
    <s v="2025-10-03"/>
    <s v="2025-10-09"/>
    <n v="6"/>
    <n v="9139.34"/>
    <x v="0"/>
    <s v="Discharged"/>
    <x v="0"/>
    <x v="0"/>
  </r>
  <r>
    <x v="1255"/>
    <x v="47"/>
    <x v="1"/>
    <x v="2"/>
    <x v="2"/>
    <s v="2025-04-01"/>
    <s v="2025-04-07"/>
    <n v="6"/>
    <n v="11430.57"/>
    <x v="0"/>
    <s v="Discharged"/>
    <x v="4"/>
    <x v="0"/>
  </r>
  <r>
    <x v="1256"/>
    <x v="20"/>
    <x v="0"/>
    <x v="4"/>
    <x v="0"/>
    <s v="2025-05-10"/>
    <s v="2025-05-14"/>
    <n v="4"/>
    <n v="9943.02"/>
    <x v="0"/>
    <s v="Discharged"/>
    <x v="0"/>
    <x v="0"/>
  </r>
  <r>
    <x v="1257"/>
    <x v="35"/>
    <x v="1"/>
    <x v="3"/>
    <x v="2"/>
    <s v="2025-01-30"/>
    <s v="2025-02-06"/>
    <n v="7"/>
    <n v="16142.02"/>
    <x v="1"/>
    <s v="Discharged"/>
    <x v="4"/>
    <x v="0"/>
  </r>
  <r>
    <x v="1258"/>
    <x v="48"/>
    <x v="1"/>
    <x v="3"/>
    <x v="0"/>
    <s v="2025-01-17"/>
    <s v="2025-01-21"/>
    <n v="4"/>
    <n v="13097.15"/>
    <x v="0"/>
    <s v="Discharged"/>
    <x v="0"/>
    <x v="0"/>
  </r>
  <r>
    <x v="1259"/>
    <x v="17"/>
    <x v="1"/>
    <x v="5"/>
    <x v="0"/>
    <s v="2025-08-14"/>
    <s v="2025-08-16"/>
    <n v="2"/>
    <n v="7707.27"/>
    <x v="0"/>
    <s v="Discharged"/>
    <x v="2"/>
    <x v="0"/>
  </r>
  <r>
    <x v="1260"/>
    <x v="24"/>
    <x v="0"/>
    <x v="3"/>
    <x v="2"/>
    <s v="2025-08-30"/>
    <s v="2025-09-08"/>
    <n v="9"/>
    <n v="14137.51"/>
    <x v="1"/>
    <s v="Discharged"/>
    <x v="2"/>
    <x v="1"/>
  </r>
  <r>
    <x v="1261"/>
    <x v="34"/>
    <x v="1"/>
    <x v="5"/>
    <x v="1"/>
    <s v="2025-02-21"/>
    <s v="2025-02-26"/>
    <n v="5"/>
    <n v="7683.68"/>
    <x v="0"/>
    <s v="Discharged"/>
    <x v="2"/>
    <x v="0"/>
  </r>
  <r>
    <x v="1262"/>
    <x v="12"/>
    <x v="0"/>
    <x v="2"/>
    <x v="0"/>
    <s v="2025-09-26"/>
    <s v="2025-10-04"/>
    <n v="8"/>
    <n v="9326.75"/>
    <x v="0"/>
    <s v="Discharged"/>
    <x v="2"/>
    <x v="1"/>
  </r>
  <r>
    <x v="1263"/>
    <x v="9"/>
    <x v="0"/>
    <x v="3"/>
    <x v="0"/>
    <s v="2025-04-08"/>
    <s v="2025-04-15"/>
    <n v="7"/>
    <n v="13151.93"/>
    <x v="0"/>
    <s v="Discharged"/>
    <x v="4"/>
    <x v="0"/>
  </r>
  <r>
    <x v="1264"/>
    <x v="42"/>
    <x v="1"/>
    <x v="3"/>
    <x v="0"/>
    <s v="2025-09-02"/>
    <s v="2025-09-09"/>
    <n v="7"/>
    <n v="13543.9"/>
    <x v="1"/>
    <s v="Discharged"/>
    <x v="4"/>
    <x v="0"/>
  </r>
  <r>
    <x v="1265"/>
    <x v="7"/>
    <x v="1"/>
    <x v="1"/>
    <x v="1"/>
    <s v="2025-04-26"/>
    <s v="2025-04-30"/>
    <n v="4"/>
    <n v="7533.55"/>
    <x v="0"/>
    <s v="Other"/>
    <x v="4"/>
    <x v="0"/>
  </r>
  <r>
    <x v="1266"/>
    <x v="59"/>
    <x v="1"/>
    <x v="0"/>
    <x v="2"/>
    <s v="2025-07-06"/>
    <s v="2025-07-11"/>
    <n v="5"/>
    <n v="8005.13"/>
    <x v="0"/>
    <s v="Discharged"/>
    <x v="3"/>
    <x v="0"/>
  </r>
  <r>
    <x v="1267"/>
    <x v="5"/>
    <x v="1"/>
    <x v="0"/>
    <x v="2"/>
    <s v="2025-01-15"/>
    <s v="2025-01-17"/>
    <n v="2"/>
    <n v="5767.76"/>
    <x v="0"/>
    <s v="Discharged"/>
    <x v="0"/>
    <x v="0"/>
  </r>
  <r>
    <x v="1268"/>
    <x v="28"/>
    <x v="0"/>
    <x v="2"/>
    <x v="0"/>
    <s v="2025-01-02"/>
    <s v="2025-01-06"/>
    <n v="4"/>
    <n v="11280.35"/>
    <x v="0"/>
    <s v="Discharged"/>
    <x v="4"/>
    <x v="0"/>
  </r>
  <r>
    <x v="1269"/>
    <x v="39"/>
    <x v="1"/>
    <x v="1"/>
    <x v="2"/>
    <s v="2025-03-06"/>
    <s v="2025-03-08"/>
    <n v="2"/>
    <n v="3833.51"/>
    <x v="1"/>
    <s v="Discharged"/>
    <x v="4"/>
    <x v="0"/>
  </r>
  <r>
    <x v="1270"/>
    <x v="44"/>
    <x v="0"/>
    <x v="2"/>
    <x v="0"/>
    <s v="2025-09-23"/>
    <s v="2025-09-26"/>
    <n v="3"/>
    <n v="7885.57"/>
    <x v="0"/>
    <s v="Discharged"/>
    <x v="1"/>
    <x v="0"/>
  </r>
  <r>
    <x v="1271"/>
    <x v="67"/>
    <x v="1"/>
    <x v="1"/>
    <x v="0"/>
    <s v="2025-07-12"/>
    <s v="2025-07-15"/>
    <n v="3"/>
    <n v="4598.55"/>
    <x v="0"/>
    <s v="Discharged"/>
    <x v="3"/>
    <x v="0"/>
  </r>
  <r>
    <x v="1272"/>
    <x v="44"/>
    <x v="1"/>
    <x v="4"/>
    <x v="2"/>
    <s v="2025-03-30"/>
    <s v="2025-04-09"/>
    <n v="10"/>
    <n v="12568.14"/>
    <x v="0"/>
    <s v="Discharged"/>
    <x v="1"/>
    <x v="1"/>
  </r>
  <r>
    <x v="1273"/>
    <x v="5"/>
    <x v="1"/>
    <x v="0"/>
    <x v="2"/>
    <s v="2025-07-22"/>
    <s v="2025-07-26"/>
    <n v="4"/>
    <n v="6263.34"/>
    <x v="0"/>
    <s v="Discharged"/>
    <x v="0"/>
    <x v="0"/>
  </r>
  <r>
    <x v="1274"/>
    <x v="39"/>
    <x v="1"/>
    <x v="1"/>
    <x v="2"/>
    <s v="2025-03-11"/>
    <s v="2025-03-14"/>
    <n v="3"/>
    <n v="5272.23"/>
    <x v="0"/>
    <s v="Discharged"/>
    <x v="4"/>
    <x v="0"/>
  </r>
  <r>
    <x v="1275"/>
    <x v="52"/>
    <x v="1"/>
    <x v="4"/>
    <x v="0"/>
    <s v="2025-05-06"/>
    <s v="2025-05-10"/>
    <n v="4"/>
    <n v="11313.72"/>
    <x v="0"/>
    <s v="Discharged"/>
    <x v="4"/>
    <x v="0"/>
  </r>
  <r>
    <x v="1276"/>
    <x v="51"/>
    <x v="1"/>
    <x v="1"/>
    <x v="1"/>
    <s v="2025-09-30"/>
    <s v="2025-10-03"/>
    <n v="3"/>
    <n v="4661.91"/>
    <x v="0"/>
    <s v="Discharged"/>
    <x v="1"/>
    <x v="0"/>
  </r>
  <r>
    <x v="1277"/>
    <x v="61"/>
    <x v="0"/>
    <x v="1"/>
    <x v="1"/>
    <s v="2025-04-14"/>
    <s v="2025-04-18"/>
    <n v="4"/>
    <n v="6228.52"/>
    <x v="1"/>
    <s v="Discharged"/>
    <x v="4"/>
    <x v="0"/>
  </r>
  <r>
    <x v="1278"/>
    <x v="25"/>
    <x v="0"/>
    <x v="0"/>
    <x v="1"/>
    <s v="2025-01-10"/>
    <s v="2025-01-15"/>
    <n v="5"/>
    <n v="11549.52"/>
    <x v="0"/>
    <s v="Discharged"/>
    <x v="2"/>
    <x v="0"/>
  </r>
  <r>
    <x v="1279"/>
    <x v="18"/>
    <x v="1"/>
    <x v="5"/>
    <x v="0"/>
    <s v="2025-12-26"/>
    <s v="2025-12-31"/>
    <n v="5"/>
    <n v="8973.06"/>
    <x v="0"/>
    <s v="Discharged"/>
    <x v="3"/>
    <x v="0"/>
  </r>
  <r>
    <x v="1280"/>
    <x v="40"/>
    <x v="0"/>
    <x v="5"/>
    <x v="2"/>
    <s v="2025-09-13"/>
    <s v="2025-09-20"/>
    <n v="7"/>
    <n v="10152.1"/>
    <x v="0"/>
    <s v="Discharged"/>
    <x v="1"/>
    <x v="0"/>
  </r>
  <r>
    <x v="1281"/>
    <x v="57"/>
    <x v="0"/>
    <x v="1"/>
    <x v="1"/>
    <s v="2025-01-08"/>
    <s v="2025-01-15"/>
    <n v="7"/>
    <n v="6638.24"/>
    <x v="0"/>
    <s v="Transferred"/>
    <x v="3"/>
    <x v="0"/>
  </r>
  <r>
    <x v="1282"/>
    <x v="23"/>
    <x v="1"/>
    <x v="0"/>
    <x v="2"/>
    <s v="2025-04-05"/>
    <s v="2025-04-12"/>
    <n v="7"/>
    <n v="10259.469999999999"/>
    <x v="1"/>
    <s v="Discharged"/>
    <x v="3"/>
    <x v="0"/>
  </r>
  <r>
    <x v="1283"/>
    <x v="37"/>
    <x v="0"/>
    <x v="1"/>
    <x v="0"/>
    <s v="2025-07-27"/>
    <s v="2025-07-28"/>
    <n v="1"/>
    <n v="3639.58"/>
    <x v="0"/>
    <s v="Discharged"/>
    <x v="1"/>
    <x v="0"/>
  </r>
  <r>
    <x v="1284"/>
    <x v="39"/>
    <x v="0"/>
    <x v="4"/>
    <x v="2"/>
    <s v="2025-09-10"/>
    <s v="2025-09-18"/>
    <n v="8"/>
    <n v="11837.29"/>
    <x v="0"/>
    <s v="Discharged"/>
    <x v="4"/>
    <x v="1"/>
  </r>
  <r>
    <x v="1285"/>
    <x v="72"/>
    <x v="1"/>
    <x v="0"/>
    <x v="0"/>
    <s v="2025-08-22"/>
    <s v="2025-08-27"/>
    <n v="5"/>
    <n v="6855.69"/>
    <x v="0"/>
    <s v="Discharged"/>
    <x v="2"/>
    <x v="0"/>
  </r>
  <r>
    <x v="1286"/>
    <x v="53"/>
    <x v="1"/>
    <x v="4"/>
    <x v="0"/>
    <s v="2025-04-06"/>
    <s v="2025-04-11"/>
    <n v="5"/>
    <n v="11745.78"/>
    <x v="0"/>
    <s v="Discharged"/>
    <x v="4"/>
    <x v="0"/>
  </r>
  <r>
    <x v="1287"/>
    <x v="68"/>
    <x v="0"/>
    <x v="5"/>
    <x v="2"/>
    <s v="2025-04-24"/>
    <s v="2025-04-27"/>
    <n v="3"/>
    <n v="8594.64"/>
    <x v="0"/>
    <s v="Discharged"/>
    <x v="3"/>
    <x v="0"/>
  </r>
  <r>
    <x v="1288"/>
    <x v="31"/>
    <x v="1"/>
    <x v="4"/>
    <x v="2"/>
    <s v="2025-02-04"/>
    <s v="2025-02-11"/>
    <n v="7"/>
    <n v="9690.67"/>
    <x v="0"/>
    <s v="Discharged"/>
    <x v="2"/>
    <x v="0"/>
  </r>
  <r>
    <x v="1289"/>
    <x v="5"/>
    <x v="1"/>
    <x v="5"/>
    <x v="1"/>
    <s v="2025-08-11"/>
    <s v="2025-08-17"/>
    <n v="6"/>
    <n v="11555.01"/>
    <x v="0"/>
    <s v="Discharged"/>
    <x v="0"/>
    <x v="0"/>
  </r>
  <r>
    <x v="1290"/>
    <x v="64"/>
    <x v="1"/>
    <x v="4"/>
    <x v="0"/>
    <s v="2025-02-17"/>
    <s v="2025-02-21"/>
    <n v="4"/>
    <n v="10748.14"/>
    <x v="0"/>
    <s v="Discharged"/>
    <x v="4"/>
    <x v="0"/>
  </r>
  <r>
    <x v="1291"/>
    <x v="63"/>
    <x v="0"/>
    <x v="1"/>
    <x v="2"/>
    <s v="2025-11-30"/>
    <s v="2025-12-01"/>
    <n v="1"/>
    <n v="1773.37"/>
    <x v="0"/>
    <s v="Discharged"/>
    <x v="3"/>
    <x v="0"/>
  </r>
  <r>
    <x v="1292"/>
    <x v="35"/>
    <x v="1"/>
    <x v="5"/>
    <x v="2"/>
    <s v="2025-10-20"/>
    <s v="2025-10-25"/>
    <n v="5"/>
    <n v="8045.01"/>
    <x v="1"/>
    <s v="Discharged"/>
    <x v="4"/>
    <x v="0"/>
  </r>
  <r>
    <x v="1293"/>
    <x v="57"/>
    <x v="0"/>
    <x v="1"/>
    <x v="0"/>
    <s v="2025-12-07"/>
    <s v="2025-12-11"/>
    <n v="4"/>
    <n v="3527.41"/>
    <x v="0"/>
    <s v="Discharged"/>
    <x v="3"/>
    <x v="0"/>
  </r>
  <r>
    <x v="1294"/>
    <x v="18"/>
    <x v="0"/>
    <x v="1"/>
    <x v="0"/>
    <s v="2025-05-09"/>
    <s v="2025-05-16"/>
    <n v="7"/>
    <n v="10009.66"/>
    <x v="0"/>
    <s v="Discharged"/>
    <x v="3"/>
    <x v="0"/>
  </r>
  <r>
    <x v="1295"/>
    <x v="41"/>
    <x v="1"/>
    <x v="0"/>
    <x v="0"/>
    <s v="2025-11-05"/>
    <s v="2025-11-09"/>
    <n v="4"/>
    <n v="7648.56"/>
    <x v="0"/>
    <s v="Discharged"/>
    <x v="1"/>
    <x v="0"/>
  </r>
  <r>
    <x v="1296"/>
    <x v="27"/>
    <x v="0"/>
    <x v="2"/>
    <x v="0"/>
    <s v="2025-08-25"/>
    <m/>
    <n v="5"/>
    <n v="13784.76"/>
    <x v="0"/>
    <s v="Discharged"/>
    <x v="1"/>
    <x v="0"/>
  </r>
  <r>
    <x v="1297"/>
    <x v="60"/>
    <x v="1"/>
    <x v="0"/>
    <x v="1"/>
    <s v="2025-11-21"/>
    <s v="2025-11-28"/>
    <n v="7"/>
    <n v="7019.94"/>
    <x v="0"/>
    <s v="Discharged"/>
    <x v="3"/>
    <x v="0"/>
  </r>
  <r>
    <x v="1298"/>
    <x v="38"/>
    <x v="0"/>
    <x v="2"/>
    <x v="2"/>
    <s v="2025-06-28"/>
    <s v="2025-07-02"/>
    <n v="4"/>
    <n v="10358.14"/>
    <x v="0"/>
    <s v="Discharged"/>
    <x v="0"/>
    <x v="0"/>
  </r>
  <r>
    <x v="1299"/>
    <x v="43"/>
    <x v="1"/>
    <x v="4"/>
    <x v="2"/>
    <s v="2025-02-04"/>
    <s v="2025-02-14"/>
    <n v="10"/>
    <n v="14636.45"/>
    <x v="0"/>
    <s v="Discharged"/>
    <x v="2"/>
    <x v="1"/>
  </r>
  <r>
    <x v="1300"/>
    <x v="63"/>
    <x v="0"/>
    <x v="2"/>
    <x v="1"/>
    <s v="2025-09-25"/>
    <s v="2025-10-01"/>
    <n v="6"/>
    <n v="11117.7"/>
    <x v="1"/>
    <s v="Discharged"/>
    <x v="3"/>
    <x v="0"/>
  </r>
  <r>
    <x v="1301"/>
    <x v="72"/>
    <x v="1"/>
    <x v="5"/>
    <x v="2"/>
    <s v="2025-01-04"/>
    <s v="2025-01-09"/>
    <n v="5"/>
    <n v="5165.2"/>
    <x v="0"/>
    <s v="Discharged"/>
    <x v="2"/>
    <x v="0"/>
  </r>
  <r>
    <x v="1302"/>
    <x v="20"/>
    <x v="0"/>
    <x v="5"/>
    <x v="2"/>
    <s v="2025-07-31"/>
    <s v="2025-08-07"/>
    <n v="7"/>
    <n v="9030.4500000000007"/>
    <x v="0"/>
    <s v="Discharged"/>
    <x v="0"/>
    <x v="0"/>
  </r>
  <r>
    <x v="1303"/>
    <x v="45"/>
    <x v="1"/>
    <x v="2"/>
    <x v="2"/>
    <s v="2025-03-10"/>
    <s v="2025-03-17"/>
    <n v="7"/>
    <n v="10016.85"/>
    <x v="1"/>
    <s v="Discharged"/>
    <x v="1"/>
    <x v="0"/>
  </r>
  <r>
    <x v="1304"/>
    <x v="3"/>
    <x v="1"/>
    <x v="0"/>
    <x v="0"/>
    <s v="2025-01-21"/>
    <s v="2025-01-28"/>
    <n v="7"/>
    <n v="8079.69"/>
    <x v="1"/>
    <s v="Discharged"/>
    <x v="0"/>
    <x v="0"/>
  </r>
  <r>
    <x v="1305"/>
    <x v="66"/>
    <x v="0"/>
    <x v="1"/>
    <x v="1"/>
    <s v="2025-10-23"/>
    <s v="2025-10-28"/>
    <n v="5"/>
    <n v="3971.42"/>
    <x v="0"/>
    <s v="Discharged"/>
    <x v="1"/>
    <x v="0"/>
  </r>
  <r>
    <x v="1306"/>
    <x v="63"/>
    <x v="1"/>
    <x v="5"/>
    <x v="0"/>
    <s v="2025-03-24"/>
    <s v="2025-03-29"/>
    <n v="5"/>
    <n v="8914.9500000000007"/>
    <x v="0"/>
    <s v="Discharged"/>
    <x v="3"/>
    <x v="0"/>
  </r>
  <r>
    <x v="1307"/>
    <x v="45"/>
    <x v="0"/>
    <x v="5"/>
    <x v="2"/>
    <s v="2025-02-26"/>
    <s v="2025-02-28"/>
    <n v="2"/>
    <n v="10717.91"/>
    <x v="0"/>
    <s v="Discharged"/>
    <x v="1"/>
    <x v="0"/>
  </r>
  <r>
    <x v="1308"/>
    <x v="35"/>
    <x v="0"/>
    <x v="4"/>
    <x v="2"/>
    <s v="2025-07-06"/>
    <s v="2025-07-11"/>
    <n v="5"/>
    <n v="12831.89"/>
    <x v="0"/>
    <s v="Discharged"/>
    <x v="4"/>
    <x v="0"/>
  </r>
  <r>
    <x v="1309"/>
    <x v="36"/>
    <x v="1"/>
    <x v="5"/>
    <x v="0"/>
    <s v="2025-09-04"/>
    <s v="2025-09-11"/>
    <n v="7"/>
    <n v="10198.34"/>
    <x v="0"/>
    <s v="Discharged"/>
    <x v="1"/>
    <x v="0"/>
  </r>
  <r>
    <x v="1310"/>
    <x v="52"/>
    <x v="1"/>
    <x v="1"/>
    <x v="2"/>
    <s v="2025-06-22"/>
    <s v="2025-06-27"/>
    <n v="5"/>
    <n v="4096.07"/>
    <x v="0"/>
    <s v="Discharged"/>
    <x v="4"/>
    <x v="0"/>
  </r>
  <r>
    <x v="1311"/>
    <x v="64"/>
    <x v="0"/>
    <x v="5"/>
    <x v="0"/>
    <s v="2025-10-24"/>
    <s v="2025-10-29"/>
    <n v="5"/>
    <n v="8044.23"/>
    <x v="0"/>
    <s v="Discharged"/>
    <x v="4"/>
    <x v="0"/>
  </r>
  <r>
    <x v="1312"/>
    <x v="32"/>
    <x v="1"/>
    <x v="4"/>
    <x v="0"/>
    <s v="2025-07-17"/>
    <s v="2025-07-24"/>
    <n v="7"/>
    <n v="10163.67"/>
    <x v="0"/>
    <s v="Discharged"/>
    <x v="3"/>
    <x v="0"/>
  </r>
  <r>
    <x v="1313"/>
    <x v="43"/>
    <x v="1"/>
    <x v="0"/>
    <x v="2"/>
    <s v="2025-04-30"/>
    <s v="2025-05-05"/>
    <n v="5"/>
    <n v="8357.36"/>
    <x v="0"/>
    <s v="Discharged"/>
    <x v="2"/>
    <x v="0"/>
  </r>
  <r>
    <x v="1314"/>
    <x v="60"/>
    <x v="1"/>
    <x v="2"/>
    <x v="0"/>
    <s v="2025-03-30"/>
    <s v="2025-04-04"/>
    <n v="5"/>
    <n v="8097.59"/>
    <x v="0"/>
    <s v="Discharged"/>
    <x v="3"/>
    <x v="0"/>
  </r>
  <r>
    <x v="1315"/>
    <x v="65"/>
    <x v="0"/>
    <x v="1"/>
    <x v="1"/>
    <s v="2025-12-01"/>
    <s v="2025-12-06"/>
    <n v="5"/>
    <n v="5366.75"/>
    <x v="0"/>
    <s v="Discharged"/>
    <x v="3"/>
    <x v="0"/>
  </r>
  <r>
    <x v="1316"/>
    <x v="49"/>
    <x v="0"/>
    <x v="0"/>
    <x v="2"/>
    <s v="2025-02-28"/>
    <s v="2025-03-06"/>
    <n v="6"/>
    <n v="8419.4500000000007"/>
    <x v="0"/>
    <s v="Discharged"/>
    <x v="0"/>
    <x v="0"/>
  </r>
  <r>
    <x v="1317"/>
    <x v="17"/>
    <x v="0"/>
    <x v="3"/>
    <x v="1"/>
    <s v="2025-01-07"/>
    <s v="2025-01-17"/>
    <n v="10"/>
    <n v="16945.919999999998"/>
    <x v="0"/>
    <s v="Discharged"/>
    <x v="2"/>
    <x v="1"/>
  </r>
  <r>
    <x v="1318"/>
    <x v="14"/>
    <x v="0"/>
    <x v="5"/>
    <x v="1"/>
    <s v="2025-08-29"/>
    <s v="2025-09-06"/>
    <n v="8"/>
    <n v="13633.06"/>
    <x v="0"/>
    <s v="Discharged"/>
    <x v="0"/>
    <x v="1"/>
  </r>
  <r>
    <x v="1319"/>
    <x v="9"/>
    <x v="1"/>
    <x v="3"/>
    <x v="2"/>
    <s v="2025-01-25"/>
    <s v="2025-02-02"/>
    <n v="8"/>
    <n v="13100.95"/>
    <x v="0"/>
    <s v="Discharged"/>
    <x v="4"/>
    <x v="1"/>
  </r>
  <r>
    <x v="1320"/>
    <x v="20"/>
    <x v="0"/>
    <x v="0"/>
    <x v="1"/>
    <s v="2025-05-28"/>
    <s v="2025-06-04"/>
    <n v="7"/>
    <n v="9465.5499999999993"/>
    <x v="0"/>
    <s v="Discharged"/>
    <x v="0"/>
    <x v="0"/>
  </r>
  <r>
    <x v="1321"/>
    <x v="8"/>
    <x v="0"/>
    <x v="1"/>
    <x v="2"/>
    <s v="2025-02-09"/>
    <s v="2025-02-14"/>
    <n v="5"/>
    <n v="8167.52"/>
    <x v="0"/>
    <s v="Discharged"/>
    <x v="3"/>
    <x v="0"/>
  </r>
  <r>
    <x v="1322"/>
    <x v="72"/>
    <x v="1"/>
    <x v="1"/>
    <x v="0"/>
    <s v="2025-07-12"/>
    <s v="2025-07-14"/>
    <n v="2"/>
    <n v="6664.61"/>
    <x v="0"/>
    <s v="Discharged"/>
    <x v="2"/>
    <x v="0"/>
  </r>
  <r>
    <x v="1323"/>
    <x v="40"/>
    <x v="0"/>
    <x v="0"/>
    <x v="2"/>
    <s v="2025-11-19"/>
    <s v="2025-11-23"/>
    <n v="4"/>
    <n v="8050.43"/>
    <x v="0"/>
    <s v="Discharged"/>
    <x v="1"/>
    <x v="0"/>
  </r>
  <r>
    <x v="1324"/>
    <x v="13"/>
    <x v="0"/>
    <x v="5"/>
    <x v="1"/>
    <s v="2025-04-20"/>
    <s v="2025-04-29"/>
    <n v="9"/>
    <n v="11994.43"/>
    <x v="0"/>
    <s v="Discharged"/>
    <x v="1"/>
    <x v="1"/>
  </r>
  <r>
    <x v="1325"/>
    <x v="28"/>
    <x v="2"/>
    <x v="1"/>
    <x v="2"/>
    <s v="2025-12-23"/>
    <s v="2025-12-26"/>
    <n v="3"/>
    <n v="4767.37"/>
    <x v="0"/>
    <s v="Discharged"/>
    <x v="4"/>
    <x v="0"/>
  </r>
  <r>
    <x v="1326"/>
    <x v="16"/>
    <x v="1"/>
    <x v="3"/>
    <x v="1"/>
    <s v="2025-02-12"/>
    <s v="2025-02-21"/>
    <n v="9"/>
    <n v="14140.76"/>
    <x v="1"/>
    <s v="Discharged"/>
    <x v="4"/>
    <x v="1"/>
  </r>
  <r>
    <x v="1327"/>
    <x v="64"/>
    <x v="0"/>
    <x v="5"/>
    <x v="1"/>
    <s v="2025-06-13"/>
    <s v="2025-06-17"/>
    <n v="4"/>
    <n v="8986.4500000000007"/>
    <x v="0"/>
    <s v="Discharged"/>
    <x v="4"/>
    <x v="0"/>
  </r>
  <r>
    <x v="1328"/>
    <x v="15"/>
    <x v="1"/>
    <x v="1"/>
    <x v="1"/>
    <s v="2025-12-05"/>
    <s v="2025-12-09"/>
    <n v="4"/>
    <n v="3557.17"/>
    <x v="0"/>
    <s v="Discharged"/>
    <x v="1"/>
    <x v="0"/>
  </r>
  <r>
    <x v="1329"/>
    <x v="44"/>
    <x v="1"/>
    <x v="5"/>
    <x v="0"/>
    <s v="2025-11-04"/>
    <s v="2025-11-06"/>
    <n v="2"/>
    <n v="7130.65"/>
    <x v="0"/>
    <s v="Discharged"/>
    <x v="1"/>
    <x v="0"/>
  </r>
  <r>
    <x v="1330"/>
    <x v="42"/>
    <x v="1"/>
    <x v="1"/>
    <x v="2"/>
    <s v="2025-09-13"/>
    <s v="2025-09-17"/>
    <n v="4"/>
    <n v="5192.95"/>
    <x v="1"/>
    <s v="Discharged"/>
    <x v="4"/>
    <x v="0"/>
  </r>
  <r>
    <x v="1331"/>
    <x v="38"/>
    <x v="1"/>
    <x v="1"/>
    <x v="1"/>
    <s v="2025-02-26"/>
    <s v="2025-02-27"/>
    <n v="1"/>
    <n v="4995.96"/>
    <x v="0"/>
    <s v="Discharged"/>
    <x v="0"/>
    <x v="0"/>
  </r>
  <r>
    <x v="1332"/>
    <x v="18"/>
    <x v="0"/>
    <x v="0"/>
    <x v="0"/>
    <s v="2025-02-15"/>
    <s v="2025-02-18"/>
    <n v="3"/>
    <n v="5056.3599999999997"/>
    <x v="0"/>
    <s v="Discharged"/>
    <x v="3"/>
    <x v="0"/>
  </r>
  <r>
    <x v="1333"/>
    <x v="49"/>
    <x v="1"/>
    <x v="2"/>
    <x v="2"/>
    <s v="2025-01-08"/>
    <s v="2025-01-13"/>
    <n v="5"/>
    <n v="8467.5400000000009"/>
    <x v="1"/>
    <s v="Discharged"/>
    <x v="0"/>
    <x v="0"/>
  </r>
  <r>
    <x v="1334"/>
    <x v="62"/>
    <x v="1"/>
    <x v="4"/>
    <x v="0"/>
    <s v="2025-02-24"/>
    <s v="2025-03-04"/>
    <n v="8"/>
    <n v="13180.68"/>
    <x v="1"/>
    <s v="Discharged"/>
    <x v="2"/>
    <x v="1"/>
  </r>
  <r>
    <x v="1335"/>
    <x v="55"/>
    <x v="1"/>
    <x v="0"/>
    <x v="2"/>
    <s v="2025-10-06"/>
    <s v="2025-10-12"/>
    <n v="6"/>
    <n v="8205.99"/>
    <x v="0"/>
    <s v="Discharged"/>
    <x v="4"/>
    <x v="0"/>
  </r>
  <r>
    <x v="1336"/>
    <x v="7"/>
    <x v="2"/>
    <x v="3"/>
    <x v="1"/>
    <s v="2025-05-14"/>
    <s v="2025-05-21"/>
    <n v="7"/>
    <n v="15350.23"/>
    <x v="0"/>
    <s v="Discharged"/>
    <x v="4"/>
    <x v="0"/>
  </r>
  <r>
    <x v="1337"/>
    <x v="34"/>
    <x v="1"/>
    <x v="4"/>
    <x v="2"/>
    <s v="2025-05-25"/>
    <s v="2025-06-01"/>
    <n v="7"/>
    <n v="10623.08"/>
    <x v="1"/>
    <s v="Discharged"/>
    <x v="2"/>
    <x v="0"/>
  </r>
  <r>
    <x v="1338"/>
    <x v="64"/>
    <x v="0"/>
    <x v="5"/>
    <x v="0"/>
    <s v="2025-12-01"/>
    <s v="2025-12-05"/>
    <n v="4"/>
    <n v="9082.0400000000009"/>
    <x v="0"/>
    <s v="Discharged"/>
    <x v="4"/>
    <x v="0"/>
  </r>
  <r>
    <x v="1339"/>
    <x v="8"/>
    <x v="0"/>
    <x v="4"/>
    <x v="2"/>
    <s v="2025-07-13"/>
    <s v="2025-07-18"/>
    <n v="5"/>
    <n v="10792.21"/>
    <x v="0"/>
    <s v="Discharged"/>
    <x v="3"/>
    <x v="0"/>
  </r>
  <r>
    <x v="1340"/>
    <x v="27"/>
    <x v="0"/>
    <x v="2"/>
    <x v="0"/>
    <s v="2025-10-13"/>
    <s v="2025-10-16"/>
    <n v="3"/>
    <n v="6947.11"/>
    <x v="0"/>
    <s v="Discharged"/>
    <x v="1"/>
    <x v="0"/>
  </r>
  <r>
    <x v="1341"/>
    <x v="23"/>
    <x v="1"/>
    <x v="0"/>
    <x v="2"/>
    <s v="2025-02-25"/>
    <s v="2025-03-02"/>
    <n v="5"/>
    <n v="6839.08"/>
    <x v="1"/>
    <s v="Discharged"/>
    <x v="3"/>
    <x v="0"/>
  </r>
  <r>
    <x v="1342"/>
    <x v="71"/>
    <x v="0"/>
    <x v="1"/>
    <x v="2"/>
    <s v="2025-05-25"/>
    <s v="2025-05-30"/>
    <n v="5"/>
    <n v="7467.76"/>
    <x v="0"/>
    <s v="Discharged"/>
    <x v="1"/>
    <x v="0"/>
  </r>
  <r>
    <x v="1343"/>
    <x v="57"/>
    <x v="1"/>
    <x v="3"/>
    <x v="0"/>
    <s v="2025-08-28"/>
    <s v="2025-09-01"/>
    <n v="4"/>
    <n v="11167.88"/>
    <x v="0"/>
    <s v="Discharged"/>
    <x v="3"/>
    <x v="0"/>
  </r>
  <r>
    <x v="1344"/>
    <x v="72"/>
    <x v="0"/>
    <x v="2"/>
    <x v="2"/>
    <s v="2025-09-13"/>
    <s v="2025-09-17"/>
    <n v="4"/>
    <n v="9234.94"/>
    <x v="1"/>
    <s v="Discharged"/>
    <x v="2"/>
    <x v="0"/>
  </r>
  <r>
    <x v="1345"/>
    <x v="6"/>
    <x v="1"/>
    <x v="0"/>
    <x v="1"/>
    <s v="2025-10-09"/>
    <s v="2025-10-18"/>
    <n v="9"/>
    <n v="9710.11"/>
    <x v="0"/>
    <s v="Discharged"/>
    <x v="3"/>
    <x v="1"/>
  </r>
  <r>
    <x v="1346"/>
    <x v="12"/>
    <x v="1"/>
    <x v="0"/>
    <x v="2"/>
    <s v="2025-09-09"/>
    <s v="2025-09-17"/>
    <n v="8"/>
    <n v="7649.45"/>
    <x v="1"/>
    <s v="Discharged"/>
    <x v="2"/>
    <x v="1"/>
  </r>
  <r>
    <x v="1347"/>
    <x v="67"/>
    <x v="0"/>
    <x v="5"/>
    <x v="2"/>
    <s v="2025-01-28"/>
    <s v="2025-02-07"/>
    <n v="10"/>
    <n v="13091.99"/>
    <x v="0"/>
    <s v="Discharged"/>
    <x v="3"/>
    <x v="1"/>
  </r>
  <r>
    <x v="1348"/>
    <x v="28"/>
    <x v="0"/>
    <x v="0"/>
    <x v="1"/>
    <s v="2025-07-28"/>
    <s v="2025-08-05"/>
    <n v="8"/>
    <n v="10271.280000000001"/>
    <x v="0"/>
    <s v="Discharged"/>
    <x v="4"/>
    <x v="1"/>
  </r>
  <r>
    <x v="1349"/>
    <x v="45"/>
    <x v="1"/>
    <x v="1"/>
    <x v="0"/>
    <s v="2025-11-27"/>
    <s v="2025-12-03"/>
    <n v="6"/>
    <n v="9400.32"/>
    <x v="0"/>
    <s v="Discharged"/>
    <x v="1"/>
    <x v="0"/>
  </r>
  <r>
    <x v="1350"/>
    <x v="4"/>
    <x v="1"/>
    <x v="3"/>
    <x v="1"/>
    <s v="2025-05-22"/>
    <s v="2025-05-31"/>
    <n v="9"/>
    <n v="15638.98"/>
    <x v="0"/>
    <s v="Discharged"/>
    <x v="2"/>
    <x v="1"/>
  </r>
  <r>
    <x v="1351"/>
    <x v="7"/>
    <x v="1"/>
    <x v="2"/>
    <x v="2"/>
    <s v="2025-05-25"/>
    <s v="2025-05-31"/>
    <n v="6"/>
    <n v="10732.25"/>
    <x v="0"/>
    <s v="Discharged"/>
    <x v="4"/>
    <x v="0"/>
  </r>
  <r>
    <x v="1352"/>
    <x v="24"/>
    <x v="1"/>
    <x v="3"/>
    <x v="0"/>
    <s v="2025-03-11"/>
    <s v="2025-03-18"/>
    <n v="7"/>
    <n v="12870.39"/>
    <x v="0"/>
    <s v="Discharged"/>
    <x v="2"/>
    <x v="0"/>
  </r>
  <r>
    <x v="1353"/>
    <x v="55"/>
    <x v="1"/>
    <x v="1"/>
    <x v="2"/>
    <s v="2025-01-16"/>
    <s v="2025-01-20"/>
    <n v="4"/>
    <n v="9078.2900000000009"/>
    <x v="1"/>
    <s v="Discharged"/>
    <x v="4"/>
    <x v="0"/>
  </r>
  <r>
    <x v="1354"/>
    <x v="45"/>
    <x v="1"/>
    <x v="4"/>
    <x v="0"/>
    <s v="2025-07-11"/>
    <s v="2025-07-15"/>
    <n v="4"/>
    <n v="10049.530000000001"/>
    <x v="0"/>
    <s v="Discharged"/>
    <x v="1"/>
    <x v="0"/>
  </r>
  <r>
    <x v="1355"/>
    <x v="39"/>
    <x v="0"/>
    <x v="1"/>
    <x v="1"/>
    <s v="2025-07-21"/>
    <s v="2025-07-25"/>
    <n v="4"/>
    <n v="5266"/>
    <x v="0"/>
    <s v="Discharged"/>
    <x v="4"/>
    <x v="0"/>
  </r>
  <r>
    <x v="1356"/>
    <x v="48"/>
    <x v="1"/>
    <x v="4"/>
    <x v="2"/>
    <s v="2025-07-18"/>
    <s v="2025-07-25"/>
    <n v="7"/>
    <n v="10400.59"/>
    <x v="0"/>
    <s v="Discharged"/>
    <x v="0"/>
    <x v="0"/>
  </r>
  <r>
    <x v="1357"/>
    <x v="70"/>
    <x v="1"/>
    <x v="5"/>
    <x v="0"/>
    <s v="2025-03-24"/>
    <s v="2025-03-29"/>
    <n v="5"/>
    <n v="10524.23"/>
    <x v="0"/>
    <s v="Discharged"/>
    <x v="1"/>
    <x v="0"/>
  </r>
  <r>
    <x v="1358"/>
    <x v="0"/>
    <x v="0"/>
    <x v="3"/>
    <x v="2"/>
    <s v="2025-08-27"/>
    <s v="2025-08-31"/>
    <n v="4"/>
    <n v="11713.73"/>
    <x v="0"/>
    <s v="Discharged"/>
    <x v="0"/>
    <x v="0"/>
  </r>
  <r>
    <x v="1359"/>
    <x v="12"/>
    <x v="0"/>
    <x v="0"/>
    <x v="1"/>
    <s v="2025-07-04"/>
    <s v="2025-07-12"/>
    <n v="8"/>
    <n v="8154.93"/>
    <x v="0"/>
    <s v="Discharged"/>
    <x v="2"/>
    <x v="1"/>
  </r>
  <r>
    <x v="1360"/>
    <x v="3"/>
    <x v="0"/>
    <x v="5"/>
    <x v="0"/>
    <s v="2025-06-06"/>
    <s v="2025-06-09"/>
    <n v="3"/>
    <n v="7956.03"/>
    <x v="0"/>
    <s v="Discharged"/>
    <x v="0"/>
    <x v="0"/>
  </r>
  <r>
    <x v="1361"/>
    <x v="67"/>
    <x v="1"/>
    <x v="2"/>
    <x v="2"/>
    <s v="2025-04-25"/>
    <s v="2025-05-01"/>
    <n v="6"/>
    <n v="11536.33"/>
    <x v="0"/>
    <s v="Discharged"/>
    <x v="3"/>
    <x v="0"/>
  </r>
  <r>
    <x v="1362"/>
    <x v="47"/>
    <x v="2"/>
    <x v="5"/>
    <x v="0"/>
    <s v="2025-06-06"/>
    <s v="2025-06-12"/>
    <n v="6"/>
    <n v="10835.43"/>
    <x v="0"/>
    <s v="Discharged"/>
    <x v="4"/>
    <x v="0"/>
  </r>
  <r>
    <x v="1363"/>
    <x v="54"/>
    <x v="1"/>
    <x v="1"/>
    <x v="2"/>
    <s v="2025-04-09"/>
    <s v="2025-04-14"/>
    <n v="5"/>
    <n v="3987.85"/>
    <x v="0"/>
    <s v="Discharged"/>
    <x v="2"/>
    <x v="0"/>
  </r>
  <r>
    <x v="1364"/>
    <x v="45"/>
    <x v="1"/>
    <x v="0"/>
    <x v="2"/>
    <s v="2025-10-12"/>
    <s v="2025-10-20"/>
    <n v="8"/>
    <n v="8715.41"/>
    <x v="0"/>
    <s v="Discharged"/>
    <x v="1"/>
    <x v="1"/>
  </r>
  <r>
    <x v="1365"/>
    <x v="10"/>
    <x v="1"/>
    <x v="0"/>
    <x v="0"/>
    <s v="2025-11-07"/>
    <s v="2025-11-13"/>
    <n v="6"/>
    <n v="9045.81"/>
    <x v="0"/>
    <s v="Discharged"/>
    <x v="4"/>
    <x v="0"/>
  </r>
  <r>
    <x v="1366"/>
    <x v="1"/>
    <x v="0"/>
    <x v="0"/>
    <x v="2"/>
    <s v="2025-11-12"/>
    <s v="2025-11-18"/>
    <n v="6"/>
    <n v="7915.8"/>
    <x v="0"/>
    <s v="Discharged"/>
    <x v="0"/>
    <x v="0"/>
  </r>
  <r>
    <x v="1367"/>
    <x v="12"/>
    <x v="0"/>
    <x v="0"/>
    <x v="0"/>
    <s v="2025-12-28"/>
    <s v="2026-01-04"/>
    <n v="7"/>
    <n v="6333.97"/>
    <x v="0"/>
    <s v="Discharged"/>
    <x v="2"/>
    <x v="0"/>
  </r>
  <r>
    <x v="1368"/>
    <x v="18"/>
    <x v="0"/>
    <x v="1"/>
    <x v="1"/>
    <s v="2025-01-19"/>
    <s v="2025-01-21"/>
    <n v="2"/>
    <n v="6190.97"/>
    <x v="0"/>
    <s v="Discharged"/>
    <x v="3"/>
    <x v="0"/>
  </r>
  <r>
    <x v="1369"/>
    <x v="45"/>
    <x v="0"/>
    <x v="2"/>
    <x v="1"/>
    <s v="2025-09-05"/>
    <s v="2025-09-11"/>
    <n v="6"/>
    <n v="8597.81"/>
    <x v="0"/>
    <s v="Discharged"/>
    <x v="1"/>
    <x v="0"/>
  </r>
  <r>
    <x v="1370"/>
    <x v="40"/>
    <x v="0"/>
    <x v="0"/>
    <x v="2"/>
    <s v="2025-04-30"/>
    <s v="2025-05-03"/>
    <n v="3"/>
    <n v="5271.62"/>
    <x v="0"/>
    <s v="Discharged"/>
    <x v="1"/>
    <x v="0"/>
  </r>
  <r>
    <x v="1371"/>
    <x v="19"/>
    <x v="0"/>
    <x v="0"/>
    <x v="2"/>
    <s v="2025-12-22"/>
    <s v="2025-12-30"/>
    <n v="8"/>
    <n v="9688.27"/>
    <x v="0"/>
    <s v="Discharged"/>
    <x v="2"/>
    <x v="1"/>
  </r>
  <r>
    <x v="1372"/>
    <x v="46"/>
    <x v="1"/>
    <x v="2"/>
    <x v="0"/>
    <s v="2025-02-19"/>
    <s v="2025-02-25"/>
    <n v="6"/>
    <n v="10961.9"/>
    <x v="1"/>
    <s v="Discharged"/>
    <x v="1"/>
    <x v="0"/>
  </r>
  <r>
    <x v="1373"/>
    <x v="1"/>
    <x v="1"/>
    <x v="5"/>
    <x v="0"/>
    <s v="2025-10-26"/>
    <s v="2025-10-31"/>
    <n v="5"/>
    <n v="8433.52"/>
    <x v="0"/>
    <s v="Discharged"/>
    <x v="0"/>
    <x v="0"/>
  </r>
  <r>
    <x v="1374"/>
    <x v="67"/>
    <x v="0"/>
    <x v="3"/>
    <x v="0"/>
    <s v="2025-12-06"/>
    <s v="2025-12-10"/>
    <n v="4"/>
    <n v="11353.14"/>
    <x v="0"/>
    <s v="Discharged"/>
    <x v="3"/>
    <x v="0"/>
  </r>
  <r>
    <x v="1375"/>
    <x v="60"/>
    <x v="1"/>
    <x v="2"/>
    <x v="2"/>
    <s v="2025-03-29"/>
    <s v="2025-04-02"/>
    <n v="4"/>
    <n v="9310.19"/>
    <x v="0"/>
    <s v="Discharged"/>
    <x v="3"/>
    <x v="0"/>
  </r>
  <r>
    <x v="1376"/>
    <x v="1"/>
    <x v="0"/>
    <x v="4"/>
    <x v="1"/>
    <s v="2025-09-07"/>
    <s v="2025-09-13"/>
    <n v="6"/>
    <n v="10255.89"/>
    <x v="0"/>
    <s v="Discharged"/>
    <x v="0"/>
    <x v="0"/>
  </r>
  <r>
    <x v="1377"/>
    <x v="28"/>
    <x v="1"/>
    <x v="1"/>
    <x v="2"/>
    <s v="2025-11-07"/>
    <s v="2025-11-09"/>
    <n v="2"/>
    <n v="4412.22"/>
    <x v="0"/>
    <s v="Discharged"/>
    <x v="4"/>
    <x v="0"/>
  </r>
  <r>
    <x v="1378"/>
    <x v="70"/>
    <x v="1"/>
    <x v="1"/>
    <x v="2"/>
    <s v="2025-10-20"/>
    <s v="2025-10-22"/>
    <n v="2"/>
    <n v="3385"/>
    <x v="0"/>
    <s v="Discharged"/>
    <x v="1"/>
    <x v="0"/>
  </r>
  <r>
    <x v="1379"/>
    <x v="27"/>
    <x v="0"/>
    <x v="3"/>
    <x v="1"/>
    <s v="2025-04-29"/>
    <s v="2025-05-04"/>
    <n v="5"/>
    <n v="13673.67"/>
    <x v="0"/>
    <s v="Discharged"/>
    <x v="1"/>
    <x v="0"/>
  </r>
  <r>
    <x v="1380"/>
    <x v="15"/>
    <x v="1"/>
    <x v="5"/>
    <x v="0"/>
    <s v="2025-08-30"/>
    <s v="2025-09-06"/>
    <n v="7"/>
    <n v="12261.49"/>
    <x v="0"/>
    <s v="Discharged"/>
    <x v="1"/>
    <x v="0"/>
  </r>
  <r>
    <x v="1381"/>
    <x v="52"/>
    <x v="0"/>
    <x v="2"/>
    <x v="0"/>
    <s v="2025-09-19"/>
    <s v="2025-09-24"/>
    <n v="5"/>
    <n v="7864.81"/>
    <x v="0"/>
    <s v="Discharged"/>
    <x v="4"/>
    <x v="0"/>
  </r>
  <r>
    <x v="1382"/>
    <x v="13"/>
    <x v="1"/>
    <x v="4"/>
    <x v="0"/>
    <s v="2025-06-17"/>
    <s v="2025-06-22"/>
    <n v="5"/>
    <n v="12511.04"/>
    <x v="0"/>
    <s v="Discharged"/>
    <x v="1"/>
    <x v="0"/>
  </r>
  <r>
    <x v="1383"/>
    <x v="69"/>
    <x v="1"/>
    <x v="5"/>
    <x v="1"/>
    <s v="2025-03-21"/>
    <s v="2025-03-25"/>
    <n v="4"/>
    <n v="8448.44"/>
    <x v="0"/>
    <s v="Discharged"/>
    <x v="3"/>
    <x v="0"/>
  </r>
  <r>
    <x v="1384"/>
    <x v="12"/>
    <x v="0"/>
    <x v="1"/>
    <x v="2"/>
    <s v="2025-05-25"/>
    <s v="2025-06-01"/>
    <n v="7"/>
    <n v="7169.39"/>
    <x v="0"/>
    <s v="Discharged"/>
    <x v="2"/>
    <x v="0"/>
  </r>
  <r>
    <x v="1385"/>
    <x v="5"/>
    <x v="0"/>
    <x v="5"/>
    <x v="2"/>
    <s v="2025-09-02"/>
    <s v="2025-09-08"/>
    <n v="6"/>
    <n v="9885.81"/>
    <x v="0"/>
    <s v="Discharged"/>
    <x v="0"/>
    <x v="0"/>
  </r>
  <r>
    <x v="1386"/>
    <x v="17"/>
    <x v="0"/>
    <x v="2"/>
    <x v="2"/>
    <s v="2025-06-11"/>
    <s v="2025-06-20"/>
    <n v="9"/>
    <n v="13003.85"/>
    <x v="0"/>
    <s v="Discharged"/>
    <x v="2"/>
    <x v="1"/>
  </r>
  <r>
    <x v="1387"/>
    <x v="72"/>
    <x v="1"/>
    <x v="2"/>
    <x v="1"/>
    <s v="2025-08-15"/>
    <s v="2025-08-20"/>
    <n v="5"/>
    <n v="10045.82"/>
    <x v="0"/>
    <s v="Discharged"/>
    <x v="2"/>
    <x v="0"/>
  </r>
  <r>
    <x v="1388"/>
    <x v="23"/>
    <x v="0"/>
    <x v="2"/>
    <x v="2"/>
    <s v="2025-01-18"/>
    <s v="2025-01-21"/>
    <n v="3"/>
    <n v="9371.67"/>
    <x v="1"/>
    <s v="Discharged"/>
    <x v="3"/>
    <x v="0"/>
  </r>
  <r>
    <x v="1389"/>
    <x v="54"/>
    <x v="0"/>
    <x v="1"/>
    <x v="2"/>
    <s v="2025-04-09"/>
    <s v="2025-04-17"/>
    <n v="8"/>
    <n v="7052.62"/>
    <x v="0"/>
    <s v="Discharged"/>
    <x v="2"/>
    <x v="1"/>
  </r>
  <r>
    <x v="1390"/>
    <x v="61"/>
    <x v="0"/>
    <x v="3"/>
    <x v="2"/>
    <s v="2025-08-06"/>
    <s v="2025-08-12"/>
    <n v="6"/>
    <n v="13581.91"/>
    <x v="0"/>
    <s v="Discharged"/>
    <x v="4"/>
    <x v="0"/>
  </r>
  <r>
    <x v="1391"/>
    <x v="11"/>
    <x v="0"/>
    <x v="1"/>
    <x v="2"/>
    <s v="2025-05-26"/>
    <s v="2025-06-03"/>
    <n v="8"/>
    <n v="8604.7099999999991"/>
    <x v="0"/>
    <s v="Discharged"/>
    <x v="2"/>
    <x v="1"/>
  </r>
  <r>
    <x v="1392"/>
    <x v="29"/>
    <x v="0"/>
    <x v="3"/>
    <x v="1"/>
    <s v="2025-04-24"/>
    <s v="2025-05-05"/>
    <n v="11"/>
    <n v="15521.66"/>
    <x v="0"/>
    <s v="Transferred"/>
    <x v="3"/>
    <x v="1"/>
  </r>
  <r>
    <x v="1393"/>
    <x v="46"/>
    <x v="1"/>
    <x v="1"/>
    <x v="0"/>
    <s v="2025-06-24"/>
    <s v="2025-06-26"/>
    <n v="2"/>
    <n v="2984.16"/>
    <x v="0"/>
    <s v="Discharged"/>
    <x v="1"/>
    <x v="0"/>
  </r>
  <r>
    <x v="1394"/>
    <x v="4"/>
    <x v="1"/>
    <x v="2"/>
    <x v="2"/>
    <s v="2025-10-03"/>
    <s v="2025-10-12"/>
    <n v="9"/>
    <n v="13872.98"/>
    <x v="0"/>
    <s v="Discharged"/>
    <x v="2"/>
    <x v="1"/>
  </r>
  <r>
    <x v="1395"/>
    <x v="20"/>
    <x v="0"/>
    <x v="1"/>
    <x v="1"/>
    <s v="2025-06-13"/>
    <s v="2025-06-17"/>
    <n v="4"/>
    <n v="5055.78"/>
    <x v="0"/>
    <s v="Discharged"/>
    <x v="0"/>
    <x v="0"/>
  </r>
  <r>
    <x v="1396"/>
    <x v="3"/>
    <x v="0"/>
    <x v="4"/>
    <x v="1"/>
    <s v="2025-10-29"/>
    <s v="2025-10-31"/>
    <n v="2"/>
    <n v="8677.52"/>
    <x v="0"/>
    <s v="Discharged"/>
    <x v="0"/>
    <x v="0"/>
  </r>
  <r>
    <x v="1397"/>
    <x v="21"/>
    <x v="0"/>
    <x v="5"/>
    <x v="0"/>
    <s v="2025-05-08"/>
    <s v="2025-05-11"/>
    <n v="3"/>
    <n v="10449.23"/>
    <x v="0"/>
    <s v="Transferred"/>
    <x v="4"/>
    <x v="0"/>
  </r>
  <r>
    <x v="1398"/>
    <x v="72"/>
    <x v="1"/>
    <x v="1"/>
    <x v="0"/>
    <s v="2025-02-20"/>
    <s v="2025-02-25"/>
    <n v="5"/>
    <n v="5295.96"/>
    <x v="0"/>
    <s v="Transferred"/>
    <x v="2"/>
    <x v="0"/>
  </r>
  <r>
    <x v="1399"/>
    <x v="24"/>
    <x v="2"/>
    <x v="1"/>
    <x v="2"/>
    <s v="2025-01-27"/>
    <s v="2025-02-04"/>
    <n v="8"/>
    <n v="10318.82"/>
    <x v="1"/>
    <s v="Discharged"/>
    <x v="2"/>
    <x v="1"/>
  </r>
  <r>
    <x v="1400"/>
    <x v="23"/>
    <x v="0"/>
    <x v="3"/>
    <x v="2"/>
    <s v="2025-09-08"/>
    <s v="2025-09-16"/>
    <n v="8"/>
    <n v="15443.41"/>
    <x v="1"/>
    <s v="Discharged"/>
    <x v="3"/>
    <x v="1"/>
  </r>
  <r>
    <x v="1401"/>
    <x v="41"/>
    <x v="0"/>
    <x v="1"/>
    <x v="2"/>
    <s v="2025-02-28"/>
    <s v="2025-03-07"/>
    <n v="7"/>
    <n v="4945.67"/>
    <x v="0"/>
    <s v="Discharged"/>
    <x v="1"/>
    <x v="0"/>
  </r>
  <r>
    <x v="1402"/>
    <x v="42"/>
    <x v="1"/>
    <x v="0"/>
    <x v="1"/>
    <s v="2025-05-24"/>
    <s v="2025-05-30"/>
    <n v="6"/>
    <n v="6251.27"/>
    <x v="0"/>
    <s v="Discharged"/>
    <x v="4"/>
    <x v="0"/>
  </r>
  <r>
    <x v="1403"/>
    <x v="34"/>
    <x v="1"/>
    <x v="1"/>
    <x v="1"/>
    <s v="2025-02-15"/>
    <s v="2025-02-18"/>
    <n v="3"/>
    <n v="5839.38"/>
    <x v="0"/>
    <s v="Discharged"/>
    <x v="2"/>
    <x v="0"/>
  </r>
  <r>
    <x v="1404"/>
    <x v="1"/>
    <x v="1"/>
    <x v="2"/>
    <x v="2"/>
    <s v="2025-03-28"/>
    <s v="2025-04-04"/>
    <n v="7"/>
    <n v="12686.99"/>
    <x v="0"/>
    <s v="Discharged"/>
    <x v="0"/>
    <x v="0"/>
  </r>
  <r>
    <x v="1405"/>
    <x v="72"/>
    <x v="0"/>
    <x v="5"/>
    <x v="2"/>
    <s v="2025-11-05"/>
    <s v="2025-11-12"/>
    <n v="7"/>
    <n v="9405.1"/>
    <x v="0"/>
    <s v="Discharged"/>
    <x v="2"/>
    <x v="0"/>
  </r>
  <r>
    <x v="1406"/>
    <x v="65"/>
    <x v="1"/>
    <x v="5"/>
    <x v="2"/>
    <s v="2025-01-16"/>
    <s v="2025-01-22"/>
    <n v="6"/>
    <n v="9713.06"/>
    <x v="0"/>
    <s v="Discharged"/>
    <x v="3"/>
    <x v="0"/>
  </r>
  <r>
    <x v="1407"/>
    <x v="41"/>
    <x v="0"/>
    <x v="1"/>
    <x v="2"/>
    <s v="2025-11-13"/>
    <s v="2025-11-17"/>
    <n v="4"/>
    <n v="3900.37"/>
    <x v="0"/>
    <s v="Discharged"/>
    <x v="1"/>
    <x v="0"/>
  </r>
  <r>
    <x v="1408"/>
    <x v="70"/>
    <x v="0"/>
    <x v="1"/>
    <x v="2"/>
    <s v="2025-02-05"/>
    <s v="2025-02-09"/>
    <n v="4"/>
    <n v="7205.95"/>
    <x v="0"/>
    <s v="Discharged"/>
    <x v="1"/>
    <x v="0"/>
  </r>
  <r>
    <x v="1409"/>
    <x v="29"/>
    <x v="0"/>
    <x v="5"/>
    <x v="2"/>
    <s v="2025-10-09"/>
    <s v="2025-10-15"/>
    <n v="6"/>
    <n v="12471.28"/>
    <x v="0"/>
    <s v="Discharged"/>
    <x v="3"/>
    <x v="0"/>
  </r>
  <r>
    <x v="1410"/>
    <x v="33"/>
    <x v="1"/>
    <x v="2"/>
    <x v="2"/>
    <s v="2025-10-28"/>
    <s v="2025-11-03"/>
    <n v="6"/>
    <n v="9914.67"/>
    <x v="0"/>
    <s v="Discharged"/>
    <x v="2"/>
    <x v="0"/>
  </r>
  <r>
    <x v="1411"/>
    <x v="8"/>
    <x v="1"/>
    <x v="1"/>
    <x v="0"/>
    <s v="2025-09-21"/>
    <s v="2025-09-24"/>
    <n v="3"/>
    <n v="4505.78"/>
    <x v="0"/>
    <s v="Discharged"/>
    <x v="3"/>
    <x v="0"/>
  </r>
  <r>
    <x v="1412"/>
    <x v="37"/>
    <x v="1"/>
    <x v="3"/>
    <x v="2"/>
    <s v="2025-11-22"/>
    <s v="2025-11-30"/>
    <n v="8"/>
    <n v="15066.37"/>
    <x v="0"/>
    <s v="Discharged"/>
    <x v="1"/>
    <x v="1"/>
  </r>
  <r>
    <x v="1413"/>
    <x v="10"/>
    <x v="1"/>
    <x v="5"/>
    <x v="2"/>
    <s v="2025-08-15"/>
    <s v="2025-08-23"/>
    <n v="8"/>
    <n v="13242.5"/>
    <x v="0"/>
    <s v="Transferred"/>
    <x v="4"/>
    <x v="1"/>
  </r>
  <r>
    <x v="1414"/>
    <x v="54"/>
    <x v="1"/>
    <x v="0"/>
    <x v="1"/>
    <s v="2025-02-09"/>
    <s v="2025-02-14"/>
    <n v="5"/>
    <n v="7900.97"/>
    <x v="0"/>
    <s v="Discharged"/>
    <x v="2"/>
    <x v="0"/>
  </r>
  <r>
    <x v="1415"/>
    <x v="25"/>
    <x v="1"/>
    <x v="0"/>
    <x v="2"/>
    <s v="2025-08-29"/>
    <s v="2025-09-03"/>
    <n v="5"/>
    <n v="5969.94"/>
    <x v="0"/>
    <s v="Discharged"/>
    <x v="2"/>
    <x v="0"/>
  </r>
  <r>
    <x v="1416"/>
    <x v="18"/>
    <x v="1"/>
    <x v="1"/>
    <x v="0"/>
    <s v="2025-11-25"/>
    <s v="2025-11-26"/>
    <n v="1"/>
    <n v="5151.49"/>
    <x v="0"/>
    <s v="Discharged"/>
    <x v="3"/>
    <x v="0"/>
  </r>
  <r>
    <x v="1417"/>
    <x v="64"/>
    <x v="1"/>
    <x v="0"/>
    <x v="2"/>
    <s v="2025-03-30"/>
    <s v="2025-04-07"/>
    <n v="8"/>
    <n v="9702.65"/>
    <x v="0"/>
    <s v="Discharged"/>
    <x v="4"/>
    <x v="1"/>
  </r>
  <r>
    <x v="1418"/>
    <x v="8"/>
    <x v="0"/>
    <x v="5"/>
    <x v="0"/>
    <s v="2025-09-21"/>
    <s v="2025-09-24"/>
    <n v="3"/>
    <n v="6804.16"/>
    <x v="0"/>
    <s v="Discharged"/>
    <x v="3"/>
    <x v="0"/>
  </r>
  <r>
    <x v="1419"/>
    <x v="12"/>
    <x v="1"/>
    <x v="0"/>
    <x v="0"/>
    <s v="2025-12-21"/>
    <s v="2025-12-23"/>
    <n v="2"/>
    <n v="6911.75"/>
    <x v="0"/>
    <s v="Discharged"/>
    <x v="2"/>
    <x v="0"/>
  </r>
  <r>
    <x v="1420"/>
    <x v="28"/>
    <x v="0"/>
    <x v="5"/>
    <x v="2"/>
    <s v="2025-09-04"/>
    <s v="2025-09-09"/>
    <n v="5"/>
    <n v="8568.4599999999991"/>
    <x v="0"/>
    <s v="Discharged"/>
    <x v="4"/>
    <x v="0"/>
  </r>
  <r>
    <x v="1421"/>
    <x v="0"/>
    <x v="0"/>
    <x v="0"/>
    <x v="2"/>
    <s v="2025-08-05"/>
    <s v="2025-08-10"/>
    <n v="5"/>
    <n v="6005.29"/>
    <x v="0"/>
    <s v="Discharged"/>
    <x v="0"/>
    <x v="0"/>
  </r>
  <r>
    <x v="1422"/>
    <x v="14"/>
    <x v="1"/>
    <x v="1"/>
    <x v="2"/>
    <s v="2025-10-13"/>
    <s v="2025-10-18"/>
    <n v="5"/>
    <n v="4812.72"/>
    <x v="0"/>
    <s v="Discharged"/>
    <x v="0"/>
    <x v="0"/>
  </r>
  <r>
    <x v="1423"/>
    <x v="36"/>
    <x v="0"/>
    <x v="2"/>
    <x v="0"/>
    <s v="2025-01-27"/>
    <s v="2025-01-31"/>
    <n v="4"/>
    <n v="9682.73"/>
    <x v="0"/>
    <s v="Discharged"/>
    <x v="1"/>
    <x v="0"/>
  </r>
  <r>
    <x v="1424"/>
    <x v="34"/>
    <x v="1"/>
    <x v="5"/>
    <x v="2"/>
    <s v="2025-07-18"/>
    <s v="2025-07-26"/>
    <n v="8"/>
    <n v="10633.94"/>
    <x v="0"/>
    <s v="Discharged"/>
    <x v="2"/>
    <x v="1"/>
  </r>
  <r>
    <x v="1425"/>
    <x v="58"/>
    <x v="1"/>
    <x v="5"/>
    <x v="1"/>
    <s v="2025-12-19"/>
    <s v="2025-12-24"/>
    <n v="5"/>
    <n v="11928.25"/>
    <x v="0"/>
    <s v="Discharged"/>
    <x v="2"/>
    <x v="0"/>
  </r>
  <r>
    <x v="1426"/>
    <x v="11"/>
    <x v="0"/>
    <x v="5"/>
    <x v="0"/>
    <s v="2025-12-31"/>
    <s v="2026-01-06"/>
    <n v="6"/>
    <n v="12209.03"/>
    <x v="0"/>
    <s v="Discharged"/>
    <x v="2"/>
    <x v="0"/>
  </r>
  <r>
    <x v="1427"/>
    <x v="61"/>
    <x v="0"/>
    <x v="1"/>
    <x v="2"/>
    <s v="2025-03-02"/>
    <s v="2025-03-07"/>
    <n v="5"/>
    <n v="7145.92"/>
    <x v="0"/>
    <s v="Discharged"/>
    <x v="4"/>
    <x v="0"/>
  </r>
  <r>
    <x v="1428"/>
    <x v="28"/>
    <x v="0"/>
    <x v="5"/>
    <x v="2"/>
    <s v="2025-03-05"/>
    <s v="2025-03-08"/>
    <n v="3"/>
    <n v="7892.22"/>
    <x v="0"/>
    <s v="Transferred"/>
    <x v="4"/>
    <x v="0"/>
  </r>
  <r>
    <x v="1429"/>
    <x v="54"/>
    <x v="1"/>
    <x v="0"/>
    <x v="0"/>
    <s v="2025-08-10"/>
    <s v="2025-08-12"/>
    <n v="2"/>
    <n v="5712.26"/>
    <x v="0"/>
    <s v="Discharged"/>
    <x v="2"/>
    <x v="0"/>
  </r>
  <r>
    <x v="1430"/>
    <x v="43"/>
    <x v="0"/>
    <x v="0"/>
    <x v="0"/>
    <s v="2025-12-22"/>
    <s v="2025-12-23"/>
    <n v="1"/>
    <n v="5207.57"/>
    <x v="0"/>
    <s v="Discharged"/>
    <x v="2"/>
    <x v="0"/>
  </r>
  <r>
    <x v="1431"/>
    <x v="70"/>
    <x v="1"/>
    <x v="5"/>
    <x v="2"/>
    <s v="2025-04-19"/>
    <s v="2025-04-27"/>
    <n v="8"/>
    <n v="9385.99"/>
    <x v="0"/>
    <s v="Discharged"/>
    <x v="1"/>
    <x v="1"/>
  </r>
  <r>
    <x v="1432"/>
    <x v="69"/>
    <x v="1"/>
    <x v="1"/>
    <x v="2"/>
    <s v="2025-03-23"/>
    <s v="2025-03-28"/>
    <n v="5"/>
    <n v="4970.79"/>
    <x v="1"/>
    <s v="Transferred"/>
    <x v="3"/>
    <x v="0"/>
  </r>
  <r>
    <x v="1433"/>
    <x v="60"/>
    <x v="1"/>
    <x v="5"/>
    <x v="2"/>
    <s v="2025-06-01"/>
    <s v="2025-06-10"/>
    <n v="9"/>
    <n v="10637.56"/>
    <x v="0"/>
    <s v="Discharged"/>
    <x v="3"/>
    <x v="1"/>
  </r>
  <r>
    <x v="1434"/>
    <x v="3"/>
    <x v="0"/>
    <x v="1"/>
    <x v="1"/>
    <s v="2025-08-16"/>
    <m/>
    <n v="7"/>
    <n v="6243.53"/>
    <x v="0"/>
    <s v="Discharged"/>
    <x v="0"/>
    <x v="0"/>
  </r>
  <r>
    <x v="1435"/>
    <x v="64"/>
    <x v="1"/>
    <x v="0"/>
    <x v="1"/>
    <s v="2025-12-28"/>
    <s v="2026-01-01"/>
    <n v="4"/>
    <n v="6462.47"/>
    <x v="1"/>
    <s v="Discharged"/>
    <x v="4"/>
    <x v="0"/>
  </r>
  <r>
    <x v="1436"/>
    <x v="8"/>
    <x v="0"/>
    <x v="1"/>
    <x v="2"/>
    <s v="2025-10-30"/>
    <s v="2025-11-03"/>
    <n v="4"/>
    <n v="4186.66"/>
    <x v="0"/>
    <s v="Discharged"/>
    <x v="3"/>
    <x v="0"/>
  </r>
  <r>
    <x v="1437"/>
    <x v="47"/>
    <x v="1"/>
    <x v="1"/>
    <x v="2"/>
    <s v="2025-01-05"/>
    <m/>
    <n v="6"/>
    <n v="9712.93"/>
    <x v="0"/>
    <s v="Transferred"/>
    <x v="4"/>
    <x v="0"/>
  </r>
  <r>
    <x v="1438"/>
    <x v="55"/>
    <x v="0"/>
    <x v="5"/>
    <x v="0"/>
    <s v="2025-01-12"/>
    <s v="2025-01-13"/>
    <n v="1"/>
    <n v="5261.28"/>
    <x v="1"/>
    <s v="Discharged"/>
    <x v="4"/>
    <x v="0"/>
  </r>
  <r>
    <x v="1439"/>
    <x v="52"/>
    <x v="1"/>
    <x v="0"/>
    <x v="1"/>
    <s v="2025-02-18"/>
    <s v="2025-02-22"/>
    <n v="4"/>
    <n v="5653.79"/>
    <x v="0"/>
    <s v="Discharged"/>
    <x v="4"/>
    <x v="0"/>
  </r>
  <r>
    <x v="1440"/>
    <x v="50"/>
    <x v="0"/>
    <x v="5"/>
    <x v="0"/>
    <s v="2025-06-29"/>
    <s v="2025-07-01"/>
    <n v="2"/>
    <n v="4693.1099999999997"/>
    <x v="1"/>
    <s v="Discharged"/>
    <x v="0"/>
    <x v="0"/>
  </r>
  <r>
    <x v="1441"/>
    <x v="18"/>
    <x v="0"/>
    <x v="1"/>
    <x v="2"/>
    <s v="2025-07-16"/>
    <s v="2025-07-18"/>
    <n v="2"/>
    <n v="4868.8100000000004"/>
    <x v="0"/>
    <s v="Discharged"/>
    <x v="3"/>
    <x v="0"/>
  </r>
  <r>
    <x v="1442"/>
    <x v="68"/>
    <x v="1"/>
    <x v="0"/>
    <x v="1"/>
    <s v="2025-08-14"/>
    <s v="2025-08-18"/>
    <n v="4"/>
    <n v="6626.88"/>
    <x v="0"/>
    <s v="Discharged"/>
    <x v="3"/>
    <x v="0"/>
  </r>
  <r>
    <x v="1443"/>
    <x v="23"/>
    <x v="1"/>
    <x v="3"/>
    <x v="0"/>
    <s v="2025-01-17"/>
    <s v="2025-01-27"/>
    <n v="10"/>
    <n v="13139.78"/>
    <x v="0"/>
    <s v="Discharged"/>
    <x v="3"/>
    <x v="1"/>
  </r>
  <r>
    <x v="1444"/>
    <x v="2"/>
    <x v="1"/>
    <x v="0"/>
    <x v="0"/>
    <s v="2025-09-03"/>
    <s v="2025-09-06"/>
    <n v="3"/>
    <n v="5251.95"/>
    <x v="0"/>
    <s v="Discharged"/>
    <x v="1"/>
    <x v="0"/>
  </r>
  <r>
    <x v="1445"/>
    <x v="1"/>
    <x v="2"/>
    <x v="1"/>
    <x v="2"/>
    <s v="2025-12-13"/>
    <s v="2025-12-16"/>
    <n v="3"/>
    <n v="3924.42"/>
    <x v="1"/>
    <s v="Discharged"/>
    <x v="0"/>
    <x v="0"/>
  </r>
  <r>
    <x v="1446"/>
    <x v="39"/>
    <x v="0"/>
    <x v="1"/>
    <x v="2"/>
    <s v="2025-03-15"/>
    <s v="2025-03-23"/>
    <n v="8"/>
    <n v="9017.74"/>
    <x v="0"/>
    <s v="Discharged"/>
    <x v="4"/>
    <x v="1"/>
  </r>
  <r>
    <x v="1447"/>
    <x v="11"/>
    <x v="1"/>
    <x v="0"/>
    <x v="2"/>
    <s v="2025-11-18"/>
    <s v="2025-11-25"/>
    <n v="7"/>
    <n v="9140.7800000000007"/>
    <x v="0"/>
    <s v="Transferred"/>
    <x v="2"/>
    <x v="0"/>
  </r>
  <r>
    <x v="1448"/>
    <x v="52"/>
    <x v="0"/>
    <x v="0"/>
    <x v="2"/>
    <s v="2025-01-30"/>
    <s v="2025-02-06"/>
    <n v="7"/>
    <n v="7401.79"/>
    <x v="0"/>
    <s v="Discharged"/>
    <x v="4"/>
    <x v="0"/>
  </r>
  <r>
    <x v="1449"/>
    <x v="39"/>
    <x v="1"/>
    <x v="0"/>
    <x v="0"/>
    <s v="2025-05-10"/>
    <s v="2025-05-12"/>
    <n v="2"/>
    <n v="4082.09"/>
    <x v="0"/>
    <s v="Discharged"/>
    <x v="4"/>
    <x v="0"/>
  </r>
  <r>
    <x v="1450"/>
    <x v="28"/>
    <x v="0"/>
    <x v="2"/>
    <x v="2"/>
    <s v="2025-12-21"/>
    <s v="2025-12-25"/>
    <n v="4"/>
    <n v="9474.64"/>
    <x v="1"/>
    <s v="Discharged"/>
    <x v="4"/>
    <x v="0"/>
  </r>
  <r>
    <x v="1451"/>
    <x v="4"/>
    <x v="0"/>
    <x v="5"/>
    <x v="2"/>
    <s v="2025-03-25"/>
    <s v="2025-03-28"/>
    <n v="3"/>
    <n v="7158.45"/>
    <x v="1"/>
    <s v="Discharged"/>
    <x v="2"/>
    <x v="0"/>
  </r>
  <r>
    <x v="1452"/>
    <x v="67"/>
    <x v="1"/>
    <x v="5"/>
    <x v="2"/>
    <s v="2025-02-22"/>
    <s v="2025-03-01"/>
    <n v="7"/>
    <n v="10027.56"/>
    <x v="0"/>
    <s v="Discharged"/>
    <x v="3"/>
    <x v="0"/>
  </r>
  <r>
    <x v="1453"/>
    <x v="61"/>
    <x v="1"/>
    <x v="2"/>
    <x v="0"/>
    <s v="2025-11-19"/>
    <s v="2025-11-21"/>
    <n v="2"/>
    <n v="8962.75"/>
    <x v="1"/>
    <s v="Discharged"/>
    <x v="4"/>
    <x v="0"/>
  </r>
  <r>
    <x v="1454"/>
    <x v="51"/>
    <x v="0"/>
    <x v="1"/>
    <x v="1"/>
    <s v="2025-11-22"/>
    <s v="2025-11-28"/>
    <n v="6"/>
    <n v="3990.31"/>
    <x v="0"/>
    <s v="Discharged"/>
    <x v="1"/>
    <x v="0"/>
  </r>
  <r>
    <x v="1455"/>
    <x v="67"/>
    <x v="0"/>
    <x v="2"/>
    <x v="2"/>
    <s v="2025-08-30"/>
    <s v="2025-09-06"/>
    <n v="7"/>
    <n v="13244.36"/>
    <x v="1"/>
    <s v="Discharged"/>
    <x v="3"/>
    <x v="0"/>
  </r>
  <r>
    <x v="1456"/>
    <x v="9"/>
    <x v="0"/>
    <x v="2"/>
    <x v="0"/>
    <s v="2025-03-19"/>
    <s v="2025-03-27"/>
    <n v="8"/>
    <n v="13368.27"/>
    <x v="0"/>
    <s v="Discharged"/>
    <x v="4"/>
    <x v="1"/>
  </r>
  <r>
    <x v="1457"/>
    <x v="45"/>
    <x v="0"/>
    <x v="5"/>
    <x v="0"/>
    <s v="2025-05-17"/>
    <s v="2025-05-23"/>
    <n v="6"/>
    <n v="8197.89"/>
    <x v="0"/>
    <s v="Discharged"/>
    <x v="1"/>
    <x v="0"/>
  </r>
  <r>
    <x v="1458"/>
    <x v="23"/>
    <x v="0"/>
    <x v="4"/>
    <x v="1"/>
    <s v="2025-01-20"/>
    <s v="2025-01-29"/>
    <n v="9"/>
    <n v="12529.33"/>
    <x v="0"/>
    <s v="Discharged"/>
    <x v="3"/>
    <x v="1"/>
  </r>
  <r>
    <x v="1459"/>
    <x v="52"/>
    <x v="1"/>
    <x v="1"/>
    <x v="0"/>
    <s v="2025-06-09"/>
    <s v="2025-06-12"/>
    <n v="3"/>
    <n v="4967.2"/>
    <x v="0"/>
    <s v="Transferred"/>
    <x v="4"/>
    <x v="0"/>
  </r>
  <r>
    <x v="1460"/>
    <x v="6"/>
    <x v="1"/>
    <x v="5"/>
    <x v="0"/>
    <s v="2025-09-30"/>
    <s v="2025-10-08"/>
    <n v="8"/>
    <n v="13504.45"/>
    <x v="0"/>
    <s v="Discharged"/>
    <x v="3"/>
    <x v="1"/>
  </r>
  <r>
    <x v="1461"/>
    <x v="60"/>
    <x v="0"/>
    <x v="0"/>
    <x v="2"/>
    <s v="2025-10-01"/>
    <s v="2025-10-07"/>
    <n v="6"/>
    <n v="6788.31"/>
    <x v="0"/>
    <s v="Discharged"/>
    <x v="3"/>
    <x v="0"/>
  </r>
  <r>
    <x v="1462"/>
    <x v="29"/>
    <x v="0"/>
    <x v="1"/>
    <x v="2"/>
    <s v="2025-10-02"/>
    <s v="2025-10-12"/>
    <n v="10"/>
    <n v="10635.7"/>
    <x v="1"/>
    <s v="Discharged"/>
    <x v="3"/>
    <x v="1"/>
  </r>
  <r>
    <x v="1463"/>
    <x v="22"/>
    <x v="1"/>
    <x v="1"/>
    <x v="2"/>
    <s v="2025-04-30"/>
    <s v="2025-05-03"/>
    <n v="3"/>
    <n v="2628.11"/>
    <x v="0"/>
    <s v="Discharged"/>
    <x v="3"/>
    <x v="0"/>
  </r>
  <r>
    <x v="1464"/>
    <x v="47"/>
    <x v="1"/>
    <x v="2"/>
    <x v="2"/>
    <s v="2025-01-09"/>
    <m/>
    <n v="6"/>
    <n v="12868.68"/>
    <x v="0"/>
    <s v="Discharged"/>
    <x v="4"/>
    <x v="0"/>
  </r>
  <r>
    <x v="1465"/>
    <x v="41"/>
    <x v="0"/>
    <x v="3"/>
    <x v="2"/>
    <s v="2025-07-26"/>
    <s v="2025-08-03"/>
    <n v="8"/>
    <n v="11641.34"/>
    <x v="0"/>
    <s v="Discharged"/>
    <x v="1"/>
    <x v="1"/>
  </r>
  <r>
    <x v="1466"/>
    <x v="72"/>
    <x v="0"/>
    <x v="0"/>
    <x v="2"/>
    <s v="2025-10-19"/>
    <s v="2025-10-23"/>
    <n v="4"/>
    <n v="5598.84"/>
    <x v="0"/>
    <s v="Discharged"/>
    <x v="2"/>
    <x v="0"/>
  </r>
  <r>
    <x v="1467"/>
    <x v="57"/>
    <x v="0"/>
    <x v="5"/>
    <x v="2"/>
    <s v="2025-02-22"/>
    <s v="2025-03-04"/>
    <n v="10"/>
    <n v="12224.68"/>
    <x v="1"/>
    <s v="Transferred"/>
    <x v="3"/>
    <x v="1"/>
  </r>
  <r>
    <x v="1468"/>
    <x v="28"/>
    <x v="1"/>
    <x v="1"/>
    <x v="2"/>
    <s v="2025-10-31"/>
    <s v="2025-11-04"/>
    <n v="4"/>
    <n v="5514.67"/>
    <x v="0"/>
    <s v="Discharged"/>
    <x v="4"/>
    <x v="0"/>
  </r>
  <r>
    <x v="1469"/>
    <x v="24"/>
    <x v="0"/>
    <x v="3"/>
    <x v="2"/>
    <s v="2025-02-19"/>
    <s v="2025-02-25"/>
    <n v="6"/>
    <n v="11531.46"/>
    <x v="0"/>
    <s v="Discharged"/>
    <x v="2"/>
    <x v="0"/>
  </r>
  <r>
    <x v="1470"/>
    <x v="34"/>
    <x v="0"/>
    <x v="0"/>
    <x v="2"/>
    <s v="2025-06-19"/>
    <s v="2025-06-25"/>
    <n v="6"/>
    <n v="6054.92"/>
    <x v="0"/>
    <s v="Discharged"/>
    <x v="2"/>
    <x v="0"/>
  </r>
  <r>
    <x v="1471"/>
    <x v="13"/>
    <x v="0"/>
    <x v="4"/>
    <x v="2"/>
    <s v="2025-08-01"/>
    <s v="2025-08-08"/>
    <n v="7"/>
    <n v="14389.76"/>
    <x v="0"/>
    <s v="Discharged"/>
    <x v="1"/>
    <x v="0"/>
  </r>
  <r>
    <x v="1472"/>
    <x v="59"/>
    <x v="1"/>
    <x v="4"/>
    <x v="2"/>
    <s v="2025-11-27"/>
    <s v="2025-12-03"/>
    <n v="6"/>
    <n v="10971.82"/>
    <x v="0"/>
    <s v="Discharged"/>
    <x v="3"/>
    <x v="0"/>
  </r>
  <r>
    <x v="1473"/>
    <x v="48"/>
    <x v="1"/>
    <x v="2"/>
    <x v="2"/>
    <s v="2025-11-10"/>
    <s v="2025-11-18"/>
    <n v="8"/>
    <n v="11165.98"/>
    <x v="0"/>
    <s v="Discharged"/>
    <x v="0"/>
    <x v="1"/>
  </r>
  <r>
    <x v="1474"/>
    <x v="54"/>
    <x v="0"/>
    <x v="4"/>
    <x v="1"/>
    <s v="2025-09-08"/>
    <s v="2025-09-14"/>
    <n v="6"/>
    <n v="9679.15"/>
    <x v="0"/>
    <s v="Discharged"/>
    <x v="2"/>
    <x v="0"/>
  </r>
  <r>
    <x v="1475"/>
    <x v="63"/>
    <x v="0"/>
    <x v="0"/>
    <x v="0"/>
    <s v="2025-04-27"/>
    <s v="2025-05-02"/>
    <n v="5"/>
    <n v="7155.43"/>
    <x v="0"/>
    <s v="Discharged"/>
    <x v="3"/>
    <x v="0"/>
  </r>
  <r>
    <x v="1476"/>
    <x v="43"/>
    <x v="0"/>
    <x v="2"/>
    <x v="2"/>
    <s v="2025-03-28"/>
    <s v="2025-04-04"/>
    <n v="7"/>
    <n v="11114"/>
    <x v="0"/>
    <s v="Discharged"/>
    <x v="2"/>
    <x v="0"/>
  </r>
  <r>
    <x v="1477"/>
    <x v="15"/>
    <x v="1"/>
    <x v="1"/>
    <x v="1"/>
    <s v="2025-03-18"/>
    <s v="2025-03-25"/>
    <n v="7"/>
    <n v="6652.46"/>
    <x v="0"/>
    <s v="Discharged"/>
    <x v="1"/>
    <x v="0"/>
  </r>
  <r>
    <x v="1478"/>
    <x v="33"/>
    <x v="0"/>
    <x v="2"/>
    <x v="2"/>
    <s v="2025-11-01"/>
    <s v="2025-11-07"/>
    <n v="6"/>
    <n v="12095.92"/>
    <x v="1"/>
    <s v="Discharged"/>
    <x v="2"/>
    <x v="0"/>
  </r>
  <r>
    <x v="1479"/>
    <x v="56"/>
    <x v="0"/>
    <x v="5"/>
    <x v="0"/>
    <s v="2025-09-12"/>
    <s v="2025-09-19"/>
    <n v="7"/>
    <n v="11846.54"/>
    <x v="0"/>
    <s v="Discharged"/>
    <x v="0"/>
    <x v="0"/>
  </r>
  <r>
    <x v="1480"/>
    <x v="7"/>
    <x v="1"/>
    <x v="0"/>
    <x v="1"/>
    <s v="2025-06-16"/>
    <s v="2025-06-20"/>
    <n v="4"/>
    <n v="6878.46"/>
    <x v="1"/>
    <s v="Discharged"/>
    <x v="4"/>
    <x v="0"/>
  </r>
  <r>
    <x v="1481"/>
    <x v="60"/>
    <x v="1"/>
    <x v="0"/>
    <x v="2"/>
    <s v="2025-05-30"/>
    <s v="2025-06-04"/>
    <n v="5"/>
    <n v="8632.52"/>
    <x v="0"/>
    <s v="Discharged"/>
    <x v="3"/>
    <x v="0"/>
  </r>
  <r>
    <x v="1482"/>
    <x v="26"/>
    <x v="1"/>
    <x v="1"/>
    <x v="2"/>
    <s v="2025-08-31"/>
    <s v="2025-09-04"/>
    <n v="4"/>
    <n v="5670.48"/>
    <x v="0"/>
    <s v="Discharged"/>
    <x v="3"/>
    <x v="0"/>
  </r>
  <r>
    <x v="1483"/>
    <x v="48"/>
    <x v="1"/>
    <x v="1"/>
    <x v="2"/>
    <s v="2025-01-06"/>
    <s v="2025-01-11"/>
    <n v="5"/>
    <n v="7287.76"/>
    <x v="0"/>
    <s v="Discharged"/>
    <x v="0"/>
    <x v="0"/>
  </r>
  <r>
    <x v="1484"/>
    <x v="63"/>
    <x v="0"/>
    <x v="1"/>
    <x v="2"/>
    <s v="2025-02-17"/>
    <s v="2025-02-22"/>
    <n v="5"/>
    <n v="8623.7099999999991"/>
    <x v="0"/>
    <s v="Discharged"/>
    <x v="3"/>
    <x v="0"/>
  </r>
  <r>
    <x v="1485"/>
    <x v="37"/>
    <x v="0"/>
    <x v="0"/>
    <x v="1"/>
    <s v="2025-12-14"/>
    <s v="2025-12-16"/>
    <n v="2"/>
    <n v="4849.71"/>
    <x v="0"/>
    <s v="Discharged"/>
    <x v="1"/>
    <x v="0"/>
  </r>
  <r>
    <x v="1486"/>
    <x v="29"/>
    <x v="0"/>
    <x v="5"/>
    <x v="0"/>
    <s v="2025-06-24"/>
    <s v="2025-07-02"/>
    <n v="8"/>
    <n v="13992.02"/>
    <x v="1"/>
    <s v="Discharged"/>
    <x v="3"/>
    <x v="1"/>
  </r>
  <r>
    <x v="1487"/>
    <x v="61"/>
    <x v="1"/>
    <x v="5"/>
    <x v="2"/>
    <s v="2025-10-28"/>
    <s v="2025-11-03"/>
    <n v="6"/>
    <n v="12030.29"/>
    <x v="0"/>
    <s v="Discharged"/>
    <x v="4"/>
    <x v="0"/>
  </r>
  <r>
    <x v="1488"/>
    <x v="7"/>
    <x v="0"/>
    <x v="2"/>
    <x v="1"/>
    <s v="2025-11-06"/>
    <s v="2025-11-14"/>
    <n v="8"/>
    <n v="12107.52"/>
    <x v="0"/>
    <s v="Discharged"/>
    <x v="4"/>
    <x v="1"/>
  </r>
  <r>
    <x v="1489"/>
    <x v="21"/>
    <x v="0"/>
    <x v="3"/>
    <x v="0"/>
    <s v="2025-10-31"/>
    <s v="2025-11-02"/>
    <n v="2"/>
    <n v="11139.24"/>
    <x v="0"/>
    <s v="Discharged"/>
    <x v="4"/>
    <x v="0"/>
  </r>
  <r>
    <x v="1490"/>
    <x v="72"/>
    <x v="1"/>
    <x v="4"/>
    <x v="2"/>
    <s v="2025-08-05"/>
    <s v="2025-08-10"/>
    <n v="5"/>
    <n v="12126.89"/>
    <x v="0"/>
    <s v="Discharged"/>
    <x v="2"/>
    <x v="0"/>
  </r>
  <r>
    <x v="1491"/>
    <x v="71"/>
    <x v="2"/>
    <x v="0"/>
    <x v="2"/>
    <s v="2025-02-11"/>
    <s v="2025-02-14"/>
    <n v="3"/>
    <n v="5274.61"/>
    <x v="0"/>
    <s v="Discharged"/>
    <x v="1"/>
    <x v="0"/>
  </r>
  <r>
    <x v="1492"/>
    <x v="71"/>
    <x v="1"/>
    <x v="1"/>
    <x v="2"/>
    <s v="2025-06-03"/>
    <s v="2025-06-07"/>
    <n v="4"/>
    <n v="6014.45"/>
    <x v="0"/>
    <s v="Discharged"/>
    <x v="1"/>
    <x v="0"/>
  </r>
  <r>
    <x v="1493"/>
    <x v="67"/>
    <x v="0"/>
    <x v="0"/>
    <x v="0"/>
    <s v="2025-12-04"/>
    <s v="2025-12-11"/>
    <n v="7"/>
    <n v="7769.74"/>
    <x v="0"/>
    <s v="Discharged"/>
    <x v="3"/>
    <x v="0"/>
  </r>
  <r>
    <x v="1494"/>
    <x v="9"/>
    <x v="0"/>
    <x v="1"/>
    <x v="2"/>
    <s v="2025-08-16"/>
    <s v="2025-08-19"/>
    <n v="3"/>
    <n v="9017.68"/>
    <x v="0"/>
    <s v="Discharged"/>
    <x v="4"/>
    <x v="0"/>
  </r>
  <r>
    <x v="1495"/>
    <x v="56"/>
    <x v="1"/>
    <x v="1"/>
    <x v="2"/>
    <s v="2025-03-25"/>
    <s v="2025-03-31"/>
    <n v="6"/>
    <n v="5400.3"/>
    <x v="1"/>
    <s v="Discharged"/>
    <x v="0"/>
    <x v="0"/>
  </r>
  <r>
    <x v="1496"/>
    <x v="12"/>
    <x v="1"/>
    <x v="0"/>
    <x v="2"/>
    <s v="2025-11-24"/>
    <s v="2025-11-29"/>
    <n v="5"/>
    <n v="8024.32"/>
    <x v="1"/>
    <s v="Discharged"/>
    <x v="2"/>
    <x v="0"/>
  </r>
  <r>
    <x v="1497"/>
    <x v="69"/>
    <x v="0"/>
    <x v="2"/>
    <x v="0"/>
    <s v="2025-11-26"/>
    <s v="2025-12-02"/>
    <n v="6"/>
    <n v="12046.85"/>
    <x v="0"/>
    <s v="Discharged"/>
    <x v="3"/>
    <x v="0"/>
  </r>
  <r>
    <x v="1498"/>
    <x v="69"/>
    <x v="0"/>
    <x v="4"/>
    <x v="2"/>
    <s v="2025-03-06"/>
    <s v="2025-03-16"/>
    <n v="10"/>
    <n v="12764.32"/>
    <x v="0"/>
    <s v="Transferred"/>
    <x v="3"/>
    <x v="1"/>
  </r>
  <r>
    <x v="1499"/>
    <x v="14"/>
    <x v="1"/>
    <x v="1"/>
    <x v="1"/>
    <s v="2025-01-14"/>
    <s v="2025-01-17"/>
    <n v="3"/>
    <n v="7388.65"/>
    <x v="0"/>
    <s v="Discharged"/>
    <x v="0"/>
    <x v="0"/>
  </r>
  <r>
    <x v="1500"/>
    <x v="61"/>
    <x v="0"/>
    <x v="0"/>
    <x v="1"/>
    <s v="2025-03-24"/>
    <m/>
    <n v="2"/>
    <n v="6229.85"/>
    <x v="0"/>
    <s v="Transferred"/>
    <x v="4"/>
    <x v="0"/>
  </r>
  <r>
    <x v="1501"/>
    <x v="26"/>
    <x v="1"/>
    <x v="5"/>
    <x v="0"/>
    <s v="2025-05-22"/>
    <s v="2025-05-29"/>
    <n v="7"/>
    <n v="9831.76"/>
    <x v="0"/>
    <s v="Discharged"/>
    <x v="3"/>
    <x v="0"/>
  </r>
  <r>
    <x v="1502"/>
    <x v="69"/>
    <x v="1"/>
    <x v="1"/>
    <x v="2"/>
    <s v="2025-01-16"/>
    <s v="2025-01-20"/>
    <n v="4"/>
    <n v="5108.93"/>
    <x v="0"/>
    <s v="Discharged"/>
    <x v="3"/>
    <x v="0"/>
  </r>
  <r>
    <x v="1503"/>
    <x v="43"/>
    <x v="2"/>
    <x v="3"/>
    <x v="0"/>
    <s v="2025-05-12"/>
    <s v="2025-05-21"/>
    <n v="9"/>
    <n v="14574.61"/>
    <x v="1"/>
    <s v="Discharged"/>
    <x v="2"/>
    <x v="1"/>
  </r>
  <r>
    <x v="1504"/>
    <x v="65"/>
    <x v="1"/>
    <x v="4"/>
    <x v="1"/>
    <s v="2025-09-19"/>
    <s v="2025-09-30"/>
    <n v="11"/>
    <n v="16069.3"/>
    <x v="1"/>
    <s v="Discharged"/>
    <x v="3"/>
    <x v="1"/>
  </r>
  <r>
    <x v="1505"/>
    <x v="35"/>
    <x v="0"/>
    <x v="1"/>
    <x v="2"/>
    <s v="2025-11-02"/>
    <s v="2025-11-10"/>
    <n v="8"/>
    <n v="7032.82"/>
    <x v="1"/>
    <s v="Discharged"/>
    <x v="4"/>
    <x v="1"/>
  </r>
  <r>
    <x v="1506"/>
    <x v="57"/>
    <x v="0"/>
    <x v="0"/>
    <x v="2"/>
    <s v="2025-07-27"/>
    <s v="2025-08-04"/>
    <n v="8"/>
    <n v="8920.4500000000007"/>
    <x v="0"/>
    <s v="Discharged"/>
    <x v="3"/>
    <x v="1"/>
  </r>
  <r>
    <x v="1507"/>
    <x v="4"/>
    <x v="0"/>
    <x v="4"/>
    <x v="0"/>
    <s v="2025-09-12"/>
    <s v="2025-09-22"/>
    <n v="10"/>
    <n v="12110.97"/>
    <x v="0"/>
    <s v="Discharged"/>
    <x v="2"/>
    <x v="1"/>
  </r>
  <r>
    <x v="1508"/>
    <x v="28"/>
    <x v="0"/>
    <x v="5"/>
    <x v="2"/>
    <s v="2025-05-10"/>
    <s v="2025-05-16"/>
    <n v="6"/>
    <n v="8866.8799999999992"/>
    <x v="0"/>
    <s v="Discharged"/>
    <x v="4"/>
    <x v="0"/>
  </r>
  <r>
    <x v="1509"/>
    <x v="66"/>
    <x v="1"/>
    <x v="4"/>
    <x v="2"/>
    <s v="2025-04-16"/>
    <s v="2025-04-24"/>
    <n v="8"/>
    <n v="12131.73"/>
    <x v="0"/>
    <s v="Discharged"/>
    <x v="1"/>
    <x v="1"/>
  </r>
  <r>
    <x v="1510"/>
    <x v="0"/>
    <x v="1"/>
    <x v="4"/>
    <x v="2"/>
    <s v="2025-10-07"/>
    <s v="2025-10-15"/>
    <n v="8"/>
    <n v="13931.75"/>
    <x v="0"/>
    <s v="Discharged"/>
    <x v="0"/>
    <x v="1"/>
  </r>
  <r>
    <x v="1511"/>
    <x v="51"/>
    <x v="0"/>
    <x v="3"/>
    <x v="1"/>
    <s v="2025-01-08"/>
    <s v="2025-01-14"/>
    <n v="6"/>
    <n v="11938.38"/>
    <x v="0"/>
    <s v="Discharged"/>
    <x v="1"/>
    <x v="0"/>
  </r>
  <r>
    <x v="1512"/>
    <x v="24"/>
    <x v="0"/>
    <x v="3"/>
    <x v="2"/>
    <s v="2025-07-05"/>
    <s v="2025-07-10"/>
    <n v="5"/>
    <n v="12549.86"/>
    <x v="0"/>
    <s v="Discharged"/>
    <x v="2"/>
    <x v="0"/>
  </r>
  <r>
    <x v="1513"/>
    <x v="63"/>
    <x v="0"/>
    <x v="4"/>
    <x v="0"/>
    <s v="2025-03-11"/>
    <s v="2025-03-17"/>
    <n v="6"/>
    <n v="12897.32"/>
    <x v="0"/>
    <s v="Discharged"/>
    <x v="3"/>
    <x v="0"/>
  </r>
  <r>
    <x v="1514"/>
    <x v="2"/>
    <x v="0"/>
    <x v="2"/>
    <x v="1"/>
    <s v="2025-08-18"/>
    <s v="2025-08-26"/>
    <n v="8"/>
    <n v="12219.55"/>
    <x v="0"/>
    <s v="Discharged"/>
    <x v="1"/>
    <x v="1"/>
  </r>
  <r>
    <x v="1515"/>
    <x v="26"/>
    <x v="0"/>
    <x v="2"/>
    <x v="2"/>
    <s v="2025-06-02"/>
    <s v="2025-06-07"/>
    <n v="5"/>
    <n v="9288.68"/>
    <x v="1"/>
    <s v="Discharged"/>
    <x v="3"/>
    <x v="0"/>
  </r>
  <r>
    <x v="1516"/>
    <x v="19"/>
    <x v="0"/>
    <x v="5"/>
    <x v="2"/>
    <s v="2025-07-04"/>
    <s v="2025-07-12"/>
    <n v="8"/>
    <n v="11737.59"/>
    <x v="1"/>
    <s v="Discharged"/>
    <x v="2"/>
    <x v="1"/>
  </r>
  <r>
    <x v="1517"/>
    <x v="57"/>
    <x v="1"/>
    <x v="4"/>
    <x v="0"/>
    <s v="2025-02-28"/>
    <s v="2025-03-06"/>
    <n v="6"/>
    <n v="11277.14"/>
    <x v="1"/>
    <s v="Discharged"/>
    <x v="3"/>
    <x v="0"/>
  </r>
  <r>
    <x v="1518"/>
    <x v="60"/>
    <x v="0"/>
    <x v="0"/>
    <x v="1"/>
    <s v="2025-10-06"/>
    <s v="2025-10-12"/>
    <n v="6"/>
    <n v="11067.39"/>
    <x v="0"/>
    <s v="Discharged"/>
    <x v="3"/>
    <x v="0"/>
  </r>
  <r>
    <x v="1519"/>
    <x v="17"/>
    <x v="0"/>
    <x v="0"/>
    <x v="2"/>
    <s v="2025-05-27"/>
    <s v="2025-06-02"/>
    <n v="6"/>
    <n v="9122.7199999999993"/>
    <x v="0"/>
    <s v="Discharged"/>
    <x v="2"/>
    <x v="0"/>
  </r>
  <r>
    <x v="1520"/>
    <x v="22"/>
    <x v="1"/>
    <x v="1"/>
    <x v="0"/>
    <s v="2025-04-03"/>
    <s v="2025-04-07"/>
    <n v="4"/>
    <n v="4684.5600000000004"/>
    <x v="0"/>
    <s v="Discharged"/>
    <x v="3"/>
    <x v="0"/>
  </r>
  <r>
    <x v="1521"/>
    <x v="51"/>
    <x v="1"/>
    <x v="4"/>
    <x v="1"/>
    <s v="2025-05-07"/>
    <s v="2025-05-17"/>
    <n v="10"/>
    <n v="14885.69"/>
    <x v="0"/>
    <s v="Discharged"/>
    <x v="1"/>
    <x v="1"/>
  </r>
  <r>
    <x v="1522"/>
    <x v="66"/>
    <x v="0"/>
    <x v="4"/>
    <x v="2"/>
    <s v="2025-09-16"/>
    <s v="2025-09-21"/>
    <n v="5"/>
    <n v="10374.370000000001"/>
    <x v="0"/>
    <s v="Discharged"/>
    <x v="1"/>
    <x v="0"/>
  </r>
  <r>
    <x v="1523"/>
    <x v="27"/>
    <x v="0"/>
    <x v="1"/>
    <x v="2"/>
    <s v="2025-11-10"/>
    <s v="2025-11-12"/>
    <n v="2"/>
    <n v="3686.58"/>
    <x v="1"/>
    <s v="Discharged"/>
    <x v="1"/>
    <x v="0"/>
  </r>
  <r>
    <x v="1524"/>
    <x v="33"/>
    <x v="1"/>
    <x v="1"/>
    <x v="1"/>
    <s v="2025-04-07"/>
    <s v="2025-04-11"/>
    <n v="4"/>
    <n v="7546.48"/>
    <x v="0"/>
    <s v="Discharged"/>
    <x v="2"/>
    <x v="0"/>
  </r>
  <r>
    <x v="1525"/>
    <x v="26"/>
    <x v="1"/>
    <x v="2"/>
    <x v="0"/>
    <s v="2025-11-26"/>
    <s v="2025-12-03"/>
    <n v="7"/>
    <n v="12994.02"/>
    <x v="0"/>
    <s v="Other"/>
    <x v="3"/>
    <x v="0"/>
  </r>
  <r>
    <x v="1526"/>
    <x v="63"/>
    <x v="1"/>
    <x v="0"/>
    <x v="2"/>
    <s v="2025-06-15"/>
    <s v="2025-06-22"/>
    <n v="7"/>
    <n v="10085.209999999999"/>
    <x v="0"/>
    <s v="Discharged"/>
    <x v="3"/>
    <x v="0"/>
  </r>
  <r>
    <x v="1527"/>
    <x v="50"/>
    <x v="0"/>
    <x v="5"/>
    <x v="2"/>
    <s v="2025-07-27"/>
    <s v="2025-08-04"/>
    <n v="8"/>
    <n v="11474.3"/>
    <x v="0"/>
    <s v="Discharged"/>
    <x v="0"/>
    <x v="1"/>
  </r>
  <r>
    <x v="1528"/>
    <x v="40"/>
    <x v="1"/>
    <x v="1"/>
    <x v="1"/>
    <s v="2025-04-28"/>
    <s v="2025-05-01"/>
    <n v="3"/>
    <n v="4984.74"/>
    <x v="0"/>
    <s v="Discharged"/>
    <x v="1"/>
    <x v="0"/>
  </r>
  <r>
    <x v="1529"/>
    <x v="47"/>
    <x v="0"/>
    <x v="1"/>
    <x v="1"/>
    <s v="2025-12-19"/>
    <s v="2025-12-22"/>
    <n v="3"/>
    <n v="5395.24"/>
    <x v="0"/>
    <s v="Discharged"/>
    <x v="4"/>
    <x v="0"/>
  </r>
  <r>
    <x v="1530"/>
    <x v="70"/>
    <x v="0"/>
    <x v="1"/>
    <x v="0"/>
    <s v="2025-12-19"/>
    <s v="2025-12-23"/>
    <n v="4"/>
    <n v="4883.96"/>
    <x v="0"/>
    <s v="Discharged"/>
    <x v="1"/>
    <x v="0"/>
  </r>
  <r>
    <x v="1531"/>
    <x v="65"/>
    <x v="1"/>
    <x v="0"/>
    <x v="0"/>
    <s v="2025-11-03"/>
    <s v="2025-11-07"/>
    <n v="4"/>
    <n v="5569.78"/>
    <x v="0"/>
    <s v="Discharged"/>
    <x v="3"/>
    <x v="0"/>
  </r>
  <r>
    <x v="1532"/>
    <x v="69"/>
    <x v="0"/>
    <x v="1"/>
    <x v="2"/>
    <s v="2025-12-28"/>
    <s v="2026-01-04"/>
    <n v="7"/>
    <n v="4225.62"/>
    <x v="0"/>
    <s v="Discharged"/>
    <x v="3"/>
    <x v="0"/>
  </r>
  <r>
    <x v="1533"/>
    <x v="10"/>
    <x v="1"/>
    <x v="4"/>
    <x v="1"/>
    <s v="2025-01-22"/>
    <s v="2025-01-30"/>
    <n v="8"/>
    <n v="11764.61"/>
    <x v="0"/>
    <s v="Discharged"/>
    <x v="4"/>
    <x v="1"/>
  </r>
  <r>
    <x v="1534"/>
    <x v="72"/>
    <x v="0"/>
    <x v="1"/>
    <x v="0"/>
    <s v="2025-01-23"/>
    <s v="2025-01-25"/>
    <n v="2"/>
    <n v="3046.48"/>
    <x v="0"/>
    <s v="Discharged"/>
    <x v="2"/>
    <x v="0"/>
  </r>
  <r>
    <x v="1535"/>
    <x v="31"/>
    <x v="1"/>
    <x v="0"/>
    <x v="1"/>
    <s v="2025-06-11"/>
    <s v="2025-06-17"/>
    <n v="6"/>
    <n v="8020.1"/>
    <x v="0"/>
    <s v="Discharged"/>
    <x v="2"/>
    <x v="0"/>
  </r>
  <r>
    <x v="1536"/>
    <x v="6"/>
    <x v="0"/>
    <x v="5"/>
    <x v="2"/>
    <s v="2025-02-02"/>
    <s v="2025-02-06"/>
    <n v="4"/>
    <n v="7898.97"/>
    <x v="0"/>
    <s v="Discharged"/>
    <x v="3"/>
    <x v="0"/>
  </r>
  <r>
    <x v="1537"/>
    <x v="11"/>
    <x v="0"/>
    <x v="1"/>
    <x v="2"/>
    <s v="2025-05-21"/>
    <s v="2025-05-24"/>
    <n v="3"/>
    <n v="6775.37"/>
    <x v="0"/>
    <s v="Discharged"/>
    <x v="2"/>
    <x v="0"/>
  </r>
  <r>
    <x v="1538"/>
    <x v="21"/>
    <x v="1"/>
    <x v="2"/>
    <x v="0"/>
    <s v="2025-02-01"/>
    <s v="2025-02-05"/>
    <n v="4"/>
    <n v="9671.51"/>
    <x v="0"/>
    <s v="Discharged"/>
    <x v="4"/>
    <x v="0"/>
  </r>
  <r>
    <x v="1539"/>
    <x v="71"/>
    <x v="1"/>
    <x v="5"/>
    <x v="2"/>
    <s v="2025-05-26"/>
    <s v="2025-06-01"/>
    <n v="6"/>
    <n v="10886.42"/>
    <x v="0"/>
    <s v="Discharged"/>
    <x v="1"/>
    <x v="0"/>
  </r>
  <r>
    <x v="1540"/>
    <x v="65"/>
    <x v="1"/>
    <x v="5"/>
    <x v="2"/>
    <s v="2025-07-12"/>
    <s v="2025-07-20"/>
    <n v="8"/>
    <n v="12488.85"/>
    <x v="0"/>
    <s v="Discharged"/>
    <x v="3"/>
    <x v="1"/>
  </r>
  <r>
    <x v="1541"/>
    <x v="38"/>
    <x v="1"/>
    <x v="0"/>
    <x v="2"/>
    <s v="2025-10-03"/>
    <s v="2025-10-07"/>
    <n v="4"/>
    <n v="6755.29"/>
    <x v="1"/>
    <s v="Transferred"/>
    <x v="0"/>
    <x v="0"/>
  </r>
  <r>
    <x v="1542"/>
    <x v="25"/>
    <x v="1"/>
    <x v="3"/>
    <x v="2"/>
    <s v="2025-04-27"/>
    <s v="2025-05-07"/>
    <n v="10"/>
    <n v="15516.63"/>
    <x v="0"/>
    <s v="Discharged"/>
    <x v="2"/>
    <x v="1"/>
  </r>
  <r>
    <x v="1543"/>
    <x v="24"/>
    <x v="1"/>
    <x v="0"/>
    <x v="1"/>
    <s v="2025-06-11"/>
    <s v="2025-06-15"/>
    <n v="4"/>
    <n v="8550.43"/>
    <x v="0"/>
    <s v="Discharged"/>
    <x v="2"/>
    <x v="0"/>
  </r>
  <r>
    <x v="1544"/>
    <x v="13"/>
    <x v="0"/>
    <x v="5"/>
    <x v="2"/>
    <s v="2025-12-14"/>
    <s v="2025-12-16"/>
    <n v="2"/>
    <n v="8525.4500000000007"/>
    <x v="0"/>
    <s v="Discharged"/>
    <x v="1"/>
    <x v="0"/>
  </r>
  <r>
    <x v="1545"/>
    <x v="20"/>
    <x v="1"/>
    <x v="0"/>
    <x v="2"/>
    <s v="2025-02-04"/>
    <s v="2025-02-12"/>
    <n v="8"/>
    <n v="10486.54"/>
    <x v="0"/>
    <s v="Discharged"/>
    <x v="0"/>
    <x v="1"/>
  </r>
  <r>
    <x v="1546"/>
    <x v="68"/>
    <x v="0"/>
    <x v="1"/>
    <x v="1"/>
    <s v="2025-03-19"/>
    <s v="2025-03-25"/>
    <n v="6"/>
    <n v="6849.16"/>
    <x v="0"/>
    <s v="Discharged"/>
    <x v="3"/>
    <x v="0"/>
  </r>
  <r>
    <x v="1547"/>
    <x v="42"/>
    <x v="1"/>
    <x v="1"/>
    <x v="2"/>
    <s v="2025-07-10"/>
    <s v="2025-07-11"/>
    <n v="1"/>
    <n v="2074.63"/>
    <x v="0"/>
    <s v="Discharged"/>
    <x v="4"/>
    <x v="0"/>
  </r>
  <r>
    <x v="1548"/>
    <x v="70"/>
    <x v="0"/>
    <x v="0"/>
    <x v="2"/>
    <s v="2025-12-02"/>
    <s v="2025-12-03"/>
    <n v="1"/>
    <n v="5409.44"/>
    <x v="0"/>
    <s v="Discharged"/>
    <x v="1"/>
    <x v="0"/>
  </r>
  <r>
    <x v="1549"/>
    <x v="40"/>
    <x v="0"/>
    <x v="5"/>
    <x v="0"/>
    <s v="2025-10-19"/>
    <s v="2025-10-24"/>
    <n v="5"/>
    <n v="10308.33"/>
    <x v="1"/>
    <s v="Transferred"/>
    <x v="1"/>
    <x v="0"/>
  </r>
  <r>
    <x v="1550"/>
    <x v="52"/>
    <x v="0"/>
    <x v="5"/>
    <x v="2"/>
    <s v="2025-05-23"/>
    <s v="2025-05-27"/>
    <n v="4"/>
    <n v="11344.15"/>
    <x v="0"/>
    <s v="Discharged"/>
    <x v="4"/>
    <x v="0"/>
  </r>
  <r>
    <x v="1551"/>
    <x v="10"/>
    <x v="1"/>
    <x v="2"/>
    <x v="1"/>
    <s v="2025-10-21"/>
    <s v="2025-10-31"/>
    <n v="10"/>
    <n v="14282.23"/>
    <x v="0"/>
    <s v="Discharged"/>
    <x v="4"/>
    <x v="1"/>
  </r>
  <r>
    <x v="1552"/>
    <x v="49"/>
    <x v="1"/>
    <x v="1"/>
    <x v="2"/>
    <s v="2025-10-26"/>
    <s v="2025-10-30"/>
    <n v="4"/>
    <n v="5486.23"/>
    <x v="0"/>
    <s v="Discharged"/>
    <x v="0"/>
    <x v="0"/>
  </r>
  <r>
    <x v="1553"/>
    <x v="20"/>
    <x v="1"/>
    <x v="4"/>
    <x v="2"/>
    <s v="2025-10-15"/>
    <s v="2025-10-21"/>
    <n v="6"/>
    <n v="13100.71"/>
    <x v="0"/>
    <s v="Discharged"/>
    <x v="0"/>
    <x v="0"/>
  </r>
  <r>
    <x v="1554"/>
    <x v="11"/>
    <x v="1"/>
    <x v="2"/>
    <x v="0"/>
    <s v="2025-08-15"/>
    <s v="2025-08-20"/>
    <n v="5"/>
    <n v="9375.1"/>
    <x v="0"/>
    <s v="Discharged"/>
    <x v="2"/>
    <x v="0"/>
  </r>
  <r>
    <x v="1555"/>
    <x v="55"/>
    <x v="1"/>
    <x v="0"/>
    <x v="1"/>
    <s v="2025-04-21"/>
    <s v="2025-04-22"/>
    <n v="1"/>
    <n v="6536.91"/>
    <x v="0"/>
    <s v="Discharged"/>
    <x v="4"/>
    <x v="0"/>
  </r>
  <r>
    <x v="1556"/>
    <x v="48"/>
    <x v="1"/>
    <x v="1"/>
    <x v="2"/>
    <s v="2025-10-06"/>
    <s v="2025-10-10"/>
    <n v="4"/>
    <n v="4692.83"/>
    <x v="0"/>
    <s v="Discharged"/>
    <x v="0"/>
    <x v="0"/>
  </r>
  <r>
    <x v="1557"/>
    <x v="8"/>
    <x v="1"/>
    <x v="1"/>
    <x v="0"/>
    <s v="2025-01-14"/>
    <s v="2025-01-19"/>
    <n v="5"/>
    <n v="5453.92"/>
    <x v="0"/>
    <s v="Discharged"/>
    <x v="3"/>
    <x v="0"/>
  </r>
  <r>
    <x v="1558"/>
    <x v="71"/>
    <x v="1"/>
    <x v="4"/>
    <x v="1"/>
    <s v="2025-08-19"/>
    <s v="2025-08-23"/>
    <n v="4"/>
    <n v="11788.43"/>
    <x v="0"/>
    <s v="Discharged"/>
    <x v="1"/>
    <x v="0"/>
  </r>
  <r>
    <x v="1559"/>
    <x v="37"/>
    <x v="1"/>
    <x v="4"/>
    <x v="1"/>
    <s v="2025-04-08"/>
    <s v="2025-04-12"/>
    <n v="4"/>
    <n v="9221.5499999999993"/>
    <x v="0"/>
    <s v="Discharged"/>
    <x v="1"/>
    <x v="0"/>
  </r>
  <r>
    <x v="1560"/>
    <x v="26"/>
    <x v="1"/>
    <x v="4"/>
    <x v="2"/>
    <s v="2025-02-17"/>
    <s v="2025-02-23"/>
    <n v="6"/>
    <n v="11428.91"/>
    <x v="1"/>
    <s v="Discharged"/>
    <x v="3"/>
    <x v="0"/>
  </r>
  <r>
    <x v="1561"/>
    <x v="54"/>
    <x v="2"/>
    <x v="4"/>
    <x v="2"/>
    <s v="2025-11-14"/>
    <s v="2025-11-20"/>
    <n v="6"/>
    <n v="13685.45"/>
    <x v="1"/>
    <s v="Discharged"/>
    <x v="2"/>
    <x v="0"/>
  </r>
  <r>
    <x v="1562"/>
    <x v="48"/>
    <x v="0"/>
    <x v="5"/>
    <x v="2"/>
    <s v="2025-05-03"/>
    <s v="2025-05-08"/>
    <n v="5"/>
    <n v="12375.33"/>
    <x v="0"/>
    <s v="Discharged"/>
    <x v="0"/>
    <x v="0"/>
  </r>
  <r>
    <x v="1563"/>
    <x v="51"/>
    <x v="1"/>
    <x v="4"/>
    <x v="1"/>
    <s v="2025-09-06"/>
    <s v="2025-09-12"/>
    <n v="6"/>
    <n v="10637.16"/>
    <x v="0"/>
    <s v="Discharged"/>
    <x v="1"/>
    <x v="0"/>
  </r>
  <r>
    <x v="1564"/>
    <x v="62"/>
    <x v="0"/>
    <x v="5"/>
    <x v="0"/>
    <s v="2025-09-23"/>
    <s v="2025-09-24"/>
    <n v="1"/>
    <n v="7176.22"/>
    <x v="0"/>
    <s v="Discharged"/>
    <x v="2"/>
    <x v="0"/>
  </r>
  <r>
    <x v="1565"/>
    <x v="63"/>
    <x v="0"/>
    <x v="2"/>
    <x v="1"/>
    <s v="2025-07-16"/>
    <s v="2025-07-23"/>
    <n v="7"/>
    <n v="11527.81"/>
    <x v="0"/>
    <s v="Transferred"/>
    <x v="3"/>
    <x v="0"/>
  </r>
  <r>
    <x v="1566"/>
    <x v="33"/>
    <x v="1"/>
    <x v="2"/>
    <x v="1"/>
    <s v="2025-05-04"/>
    <s v="2025-05-10"/>
    <n v="6"/>
    <n v="11619.24"/>
    <x v="0"/>
    <s v="Other"/>
    <x v="2"/>
    <x v="0"/>
  </r>
  <r>
    <x v="1567"/>
    <x v="40"/>
    <x v="0"/>
    <x v="5"/>
    <x v="1"/>
    <s v="2025-11-24"/>
    <s v="2025-11-29"/>
    <n v="5"/>
    <n v="9471.84"/>
    <x v="0"/>
    <s v="Discharged"/>
    <x v="1"/>
    <x v="0"/>
  </r>
  <r>
    <x v="1568"/>
    <x v="61"/>
    <x v="1"/>
    <x v="3"/>
    <x v="1"/>
    <s v="2025-02-13"/>
    <s v="2025-02-23"/>
    <n v="10"/>
    <n v="14787.35"/>
    <x v="1"/>
    <s v="Discharged"/>
    <x v="4"/>
    <x v="1"/>
  </r>
  <r>
    <x v="1569"/>
    <x v="4"/>
    <x v="0"/>
    <x v="1"/>
    <x v="0"/>
    <s v="2025-02-28"/>
    <s v="2025-03-02"/>
    <n v="2"/>
    <n v="6586.05"/>
    <x v="0"/>
    <s v="Discharged"/>
    <x v="2"/>
    <x v="0"/>
  </r>
  <r>
    <x v="1570"/>
    <x v="64"/>
    <x v="0"/>
    <x v="5"/>
    <x v="0"/>
    <s v="2025-06-21"/>
    <s v="2025-06-22"/>
    <n v="1"/>
    <n v="6853.1"/>
    <x v="0"/>
    <s v="Discharged"/>
    <x v="4"/>
    <x v="0"/>
  </r>
  <r>
    <x v="1571"/>
    <x v="2"/>
    <x v="1"/>
    <x v="5"/>
    <x v="2"/>
    <s v="2025-01-23"/>
    <s v="2025-01-27"/>
    <n v="4"/>
    <n v="7533.34"/>
    <x v="0"/>
    <s v="Discharged"/>
    <x v="1"/>
    <x v="0"/>
  </r>
  <r>
    <x v="1572"/>
    <x v="72"/>
    <x v="1"/>
    <x v="2"/>
    <x v="2"/>
    <s v="2025-11-10"/>
    <s v="2025-11-21"/>
    <n v="11"/>
    <n v="14271.81"/>
    <x v="0"/>
    <s v="Discharged"/>
    <x v="2"/>
    <x v="1"/>
  </r>
  <r>
    <x v="1573"/>
    <x v="20"/>
    <x v="1"/>
    <x v="2"/>
    <x v="2"/>
    <s v="2025-01-15"/>
    <s v="2025-01-24"/>
    <n v="9"/>
    <n v="11949.69"/>
    <x v="0"/>
    <s v="Discharged"/>
    <x v="0"/>
    <x v="1"/>
  </r>
  <r>
    <x v="1574"/>
    <x v="6"/>
    <x v="0"/>
    <x v="2"/>
    <x v="2"/>
    <s v="2025-03-07"/>
    <s v="2025-03-17"/>
    <n v="10"/>
    <n v="13858.21"/>
    <x v="0"/>
    <s v="Discharged"/>
    <x v="3"/>
    <x v="1"/>
  </r>
  <r>
    <x v="1575"/>
    <x v="17"/>
    <x v="1"/>
    <x v="1"/>
    <x v="0"/>
    <s v="2025-10-14"/>
    <s v="2025-10-18"/>
    <n v="4"/>
    <n v="5153.29"/>
    <x v="0"/>
    <s v="Transferred"/>
    <x v="2"/>
    <x v="0"/>
  </r>
  <r>
    <x v="1576"/>
    <x v="52"/>
    <x v="1"/>
    <x v="0"/>
    <x v="2"/>
    <s v="2025-09-27"/>
    <s v="2025-10-03"/>
    <n v="6"/>
    <n v="8052.14"/>
    <x v="0"/>
    <s v="Discharged"/>
    <x v="4"/>
    <x v="0"/>
  </r>
  <r>
    <x v="1577"/>
    <x v="41"/>
    <x v="1"/>
    <x v="0"/>
    <x v="0"/>
    <s v="2025-09-11"/>
    <s v="2025-09-15"/>
    <n v="4"/>
    <n v="8938.23"/>
    <x v="0"/>
    <s v="Discharged"/>
    <x v="1"/>
    <x v="0"/>
  </r>
  <r>
    <x v="1578"/>
    <x v="7"/>
    <x v="1"/>
    <x v="1"/>
    <x v="0"/>
    <s v="2025-04-01"/>
    <s v="2025-04-07"/>
    <n v="6"/>
    <n v="5073.5600000000004"/>
    <x v="1"/>
    <s v="Discharged"/>
    <x v="4"/>
    <x v="0"/>
  </r>
  <r>
    <x v="1579"/>
    <x v="34"/>
    <x v="1"/>
    <x v="4"/>
    <x v="1"/>
    <s v="2025-04-15"/>
    <s v="2025-04-22"/>
    <n v="7"/>
    <n v="11652.35"/>
    <x v="1"/>
    <s v="Discharged"/>
    <x v="2"/>
    <x v="0"/>
  </r>
  <r>
    <x v="1580"/>
    <x v="27"/>
    <x v="1"/>
    <x v="4"/>
    <x v="0"/>
    <s v="2025-10-07"/>
    <s v="2025-10-16"/>
    <n v="9"/>
    <n v="13860.97"/>
    <x v="0"/>
    <s v="Discharged"/>
    <x v="1"/>
    <x v="1"/>
  </r>
  <r>
    <x v="1581"/>
    <x v="53"/>
    <x v="0"/>
    <x v="4"/>
    <x v="2"/>
    <s v="2025-02-11"/>
    <s v="2025-02-19"/>
    <n v="8"/>
    <n v="15664.3"/>
    <x v="0"/>
    <s v="Transferred"/>
    <x v="4"/>
    <x v="1"/>
  </r>
  <r>
    <x v="1582"/>
    <x v="3"/>
    <x v="1"/>
    <x v="1"/>
    <x v="2"/>
    <s v="2025-02-11"/>
    <s v="2025-02-17"/>
    <n v="6"/>
    <n v="8647.89"/>
    <x v="0"/>
    <s v="Discharged"/>
    <x v="0"/>
    <x v="0"/>
  </r>
  <r>
    <x v="1583"/>
    <x v="22"/>
    <x v="0"/>
    <x v="2"/>
    <x v="1"/>
    <s v="2025-03-01"/>
    <s v="2025-03-07"/>
    <n v="6"/>
    <n v="9843.83"/>
    <x v="0"/>
    <s v="Discharged"/>
    <x v="3"/>
    <x v="0"/>
  </r>
  <r>
    <x v="1584"/>
    <x v="0"/>
    <x v="0"/>
    <x v="0"/>
    <x v="2"/>
    <s v="2025-04-17"/>
    <s v="2025-04-22"/>
    <n v="5"/>
    <n v="9501.61"/>
    <x v="0"/>
    <s v="Discharged"/>
    <x v="0"/>
    <x v="0"/>
  </r>
  <r>
    <x v="1585"/>
    <x v="61"/>
    <x v="1"/>
    <x v="1"/>
    <x v="0"/>
    <s v="2025-12-03"/>
    <s v="2025-12-04"/>
    <n v="1"/>
    <n v="3209.98"/>
    <x v="0"/>
    <s v="Discharged"/>
    <x v="4"/>
    <x v="0"/>
  </r>
  <r>
    <x v="1586"/>
    <x v="4"/>
    <x v="0"/>
    <x v="1"/>
    <x v="2"/>
    <s v="2025-10-13"/>
    <s v="2025-10-17"/>
    <n v="4"/>
    <n v="7863.79"/>
    <x v="0"/>
    <s v="Discharged"/>
    <x v="2"/>
    <x v="0"/>
  </r>
  <r>
    <x v="1587"/>
    <x v="26"/>
    <x v="1"/>
    <x v="2"/>
    <x v="2"/>
    <s v="2025-10-04"/>
    <s v="2025-10-10"/>
    <n v="6"/>
    <n v="12002.07"/>
    <x v="0"/>
    <s v="Discharged"/>
    <x v="3"/>
    <x v="0"/>
  </r>
  <r>
    <x v="1588"/>
    <x v="35"/>
    <x v="1"/>
    <x v="1"/>
    <x v="2"/>
    <s v="2025-08-12"/>
    <s v="2025-08-17"/>
    <n v="5"/>
    <n v="5967.42"/>
    <x v="0"/>
    <s v="Discharged"/>
    <x v="4"/>
    <x v="0"/>
  </r>
  <r>
    <x v="1589"/>
    <x v="31"/>
    <x v="0"/>
    <x v="1"/>
    <x v="0"/>
    <s v="2025-11-16"/>
    <s v="2025-11-18"/>
    <n v="2"/>
    <n v="3694.7"/>
    <x v="0"/>
    <s v="Discharged"/>
    <x v="2"/>
    <x v="0"/>
  </r>
  <r>
    <x v="1590"/>
    <x v="27"/>
    <x v="0"/>
    <x v="5"/>
    <x v="0"/>
    <s v="2025-03-28"/>
    <s v="2025-04-01"/>
    <n v="4"/>
    <n v="8822.26"/>
    <x v="0"/>
    <s v="Discharged"/>
    <x v="1"/>
    <x v="0"/>
  </r>
  <r>
    <x v="1591"/>
    <x v="31"/>
    <x v="1"/>
    <x v="1"/>
    <x v="2"/>
    <s v="2025-04-25"/>
    <s v="2025-04-30"/>
    <n v="5"/>
    <n v="6904.95"/>
    <x v="1"/>
    <s v="Discharged"/>
    <x v="2"/>
    <x v="0"/>
  </r>
  <r>
    <x v="1592"/>
    <x v="15"/>
    <x v="0"/>
    <x v="1"/>
    <x v="1"/>
    <s v="2025-01-15"/>
    <s v="2025-01-22"/>
    <n v="7"/>
    <n v="5378.62"/>
    <x v="0"/>
    <s v="Discharged"/>
    <x v="1"/>
    <x v="0"/>
  </r>
  <r>
    <x v="1593"/>
    <x v="12"/>
    <x v="1"/>
    <x v="1"/>
    <x v="2"/>
    <s v="2025-08-24"/>
    <s v="2025-08-30"/>
    <n v="6"/>
    <n v="8591.52"/>
    <x v="0"/>
    <s v="Discharged"/>
    <x v="2"/>
    <x v="0"/>
  </r>
  <r>
    <x v="1594"/>
    <x v="1"/>
    <x v="1"/>
    <x v="2"/>
    <x v="1"/>
    <s v="2025-09-01"/>
    <s v="2025-09-10"/>
    <n v="9"/>
    <n v="14307"/>
    <x v="0"/>
    <s v="Discharged"/>
    <x v="0"/>
    <x v="1"/>
  </r>
  <r>
    <x v="1595"/>
    <x v="10"/>
    <x v="1"/>
    <x v="1"/>
    <x v="2"/>
    <s v="2025-10-24"/>
    <s v="2025-11-01"/>
    <n v="8"/>
    <n v="3193.03"/>
    <x v="0"/>
    <s v="Discharged"/>
    <x v="4"/>
    <x v="1"/>
  </r>
  <r>
    <x v="1596"/>
    <x v="22"/>
    <x v="0"/>
    <x v="1"/>
    <x v="0"/>
    <s v="2025-07-07"/>
    <s v="2025-07-11"/>
    <n v="4"/>
    <n v="6004.94"/>
    <x v="0"/>
    <s v="Discharged"/>
    <x v="3"/>
    <x v="0"/>
  </r>
  <r>
    <x v="1597"/>
    <x v="64"/>
    <x v="0"/>
    <x v="1"/>
    <x v="0"/>
    <s v="2025-07-24"/>
    <s v="2025-07-27"/>
    <n v="3"/>
    <n v="5432.26"/>
    <x v="0"/>
    <s v="Discharged"/>
    <x v="4"/>
    <x v="0"/>
  </r>
  <r>
    <x v="1598"/>
    <x v="49"/>
    <x v="0"/>
    <x v="4"/>
    <x v="0"/>
    <s v="2025-04-03"/>
    <s v="2025-04-08"/>
    <n v="5"/>
    <n v="10013.709999999999"/>
    <x v="0"/>
    <s v="Discharged"/>
    <x v="0"/>
    <x v="0"/>
  </r>
  <r>
    <x v="1599"/>
    <x v="22"/>
    <x v="0"/>
    <x v="1"/>
    <x v="1"/>
    <s v="2025-06-27"/>
    <s v="2025-06-29"/>
    <n v="2"/>
    <n v="4470.47"/>
    <x v="0"/>
    <s v="Discharged"/>
    <x v="3"/>
    <x v="0"/>
  </r>
  <r>
    <x v="1600"/>
    <x v="40"/>
    <x v="1"/>
    <x v="1"/>
    <x v="2"/>
    <s v="2025-10-16"/>
    <s v="2025-10-22"/>
    <n v="6"/>
    <n v="6637.53"/>
    <x v="0"/>
    <s v="Discharged"/>
    <x v="1"/>
    <x v="0"/>
  </r>
  <r>
    <x v="1601"/>
    <x v="9"/>
    <x v="0"/>
    <x v="1"/>
    <x v="0"/>
    <s v="2025-11-12"/>
    <s v="2025-11-17"/>
    <n v="5"/>
    <n v="7597.73"/>
    <x v="0"/>
    <s v="Transferred"/>
    <x v="4"/>
    <x v="0"/>
  </r>
  <r>
    <x v="1602"/>
    <x v="2"/>
    <x v="0"/>
    <x v="0"/>
    <x v="2"/>
    <s v="2025-02-23"/>
    <s v="2025-02-26"/>
    <n v="3"/>
    <n v="4271.05"/>
    <x v="0"/>
    <s v="Discharged"/>
    <x v="1"/>
    <x v="0"/>
  </r>
  <r>
    <x v="1603"/>
    <x v="35"/>
    <x v="1"/>
    <x v="5"/>
    <x v="0"/>
    <s v="2025-10-06"/>
    <s v="2025-10-08"/>
    <n v="2"/>
    <n v="5748.83"/>
    <x v="0"/>
    <s v="Other"/>
    <x v="4"/>
    <x v="0"/>
  </r>
  <r>
    <x v="1604"/>
    <x v="36"/>
    <x v="1"/>
    <x v="1"/>
    <x v="0"/>
    <s v="2025-03-23"/>
    <s v="2025-03-29"/>
    <n v="6"/>
    <n v="7737.17"/>
    <x v="0"/>
    <s v="Discharged"/>
    <x v="1"/>
    <x v="0"/>
  </r>
  <r>
    <x v="1605"/>
    <x v="21"/>
    <x v="1"/>
    <x v="4"/>
    <x v="2"/>
    <s v="2025-05-29"/>
    <s v="2025-06-08"/>
    <n v="10"/>
    <n v="13970.81"/>
    <x v="0"/>
    <s v="Discharged"/>
    <x v="4"/>
    <x v="1"/>
  </r>
  <r>
    <x v="1606"/>
    <x v="27"/>
    <x v="0"/>
    <x v="1"/>
    <x v="0"/>
    <s v="2025-08-06"/>
    <s v="2025-08-09"/>
    <n v="3"/>
    <n v="4446.25"/>
    <x v="0"/>
    <s v="Discharged"/>
    <x v="1"/>
    <x v="0"/>
  </r>
  <r>
    <x v="1607"/>
    <x v="28"/>
    <x v="0"/>
    <x v="2"/>
    <x v="2"/>
    <s v="2025-06-05"/>
    <s v="2025-06-10"/>
    <n v="5"/>
    <n v="11731.48"/>
    <x v="0"/>
    <s v="Discharged"/>
    <x v="4"/>
    <x v="0"/>
  </r>
  <r>
    <x v="1608"/>
    <x v="61"/>
    <x v="1"/>
    <x v="4"/>
    <x v="2"/>
    <s v="2025-02-19"/>
    <s v="2025-03-01"/>
    <n v="10"/>
    <n v="11501.6"/>
    <x v="1"/>
    <s v="Discharged"/>
    <x v="4"/>
    <x v="1"/>
  </r>
  <r>
    <x v="1609"/>
    <x v="36"/>
    <x v="0"/>
    <x v="1"/>
    <x v="2"/>
    <s v="2025-08-18"/>
    <s v="2025-08-20"/>
    <n v="2"/>
    <n v="2418.71"/>
    <x v="0"/>
    <s v="Discharged"/>
    <x v="1"/>
    <x v="0"/>
  </r>
  <r>
    <x v="1610"/>
    <x v="47"/>
    <x v="0"/>
    <x v="0"/>
    <x v="2"/>
    <s v="2025-12-08"/>
    <s v="2025-12-11"/>
    <n v="3"/>
    <n v="4241.1400000000003"/>
    <x v="0"/>
    <s v="Discharged"/>
    <x v="4"/>
    <x v="0"/>
  </r>
  <r>
    <x v="1611"/>
    <x v="72"/>
    <x v="1"/>
    <x v="0"/>
    <x v="2"/>
    <s v="2025-12-06"/>
    <s v="2025-12-09"/>
    <n v="3"/>
    <n v="3725.18"/>
    <x v="0"/>
    <s v="Discharged"/>
    <x v="2"/>
    <x v="0"/>
  </r>
  <r>
    <x v="1612"/>
    <x v="17"/>
    <x v="1"/>
    <x v="2"/>
    <x v="0"/>
    <s v="2025-05-19"/>
    <s v="2025-05-23"/>
    <n v="4"/>
    <n v="11177.81"/>
    <x v="0"/>
    <s v="Discharged"/>
    <x v="2"/>
    <x v="0"/>
  </r>
  <r>
    <x v="1613"/>
    <x v="38"/>
    <x v="1"/>
    <x v="4"/>
    <x v="1"/>
    <s v="2025-12-04"/>
    <s v="2025-12-10"/>
    <n v="6"/>
    <n v="10051.91"/>
    <x v="1"/>
    <s v="Discharged"/>
    <x v="0"/>
    <x v="0"/>
  </r>
  <r>
    <x v="1614"/>
    <x v="52"/>
    <x v="0"/>
    <x v="0"/>
    <x v="2"/>
    <s v="2025-04-17"/>
    <s v="2025-04-21"/>
    <n v="4"/>
    <n v="7010.44"/>
    <x v="0"/>
    <s v="Discharged"/>
    <x v="4"/>
    <x v="0"/>
  </r>
  <r>
    <x v="1615"/>
    <x v="57"/>
    <x v="1"/>
    <x v="0"/>
    <x v="2"/>
    <s v="2025-05-29"/>
    <s v="2025-06-03"/>
    <n v="5"/>
    <n v="5957.39"/>
    <x v="0"/>
    <s v="Discharged"/>
    <x v="3"/>
    <x v="0"/>
  </r>
  <r>
    <x v="1616"/>
    <x v="70"/>
    <x v="1"/>
    <x v="0"/>
    <x v="0"/>
    <s v="2025-06-09"/>
    <s v="2025-06-12"/>
    <n v="3"/>
    <n v="4450.34"/>
    <x v="0"/>
    <s v="Discharged"/>
    <x v="1"/>
    <x v="0"/>
  </r>
  <r>
    <x v="1617"/>
    <x v="22"/>
    <x v="0"/>
    <x v="2"/>
    <x v="0"/>
    <s v="2025-01-30"/>
    <m/>
    <n v="4"/>
    <n v="9235.14"/>
    <x v="1"/>
    <s v="Discharged"/>
    <x v="3"/>
    <x v="0"/>
  </r>
  <r>
    <x v="1618"/>
    <x v="40"/>
    <x v="0"/>
    <x v="2"/>
    <x v="2"/>
    <s v="2025-02-05"/>
    <s v="2025-02-09"/>
    <n v="4"/>
    <n v="8494.19"/>
    <x v="0"/>
    <s v="Transferred"/>
    <x v="1"/>
    <x v="0"/>
  </r>
  <r>
    <x v="1619"/>
    <x v="33"/>
    <x v="2"/>
    <x v="4"/>
    <x v="2"/>
    <s v="2025-03-12"/>
    <s v="2025-03-22"/>
    <n v="10"/>
    <n v="13253.24"/>
    <x v="1"/>
    <s v="Discharged"/>
    <x v="2"/>
    <x v="1"/>
  </r>
  <r>
    <x v="1620"/>
    <x v="5"/>
    <x v="1"/>
    <x v="0"/>
    <x v="2"/>
    <s v="2025-10-24"/>
    <s v="2025-10-27"/>
    <n v="3"/>
    <n v="4625.95"/>
    <x v="0"/>
    <s v="Discharged"/>
    <x v="0"/>
    <x v="0"/>
  </r>
  <r>
    <x v="1621"/>
    <x v="51"/>
    <x v="1"/>
    <x v="3"/>
    <x v="1"/>
    <s v="2025-12-25"/>
    <s v="2025-12-30"/>
    <n v="5"/>
    <n v="12852.22"/>
    <x v="0"/>
    <s v="Discharged"/>
    <x v="1"/>
    <x v="0"/>
  </r>
  <r>
    <x v="1622"/>
    <x v="47"/>
    <x v="0"/>
    <x v="1"/>
    <x v="0"/>
    <s v="2025-05-01"/>
    <s v="2025-05-07"/>
    <n v="6"/>
    <n v="5862.41"/>
    <x v="0"/>
    <s v="Discharged"/>
    <x v="4"/>
    <x v="0"/>
  </r>
  <r>
    <x v="1623"/>
    <x v="31"/>
    <x v="1"/>
    <x v="1"/>
    <x v="1"/>
    <s v="2025-12-29"/>
    <s v="2025-12-31"/>
    <n v="2"/>
    <n v="3186.84"/>
    <x v="0"/>
    <s v="Discharged"/>
    <x v="2"/>
    <x v="0"/>
  </r>
  <r>
    <x v="1624"/>
    <x v="14"/>
    <x v="0"/>
    <x v="3"/>
    <x v="0"/>
    <s v="2025-10-10"/>
    <s v="2025-10-16"/>
    <n v="6"/>
    <n v="14378.87"/>
    <x v="0"/>
    <s v="Discharged"/>
    <x v="0"/>
    <x v="0"/>
  </r>
  <r>
    <x v="1625"/>
    <x v="62"/>
    <x v="0"/>
    <x v="2"/>
    <x v="0"/>
    <s v="2025-01-09"/>
    <s v="2025-01-14"/>
    <n v="5"/>
    <n v="8011.42"/>
    <x v="0"/>
    <s v="Discharged"/>
    <x v="2"/>
    <x v="0"/>
  </r>
  <r>
    <x v="1626"/>
    <x v="35"/>
    <x v="1"/>
    <x v="4"/>
    <x v="1"/>
    <s v="2025-08-13"/>
    <s v="2025-08-19"/>
    <n v="6"/>
    <n v="10825.31"/>
    <x v="1"/>
    <s v="Discharged"/>
    <x v="4"/>
    <x v="0"/>
  </r>
  <r>
    <x v="1627"/>
    <x v="24"/>
    <x v="1"/>
    <x v="1"/>
    <x v="0"/>
    <s v="2025-04-27"/>
    <s v="2025-05-01"/>
    <n v="4"/>
    <n v="5944.19"/>
    <x v="0"/>
    <s v="Discharged"/>
    <x v="2"/>
    <x v="0"/>
  </r>
  <r>
    <x v="1628"/>
    <x v="36"/>
    <x v="1"/>
    <x v="0"/>
    <x v="1"/>
    <s v="2025-01-31"/>
    <s v="2025-02-06"/>
    <n v="6"/>
    <n v="6362.06"/>
    <x v="0"/>
    <s v="Discharged"/>
    <x v="1"/>
    <x v="0"/>
  </r>
  <r>
    <x v="1629"/>
    <x v="22"/>
    <x v="0"/>
    <x v="1"/>
    <x v="0"/>
    <s v="2025-09-01"/>
    <s v="2025-09-06"/>
    <n v="5"/>
    <n v="4381.41"/>
    <x v="0"/>
    <s v="Discharged"/>
    <x v="3"/>
    <x v="0"/>
  </r>
  <r>
    <x v="1630"/>
    <x v="6"/>
    <x v="0"/>
    <x v="0"/>
    <x v="2"/>
    <s v="2025-11-07"/>
    <s v="2025-11-15"/>
    <n v="8"/>
    <n v="9511.68"/>
    <x v="1"/>
    <s v="Discharged"/>
    <x v="3"/>
    <x v="1"/>
  </r>
  <r>
    <x v="1631"/>
    <x v="12"/>
    <x v="1"/>
    <x v="0"/>
    <x v="1"/>
    <s v="2025-01-11"/>
    <s v="2025-01-15"/>
    <n v="4"/>
    <n v="4493.8500000000004"/>
    <x v="0"/>
    <s v="Discharged"/>
    <x v="2"/>
    <x v="0"/>
  </r>
  <r>
    <x v="1632"/>
    <x v="45"/>
    <x v="0"/>
    <x v="1"/>
    <x v="0"/>
    <s v="2025-08-02"/>
    <s v="2025-08-06"/>
    <n v="4"/>
    <n v="5954.28"/>
    <x v="0"/>
    <s v="Discharged"/>
    <x v="1"/>
    <x v="0"/>
  </r>
  <r>
    <x v="1633"/>
    <x v="59"/>
    <x v="1"/>
    <x v="2"/>
    <x v="2"/>
    <s v="2025-02-19"/>
    <s v="2025-02-27"/>
    <n v="8"/>
    <n v="11147.58"/>
    <x v="0"/>
    <s v="Discharged"/>
    <x v="3"/>
    <x v="1"/>
  </r>
  <r>
    <x v="1634"/>
    <x v="19"/>
    <x v="1"/>
    <x v="2"/>
    <x v="1"/>
    <s v="2025-10-10"/>
    <s v="2025-10-15"/>
    <n v="5"/>
    <n v="11488.04"/>
    <x v="1"/>
    <s v="Discharged"/>
    <x v="2"/>
    <x v="0"/>
  </r>
  <r>
    <x v="1635"/>
    <x v="41"/>
    <x v="1"/>
    <x v="3"/>
    <x v="0"/>
    <s v="2025-10-02"/>
    <s v="2025-10-08"/>
    <n v="6"/>
    <n v="12642.2"/>
    <x v="1"/>
    <s v="Transferred"/>
    <x v="1"/>
    <x v="0"/>
  </r>
  <r>
    <x v="1636"/>
    <x v="66"/>
    <x v="0"/>
    <x v="4"/>
    <x v="2"/>
    <s v="2025-09-29"/>
    <s v="2025-10-07"/>
    <n v="8"/>
    <n v="13298.66"/>
    <x v="1"/>
    <s v="Discharged"/>
    <x v="1"/>
    <x v="1"/>
  </r>
  <r>
    <x v="1637"/>
    <x v="42"/>
    <x v="0"/>
    <x v="1"/>
    <x v="0"/>
    <s v="2025-01-20"/>
    <s v="2025-01-22"/>
    <n v="2"/>
    <n v="6105.06"/>
    <x v="0"/>
    <s v="Discharged"/>
    <x v="4"/>
    <x v="0"/>
  </r>
  <r>
    <x v="1638"/>
    <x v="3"/>
    <x v="0"/>
    <x v="2"/>
    <x v="2"/>
    <s v="2025-07-12"/>
    <s v="2025-07-23"/>
    <n v="11"/>
    <n v="13958.04"/>
    <x v="0"/>
    <s v="Discharged"/>
    <x v="0"/>
    <x v="1"/>
  </r>
  <r>
    <x v="1639"/>
    <x v="12"/>
    <x v="0"/>
    <x v="2"/>
    <x v="2"/>
    <s v="2025-11-24"/>
    <s v="2025-11-30"/>
    <n v="6"/>
    <n v="10830.76"/>
    <x v="0"/>
    <s v="Discharged"/>
    <x v="2"/>
    <x v="0"/>
  </r>
  <r>
    <x v="1640"/>
    <x v="5"/>
    <x v="0"/>
    <x v="5"/>
    <x v="1"/>
    <s v="2025-01-29"/>
    <s v="2025-02-06"/>
    <n v="8"/>
    <n v="12440.07"/>
    <x v="0"/>
    <s v="Other"/>
    <x v="0"/>
    <x v="1"/>
  </r>
  <r>
    <x v="1641"/>
    <x v="68"/>
    <x v="1"/>
    <x v="2"/>
    <x v="1"/>
    <s v="2025-02-09"/>
    <s v="2025-02-15"/>
    <n v="6"/>
    <n v="10008.950000000001"/>
    <x v="1"/>
    <s v="Discharged"/>
    <x v="3"/>
    <x v="0"/>
  </r>
  <r>
    <x v="1642"/>
    <x v="70"/>
    <x v="0"/>
    <x v="3"/>
    <x v="2"/>
    <s v="2025-07-30"/>
    <s v="2025-08-07"/>
    <n v="8"/>
    <n v="14695.89"/>
    <x v="0"/>
    <s v="Discharged"/>
    <x v="1"/>
    <x v="1"/>
  </r>
  <r>
    <x v="1643"/>
    <x v="25"/>
    <x v="0"/>
    <x v="2"/>
    <x v="1"/>
    <s v="2025-10-19"/>
    <s v="2025-10-25"/>
    <n v="6"/>
    <n v="12216.11"/>
    <x v="0"/>
    <s v="Discharged"/>
    <x v="2"/>
    <x v="0"/>
  </r>
  <r>
    <x v="1644"/>
    <x v="5"/>
    <x v="0"/>
    <x v="4"/>
    <x v="2"/>
    <s v="2025-06-17"/>
    <s v="2025-06-24"/>
    <n v="7"/>
    <n v="12821.32"/>
    <x v="0"/>
    <s v="Discharged"/>
    <x v="0"/>
    <x v="0"/>
  </r>
  <r>
    <x v="1645"/>
    <x v="17"/>
    <x v="1"/>
    <x v="2"/>
    <x v="1"/>
    <s v="2025-07-24"/>
    <s v="2025-08-01"/>
    <n v="8"/>
    <n v="11975.04"/>
    <x v="0"/>
    <s v="Discharged"/>
    <x v="2"/>
    <x v="1"/>
  </r>
  <r>
    <x v="1646"/>
    <x v="32"/>
    <x v="0"/>
    <x v="0"/>
    <x v="2"/>
    <s v="2025-01-12"/>
    <s v="2025-01-22"/>
    <n v="10"/>
    <n v="11287.91"/>
    <x v="1"/>
    <s v="Discharged"/>
    <x v="3"/>
    <x v="1"/>
  </r>
  <r>
    <x v="1647"/>
    <x v="37"/>
    <x v="0"/>
    <x v="1"/>
    <x v="2"/>
    <s v="2025-10-20"/>
    <s v="2025-10-26"/>
    <n v="6"/>
    <n v="7775.86"/>
    <x v="0"/>
    <s v="Discharged"/>
    <x v="1"/>
    <x v="0"/>
  </r>
  <r>
    <x v="1648"/>
    <x v="30"/>
    <x v="0"/>
    <x v="0"/>
    <x v="2"/>
    <s v="2025-02-11"/>
    <s v="2025-02-13"/>
    <n v="2"/>
    <n v="2065.5"/>
    <x v="0"/>
    <s v="Discharged"/>
    <x v="0"/>
    <x v="0"/>
  </r>
  <r>
    <x v="1649"/>
    <x v="43"/>
    <x v="0"/>
    <x v="3"/>
    <x v="2"/>
    <s v="2025-01-06"/>
    <s v="2025-01-15"/>
    <n v="9"/>
    <n v="16976.88"/>
    <x v="1"/>
    <s v="Discharged"/>
    <x v="2"/>
    <x v="1"/>
  </r>
  <r>
    <x v="1650"/>
    <x v="10"/>
    <x v="0"/>
    <x v="5"/>
    <x v="1"/>
    <s v="2025-08-25"/>
    <s v="2025-08-28"/>
    <n v="3"/>
    <n v="7434.01"/>
    <x v="1"/>
    <s v="Discharged"/>
    <x v="4"/>
    <x v="0"/>
  </r>
  <r>
    <x v="1651"/>
    <x v="71"/>
    <x v="0"/>
    <x v="0"/>
    <x v="1"/>
    <s v="2025-04-03"/>
    <s v="2025-04-06"/>
    <n v="3"/>
    <n v="7025.98"/>
    <x v="0"/>
    <s v="Discharged"/>
    <x v="1"/>
    <x v="0"/>
  </r>
  <r>
    <x v="1652"/>
    <x v="4"/>
    <x v="0"/>
    <x v="5"/>
    <x v="0"/>
    <s v="2025-12-30"/>
    <s v="2026-01-06"/>
    <n v="7"/>
    <n v="9950.16"/>
    <x v="0"/>
    <s v="Transferred"/>
    <x v="2"/>
    <x v="0"/>
  </r>
  <r>
    <x v="1653"/>
    <x v="38"/>
    <x v="0"/>
    <x v="4"/>
    <x v="1"/>
    <s v="2025-10-01"/>
    <s v="2025-10-09"/>
    <n v="8"/>
    <n v="12703.22"/>
    <x v="0"/>
    <s v="Other"/>
    <x v="0"/>
    <x v="1"/>
  </r>
  <r>
    <x v="1654"/>
    <x v="68"/>
    <x v="1"/>
    <x v="0"/>
    <x v="0"/>
    <s v="2025-08-11"/>
    <s v="2025-08-13"/>
    <n v="2"/>
    <n v="4519.5"/>
    <x v="1"/>
    <s v="Discharged"/>
    <x v="3"/>
    <x v="0"/>
  </r>
  <r>
    <x v="1655"/>
    <x v="59"/>
    <x v="0"/>
    <x v="5"/>
    <x v="2"/>
    <s v="2025-07-25"/>
    <s v="2025-08-02"/>
    <n v="8"/>
    <n v="12014.76"/>
    <x v="0"/>
    <s v="Discharged"/>
    <x v="3"/>
    <x v="1"/>
  </r>
  <r>
    <x v="1656"/>
    <x v="66"/>
    <x v="1"/>
    <x v="4"/>
    <x v="2"/>
    <s v="2025-04-08"/>
    <s v="2025-04-15"/>
    <n v="7"/>
    <n v="12471.18"/>
    <x v="0"/>
    <s v="Discharged"/>
    <x v="1"/>
    <x v="0"/>
  </r>
  <r>
    <x v="1657"/>
    <x v="13"/>
    <x v="1"/>
    <x v="1"/>
    <x v="2"/>
    <s v="2025-12-22"/>
    <s v="2025-12-24"/>
    <n v="2"/>
    <n v="4268.2299999999996"/>
    <x v="0"/>
    <s v="Discharged"/>
    <x v="1"/>
    <x v="0"/>
  </r>
  <r>
    <x v="1658"/>
    <x v="57"/>
    <x v="1"/>
    <x v="0"/>
    <x v="2"/>
    <s v="2025-04-30"/>
    <s v="2025-05-04"/>
    <n v="4"/>
    <n v="7494.29"/>
    <x v="0"/>
    <s v="Transferred"/>
    <x v="3"/>
    <x v="0"/>
  </r>
  <r>
    <x v="1659"/>
    <x v="16"/>
    <x v="1"/>
    <x v="5"/>
    <x v="0"/>
    <s v="2025-11-18"/>
    <s v="2025-11-23"/>
    <n v="5"/>
    <n v="7629.33"/>
    <x v="0"/>
    <s v="Discharged"/>
    <x v="4"/>
    <x v="0"/>
  </r>
  <r>
    <x v="1660"/>
    <x v="66"/>
    <x v="1"/>
    <x v="2"/>
    <x v="1"/>
    <s v="2025-09-16"/>
    <s v="2025-09-24"/>
    <n v="8"/>
    <n v="12264.82"/>
    <x v="1"/>
    <s v="Discharged"/>
    <x v="1"/>
    <x v="1"/>
  </r>
  <r>
    <x v="1661"/>
    <x v="66"/>
    <x v="0"/>
    <x v="5"/>
    <x v="2"/>
    <s v="2025-10-07"/>
    <s v="2025-10-11"/>
    <n v="4"/>
    <n v="8490.85"/>
    <x v="0"/>
    <s v="Discharged"/>
    <x v="1"/>
    <x v="0"/>
  </r>
  <r>
    <x v="1662"/>
    <x v="69"/>
    <x v="0"/>
    <x v="2"/>
    <x v="2"/>
    <s v="2025-06-03"/>
    <s v="2025-06-11"/>
    <n v="8"/>
    <n v="10266.200000000001"/>
    <x v="0"/>
    <s v="Discharged"/>
    <x v="3"/>
    <x v="1"/>
  </r>
  <r>
    <x v="1663"/>
    <x v="8"/>
    <x v="1"/>
    <x v="1"/>
    <x v="0"/>
    <s v="2025-06-15"/>
    <s v="2025-06-19"/>
    <n v="4"/>
    <n v="7209.6"/>
    <x v="0"/>
    <s v="Discharged"/>
    <x v="3"/>
    <x v="0"/>
  </r>
  <r>
    <x v="1664"/>
    <x v="11"/>
    <x v="1"/>
    <x v="2"/>
    <x v="2"/>
    <s v="2025-08-16"/>
    <s v="2025-08-25"/>
    <n v="9"/>
    <n v="14258.73"/>
    <x v="0"/>
    <s v="Discharged"/>
    <x v="2"/>
    <x v="1"/>
  </r>
  <r>
    <x v="1665"/>
    <x v="56"/>
    <x v="0"/>
    <x v="0"/>
    <x v="2"/>
    <s v="2025-01-21"/>
    <s v="2025-01-25"/>
    <n v="4"/>
    <n v="5236.05"/>
    <x v="0"/>
    <s v="Discharged"/>
    <x v="0"/>
    <x v="0"/>
  </r>
  <r>
    <x v="1666"/>
    <x v="10"/>
    <x v="1"/>
    <x v="4"/>
    <x v="1"/>
    <s v="2025-02-09"/>
    <s v="2025-02-18"/>
    <n v="9"/>
    <n v="17048.419999999998"/>
    <x v="0"/>
    <s v="Discharged"/>
    <x v="4"/>
    <x v="1"/>
  </r>
  <r>
    <x v="1667"/>
    <x v="19"/>
    <x v="1"/>
    <x v="1"/>
    <x v="2"/>
    <s v="2025-01-25"/>
    <s v="2025-01-28"/>
    <n v="3"/>
    <n v="7049.93"/>
    <x v="0"/>
    <s v="Discharged"/>
    <x v="2"/>
    <x v="0"/>
  </r>
  <r>
    <x v="1668"/>
    <x v="42"/>
    <x v="1"/>
    <x v="4"/>
    <x v="2"/>
    <s v="2025-01-18"/>
    <s v="2025-01-20"/>
    <n v="2"/>
    <n v="8167.8"/>
    <x v="0"/>
    <s v="Discharged"/>
    <x v="4"/>
    <x v="0"/>
  </r>
  <r>
    <x v="1669"/>
    <x v="33"/>
    <x v="0"/>
    <x v="3"/>
    <x v="0"/>
    <s v="2025-09-25"/>
    <s v="2025-10-04"/>
    <n v="9"/>
    <n v="13758.73"/>
    <x v="0"/>
    <s v="Discharged"/>
    <x v="2"/>
    <x v="1"/>
  </r>
  <r>
    <x v="1670"/>
    <x v="32"/>
    <x v="1"/>
    <x v="4"/>
    <x v="0"/>
    <s v="2025-10-14"/>
    <s v="2025-10-19"/>
    <n v="5"/>
    <n v="9584.4500000000007"/>
    <x v="0"/>
    <s v="Transferred"/>
    <x v="3"/>
    <x v="0"/>
  </r>
  <r>
    <x v="1671"/>
    <x v="58"/>
    <x v="1"/>
    <x v="2"/>
    <x v="2"/>
    <s v="2025-10-25"/>
    <s v="2025-11-04"/>
    <n v="10"/>
    <n v="12448.39"/>
    <x v="1"/>
    <s v="Discharged"/>
    <x v="2"/>
    <x v="1"/>
  </r>
  <r>
    <x v="1672"/>
    <x v="16"/>
    <x v="1"/>
    <x v="1"/>
    <x v="1"/>
    <s v="2025-06-03"/>
    <s v="2025-06-05"/>
    <n v="2"/>
    <n v="6155.72"/>
    <x v="0"/>
    <s v="Discharged"/>
    <x v="4"/>
    <x v="0"/>
  </r>
  <r>
    <x v="1673"/>
    <x v="69"/>
    <x v="2"/>
    <x v="1"/>
    <x v="2"/>
    <s v="2025-11-19"/>
    <s v="2025-11-29"/>
    <n v="10"/>
    <n v="10343.98"/>
    <x v="1"/>
    <s v="Discharged"/>
    <x v="3"/>
    <x v="1"/>
  </r>
  <r>
    <x v="1674"/>
    <x v="29"/>
    <x v="0"/>
    <x v="1"/>
    <x v="2"/>
    <s v="2025-10-10"/>
    <s v="2025-10-19"/>
    <n v="9"/>
    <n v="9678.64"/>
    <x v="0"/>
    <s v="Discharged"/>
    <x v="3"/>
    <x v="1"/>
  </r>
  <r>
    <x v="1675"/>
    <x v="58"/>
    <x v="1"/>
    <x v="0"/>
    <x v="0"/>
    <s v="2025-07-01"/>
    <s v="2025-07-08"/>
    <n v="7"/>
    <n v="7717.9"/>
    <x v="0"/>
    <s v="Discharged"/>
    <x v="2"/>
    <x v="0"/>
  </r>
  <r>
    <x v="1676"/>
    <x v="12"/>
    <x v="1"/>
    <x v="0"/>
    <x v="0"/>
    <s v="2025-06-18"/>
    <s v="2025-06-23"/>
    <n v="5"/>
    <n v="7643.82"/>
    <x v="0"/>
    <s v="Discharged"/>
    <x v="2"/>
    <x v="0"/>
  </r>
  <r>
    <x v="1677"/>
    <x v="15"/>
    <x v="0"/>
    <x v="4"/>
    <x v="2"/>
    <s v="2025-02-17"/>
    <s v="2025-02-27"/>
    <n v="10"/>
    <n v="13110.13"/>
    <x v="0"/>
    <s v="Discharged"/>
    <x v="1"/>
    <x v="1"/>
  </r>
  <r>
    <x v="1678"/>
    <x v="14"/>
    <x v="1"/>
    <x v="4"/>
    <x v="2"/>
    <s v="2025-10-15"/>
    <s v="2025-10-23"/>
    <n v="8"/>
    <n v="12826.73"/>
    <x v="0"/>
    <s v="Discharged"/>
    <x v="0"/>
    <x v="1"/>
  </r>
  <r>
    <x v="1679"/>
    <x v="30"/>
    <x v="0"/>
    <x v="3"/>
    <x v="2"/>
    <s v="2025-10-15"/>
    <m/>
    <n v="3"/>
    <n v="11547.84"/>
    <x v="0"/>
    <s v="Discharged"/>
    <x v="0"/>
    <x v="0"/>
  </r>
  <r>
    <x v="1680"/>
    <x v="17"/>
    <x v="1"/>
    <x v="0"/>
    <x v="2"/>
    <s v="2025-08-03"/>
    <s v="2025-08-10"/>
    <n v="7"/>
    <n v="11673.73"/>
    <x v="0"/>
    <s v="Discharged"/>
    <x v="2"/>
    <x v="0"/>
  </r>
  <r>
    <x v="1681"/>
    <x v="48"/>
    <x v="1"/>
    <x v="1"/>
    <x v="0"/>
    <s v="2025-01-30"/>
    <s v="2025-02-01"/>
    <n v="2"/>
    <n v="1333.05"/>
    <x v="0"/>
    <s v="Discharged"/>
    <x v="0"/>
    <x v="0"/>
  </r>
  <r>
    <x v="1682"/>
    <x v="16"/>
    <x v="0"/>
    <x v="1"/>
    <x v="1"/>
    <s v="2025-12-12"/>
    <s v="2025-12-16"/>
    <n v="4"/>
    <n v="5200.87"/>
    <x v="0"/>
    <s v="Discharged"/>
    <x v="4"/>
    <x v="0"/>
  </r>
  <r>
    <x v="1683"/>
    <x v="54"/>
    <x v="1"/>
    <x v="0"/>
    <x v="0"/>
    <s v="2025-11-05"/>
    <s v="2025-11-09"/>
    <n v="4"/>
    <n v="5664.77"/>
    <x v="0"/>
    <s v="Discharged"/>
    <x v="2"/>
    <x v="0"/>
  </r>
  <r>
    <x v="1684"/>
    <x v="25"/>
    <x v="0"/>
    <x v="1"/>
    <x v="1"/>
    <s v="2025-08-09"/>
    <s v="2025-08-12"/>
    <n v="3"/>
    <n v="4049.84"/>
    <x v="0"/>
    <s v="Discharged"/>
    <x v="2"/>
    <x v="0"/>
  </r>
  <r>
    <x v="1685"/>
    <x v="54"/>
    <x v="1"/>
    <x v="5"/>
    <x v="2"/>
    <s v="2025-11-15"/>
    <s v="2025-11-22"/>
    <n v="7"/>
    <n v="12091.28"/>
    <x v="0"/>
    <s v="Discharged"/>
    <x v="2"/>
    <x v="0"/>
  </r>
  <r>
    <x v="1686"/>
    <x v="5"/>
    <x v="1"/>
    <x v="0"/>
    <x v="0"/>
    <s v="2025-02-18"/>
    <s v="2025-02-20"/>
    <n v="2"/>
    <n v="3774.62"/>
    <x v="0"/>
    <s v="Discharged"/>
    <x v="0"/>
    <x v="0"/>
  </r>
  <r>
    <x v="1687"/>
    <x v="20"/>
    <x v="1"/>
    <x v="0"/>
    <x v="2"/>
    <s v="2025-08-06"/>
    <s v="2025-08-10"/>
    <n v="4"/>
    <n v="7021.03"/>
    <x v="0"/>
    <s v="Discharged"/>
    <x v="0"/>
    <x v="0"/>
  </r>
  <r>
    <x v="1688"/>
    <x v="18"/>
    <x v="1"/>
    <x v="0"/>
    <x v="2"/>
    <s v="2025-02-14"/>
    <s v="2025-02-20"/>
    <n v="6"/>
    <n v="7227.61"/>
    <x v="0"/>
    <s v="Discharged"/>
    <x v="3"/>
    <x v="0"/>
  </r>
  <r>
    <x v="1689"/>
    <x v="8"/>
    <x v="0"/>
    <x v="2"/>
    <x v="2"/>
    <s v="2025-03-13"/>
    <s v="2025-03-16"/>
    <n v="3"/>
    <n v="8419.61"/>
    <x v="0"/>
    <s v="Discharged"/>
    <x v="3"/>
    <x v="0"/>
  </r>
  <r>
    <x v="1690"/>
    <x v="32"/>
    <x v="2"/>
    <x v="1"/>
    <x v="2"/>
    <s v="2025-12-01"/>
    <s v="2025-12-09"/>
    <n v="8"/>
    <n v="6516.93"/>
    <x v="0"/>
    <s v="Discharged"/>
    <x v="3"/>
    <x v="1"/>
  </r>
  <r>
    <x v="1691"/>
    <x v="30"/>
    <x v="1"/>
    <x v="1"/>
    <x v="2"/>
    <s v="2025-10-15"/>
    <s v="2025-10-19"/>
    <n v="4"/>
    <n v="5361.31"/>
    <x v="0"/>
    <s v="Discharged"/>
    <x v="0"/>
    <x v="0"/>
  </r>
  <r>
    <x v="1692"/>
    <x v="65"/>
    <x v="1"/>
    <x v="4"/>
    <x v="2"/>
    <s v="2025-07-19"/>
    <s v="2025-07-27"/>
    <n v="8"/>
    <n v="15699.59"/>
    <x v="0"/>
    <s v="Discharged"/>
    <x v="3"/>
    <x v="1"/>
  </r>
  <r>
    <x v="1693"/>
    <x v="43"/>
    <x v="0"/>
    <x v="5"/>
    <x v="2"/>
    <s v="2025-11-22"/>
    <s v="2025-11-26"/>
    <n v="4"/>
    <n v="7817.35"/>
    <x v="1"/>
    <s v="Other"/>
    <x v="2"/>
    <x v="0"/>
  </r>
  <r>
    <x v="1694"/>
    <x v="66"/>
    <x v="0"/>
    <x v="1"/>
    <x v="1"/>
    <s v="2025-06-09"/>
    <s v="2025-06-13"/>
    <n v="4"/>
    <n v="3527.31"/>
    <x v="0"/>
    <s v="Discharged"/>
    <x v="1"/>
    <x v="0"/>
  </r>
  <r>
    <x v="1695"/>
    <x v="50"/>
    <x v="1"/>
    <x v="5"/>
    <x v="2"/>
    <s v="2025-04-27"/>
    <s v="2025-05-01"/>
    <n v="4"/>
    <n v="10811.79"/>
    <x v="0"/>
    <s v="Discharged"/>
    <x v="0"/>
    <x v="0"/>
  </r>
  <r>
    <x v="1696"/>
    <x v="49"/>
    <x v="2"/>
    <x v="1"/>
    <x v="2"/>
    <s v="2025-07-30"/>
    <s v="2025-08-03"/>
    <n v="4"/>
    <n v="5905.42"/>
    <x v="0"/>
    <s v="Discharged"/>
    <x v="0"/>
    <x v="0"/>
  </r>
  <r>
    <x v="1697"/>
    <x v="15"/>
    <x v="0"/>
    <x v="0"/>
    <x v="2"/>
    <s v="2025-12-24"/>
    <s v="2025-12-30"/>
    <n v="6"/>
    <n v="7447.44"/>
    <x v="0"/>
    <s v="Discharged"/>
    <x v="1"/>
    <x v="0"/>
  </r>
  <r>
    <x v="1698"/>
    <x v="37"/>
    <x v="1"/>
    <x v="1"/>
    <x v="2"/>
    <s v="2025-01-02"/>
    <m/>
    <n v="3"/>
    <n v="2913.24"/>
    <x v="0"/>
    <s v="Discharged"/>
    <x v="1"/>
    <x v="0"/>
  </r>
  <r>
    <x v="1699"/>
    <x v="46"/>
    <x v="1"/>
    <x v="0"/>
    <x v="0"/>
    <s v="2025-04-11"/>
    <s v="2025-04-16"/>
    <n v="5"/>
    <n v="6476.94"/>
    <x v="0"/>
    <s v="Discharged"/>
    <x v="1"/>
    <x v="0"/>
  </r>
  <r>
    <x v="1700"/>
    <x v="42"/>
    <x v="2"/>
    <x v="0"/>
    <x v="2"/>
    <s v="2025-05-25"/>
    <s v="2025-05-29"/>
    <n v="4"/>
    <n v="7376.34"/>
    <x v="0"/>
    <s v="Discharged"/>
    <x v="4"/>
    <x v="0"/>
  </r>
  <r>
    <x v="1701"/>
    <x v="35"/>
    <x v="1"/>
    <x v="5"/>
    <x v="1"/>
    <s v="2025-02-15"/>
    <s v="2025-02-21"/>
    <n v="6"/>
    <n v="12774.38"/>
    <x v="1"/>
    <s v="Discharged"/>
    <x v="4"/>
    <x v="0"/>
  </r>
  <r>
    <x v="1702"/>
    <x v="67"/>
    <x v="0"/>
    <x v="4"/>
    <x v="1"/>
    <s v="2025-10-28"/>
    <s v="2025-11-06"/>
    <n v="9"/>
    <n v="15087.38"/>
    <x v="1"/>
    <s v="Discharged"/>
    <x v="3"/>
    <x v="1"/>
  </r>
  <r>
    <x v="1703"/>
    <x v="63"/>
    <x v="1"/>
    <x v="5"/>
    <x v="2"/>
    <s v="2025-05-26"/>
    <s v="2025-05-31"/>
    <n v="5"/>
    <n v="9464.3799999999992"/>
    <x v="0"/>
    <s v="Discharged"/>
    <x v="3"/>
    <x v="0"/>
  </r>
  <r>
    <x v="1704"/>
    <x v="60"/>
    <x v="0"/>
    <x v="4"/>
    <x v="0"/>
    <s v="2025-05-30"/>
    <s v="2025-06-06"/>
    <n v="7"/>
    <n v="11970.43"/>
    <x v="0"/>
    <s v="Discharged"/>
    <x v="3"/>
    <x v="0"/>
  </r>
  <r>
    <x v="1705"/>
    <x v="48"/>
    <x v="0"/>
    <x v="0"/>
    <x v="2"/>
    <s v="2025-06-10"/>
    <s v="2025-06-16"/>
    <n v="6"/>
    <n v="10018.379999999999"/>
    <x v="0"/>
    <s v="Discharged"/>
    <x v="0"/>
    <x v="0"/>
  </r>
  <r>
    <x v="1706"/>
    <x v="27"/>
    <x v="1"/>
    <x v="0"/>
    <x v="2"/>
    <s v="2025-01-03"/>
    <s v="2025-01-04"/>
    <n v="1"/>
    <n v="4440.78"/>
    <x v="0"/>
    <s v="Discharged"/>
    <x v="1"/>
    <x v="0"/>
  </r>
  <r>
    <x v="1707"/>
    <x v="1"/>
    <x v="0"/>
    <x v="1"/>
    <x v="0"/>
    <s v="2025-05-19"/>
    <s v="2025-05-23"/>
    <n v="4"/>
    <n v="4904.59"/>
    <x v="1"/>
    <s v="Discharged"/>
    <x v="0"/>
    <x v="0"/>
  </r>
  <r>
    <x v="1708"/>
    <x v="33"/>
    <x v="1"/>
    <x v="3"/>
    <x v="2"/>
    <s v="2025-07-13"/>
    <s v="2025-07-21"/>
    <n v="8"/>
    <n v="14108.95"/>
    <x v="0"/>
    <s v="Discharged"/>
    <x v="2"/>
    <x v="1"/>
  </r>
  <r>
    <x v="1709"/>
    <x v="21"/>
    <x v="0"/>
    <x v="3"/>
    <x v="0"/>
    <s v="2025-04-22"/>
    <s v="2025-04-23"/>
    <n v="1"/>
    <n v="12146.11"/>
    <x v="0"/>
    <s v="Discharged"/>
    <x v="4"/>
    <x v="0"/>
  </r>
  <r>
    <x v="1710"/>
    <x v="26"/>
    <x v="0"/>
    <x v="2"/>
    <x v="2"/>
    <s v="2025-01-05"/>
    <s v="2025-01-15"/>
    <n v="10"/>
    <n v="16872.93"/>
    <x v="0"/>
    <s v="Discharged"/>
    <x v="3"/>
    <x v="1"/>
  </r>
  <r>
    <x v="1711"/>
    <x v="28"/>
    <x v="1"/>
    <x v="5"/>
    <x v="2"/>
    <s v="2025-05-17"/>
    <s v="2025-05-24"/>
    <n v="7"/>
    <n v="10429.89"/>
    <x v="0"/>
    <s v="Discharged"/>
    <x v="4"/>
    <x v="0"/>
  </r>
  <r>
    <x v="1712"/>
    <x v="3"/>
    <x v="1"/>
    <x v="0"/>
    <x v="0"/>
    <s v="2025-03-26"/>
    <s v="2025-03-31"/>
    <n v="5"/>
    <n v="7022.13"/>
    <x v="0"/>
    <s v="Discharged"/>
    <x v="0"/>
    <x v="0"/>
  </r>
  <r>
    <x v="1713"/>
    <x v="68"/>
    <x v="1"/>
    <x v="0"/>
    <x v="2"/>
    <s v="2025-09-08"/>
    <s v="2025-09-13"/>
    <n v="5"/>
    <n v="7080.46"/>
    <x v="0"/>
    <s v="Discharged"/>
    <x v="3"/>
    <x v="0"/>
  </r>
  <r>
    <x v="1714"/>
    <x v="55"/>
    <x v="1"/>
    <x v="5"/>
    <x v="0"/>
    <s v="2025-04-02"/>
    <s v="2025-04-05"/>
    <n v="3"/>
    <n v="5596.21"/>
    <x v="0"/>
    <s v="Discharged"/>
    <x v="4"/>
    <x v="0"/>
  </r>
  <r>
    <x v="1715"/>
    <x v="27"/>
    <x v="0"/>
    <x v="4"/>
    <x v="1"/>
    <s v="2025-04-29"/>
    <s v="2025-05-08"/>
    <n v="9"/>
    <n v="15896.35"/>
    <x v="0"/>
    <s v="Discharged"/>
    <x v="1"/>
    <x v="1"/>
  </r>
  <r>
    <x v="1716"/>
    <x v="8"/>
    <x v="1"/>
    <x v="2"/>
    <x v="2"/>
    <s v="2025-10-25"/>
    <s v="2025-11-02"/>
    <n v="8"/>
    <n v="11372.83"/>
    <x v="1"/>
    <s v="Discharged"/>
    <x v="3"/>
    <x v="1"/>
  </r>
  <r>
    <x v="1717"/>
    <x v="33"/>
    <x v="1"/>
    <x v="1"/>
    <x v="2"/>
    <s v="2025-03-29"/>
    <s v="2025-04-03"/>
    <n v="5"/>
    <n v="7672.21"/>
    <x v="0"/>
    <s v="Discharged"/>
    <x v="2"/>
    <x v="0"/>
  </r>
  <r>
    <x v="1718"/>
    <x v="18"/>
    <x v="0"/>
    <x v="0"/>
    <x v="1"/>
    <s v="2025-03-31"/>
    <s v="2025-04-08"/>
    <n v="8"/>
    <n v="9958.65"/>
    <x v="0"/>
    <s v="Discharged"/>
    <x v="3"/>
    <x v="1"/>
  </r>
  <r>
    <x v="1719"/>
    <x v="35"/>
    <x v="0"/>
    <x v="0"/>
    <x v="1"/>
    <s v="2025-06-08"/>
    <s v="2025-06-13"/>
    <n v="5"/>
    <n v="8383.98"/>
    <x v="0"/>
    <s v="Discharged"/>
    <x v="4"/>
    <x v="0"/>
  </r>
  <r>
    <x v="1720"/>
    <x v="24"/>
    <x v="1"/>
    <x v="3"/>
    <x v="2"/>
    <s v="2025-06-22"/>
    <s v="2025-07-01"/>
    <n v="9"/>
    <n v="15519.48"/>
    <x v="0"/>
    <s v="Discharged"/>
    <x v="2"/>
    <x v="1"/>
  </r>
  <r>
    <x v="1721"/>
    <x v="34"/>
    <x v="1"/>
    <x v="1"/>
    <x v="0"/>
    <s v="2025-05-24"/>
    <s v="2025-05-28"/>
    <n v="4"/>
    <n v="5555.31"/>
    <x v="0"/>
    <s v="Discharged"/>
    <x v="2"/>
    <x v="0"/>
  </r>
  <r>
    <x v="1722"/>
    <x v="60"/>
    <x v="1"/>
    <x v="5"/>
    <x v="2"/>
    <s v="2025-05-09"/>
    <s v="2025-05-16"/>
    <n v="7"/>
    <n v="8739.91"/>
    <x v="1"/>
    <s v="Discharged"/>
    <x v="3"/>
    <x v="0"/>
  </r>
  <r>
    <x v="1723"/>
    <x v="35"/>
    <x v="1"/>
    <x v="1"/>
    <x v="1"/>
    <s v="2025-05-14"/>
    <s v="2025-05-16"/>
    <n v="2"/>
    <n v="4719.08"/>
    <x v="0"/>
    <s v="Discharged"/>
    <x v="4"/>
    <x v="0"/>
  </r>
  <r>
    <x v="1724"/>
    <x v="65"/>
    <x v="0"/>
    <x v="5"/>
    <x v="1"/>
    <s v="2025-01-01"/>
    <s v="2025-01-09"/>
    <n v="8"/>
    <n v="11922.93"/>
    <x v="1"/>
    <s v="Discharged"/>
    <x v="3"/>
    <x v="1"/>
  </r>
  <r>
    <x v="1725"/>
    <x v="10"/>
    <x v="1"/>
    <x v="1"/>
    <x v="1"/>
    <s v="2025-02-10"/>
    <s v="2025-02-11"/>
    <n v="1"/>
    <n v="5840.44"/>
    <x v="0"/>
    <s v="Discharged"/>
    <x v="4"/>
    <x v="0"/>
  </r>
  <r>
    <x v="1726"/>
    <x v="30"/>
    <x v="1"/>
    <x v="4"/>
    <x v="0"/>
    <s v="2025-10-27"/>
    <s v="2025-11-02"/>
    <n v="6"/>
    <n v="9009.4699999999993"/>
    <x v="1"/>
    <s v="Discharged"/>
    <x v="0"/>
    <x v="0"/>
  </r>
  <r>
    <x v="1727"/>
    <x v="51"/>
    <x v="0"/>
    <x v="0"/>
    <x v="2"/>
    <s v="2025-05-27"/>
    <s v="2025-05-30"/>
    <n v="3"/>
    <n v="5404.86"/>
    <x v="0"/>
    <s v="Discharged"/>
    <x v="1"/>
    <x v="0"/>
  </r>
  <r>
    <x v="1728"/>
    <x v="43"/>
    <x v="1"/>
    <x v="5"/>
    <x v="0"/>
    <s v="2025-09-24"/>
    <s v="2025-09-28"/>
    <n v="4"/>
    <n v="9097.4599999999991"/>
    <x v="0"/>
    <s v="Discharged"/>
    <x v="2"/>
    <x v="0"/>
  </r>
  <r>
    <x v="1729"/>
    <x v="29"/>
    <x v="1"/>
    <x v="5"/>
    <x v="1"/>
    <s v="2025-09-01"/>
    <s v="2025-09-05"/>
    <n v="4"/>
    <n v="7973.29"/>
    <x v="1"/>
    <s v="Discharged"/>
    <x v="3"/>
    <x v="0"/>
  </r>
  <r>
    <x v="1730"/>
    <x v="19"/>
    <x v="1"/>
    <x v="5"/>
    <x v="0"/>
    <s v="2025-08-13"/>
    <s v="2025-08-18"/>
    <n v="5"/>
    <n v="9823.34"/>
    <x v="1"/>
    <s v="Discharged"/>
    <x v="2"/>
    <x v="0"/>
  </r>
  <r>
    <x v="1731"/>
    <x v="37"/>
    <x v="1"/>
    <x v="3"/>
    <x v="1"/>
    <s v="2025-09-18"/>
    <s v="2025-09-27"/>
    <n v="9"/>
    <n v="17922.439999999999"/>
    <x v="1"/>
    <s v="Discharged"/>
    <x v="1"/>
    <x v="1"/>
  </r>
  <r>
    <x v="1732"/>
    <x v="53"/>
    <x v="1"/>
    <x v="4"/>
    <x v="2"/>
    <s v="2025-12-10"/>
    <s v="2025-12-19"/>
    <n v="9"/>
    <n v="12416"/>
    <x v="1"/>
    <s v="Discharged"/>
    <x v="4"/>
    <x v="1"/>
  </r>
  <r>
    <x v="1733"/>
    <x v="18"/>
    <x v="1"/>
    <x v="5"/>
    <x v="2"/>
    <s v="2025-09-21"/>
    <s v="2025-09-25"/>
    <n v="4"/>
    <n v="9698.76"/>
    <x v="0"/>
    <s v="Discharged"/>
    <x v="3"/>
    <x v="0"/>
  </r>
  <r>
    <x v="1734"/>
    <x v="43"/>
    <x v="0"/>
    <x v="4"/>
    <x v="2"/>
    <s v="2025-06-11"/>
    <s v="2025-06-21"/>
    <n v="10"/>
    <n v="13012.28"/>
    <x v="0"/>
    <s v="Discharged"/>
    <x v="2"/>
    <x v="1"/>
  </r>
  <r>
    <x v="1735"/>
    <x v="16"/>
    <x v="0"/>
    <x v="0"/>
    <x v="2"/>
    <s v="2025-01-06"/>
    <s v="2025-01-13"/>
    <n v="7"/>
    <n v="10001.780000000001"/>
    <x v="0"/>
    <s v="Discharged"/>
    <x v="4"/>
    <x v="0"/>
  </r>
  <r>
    <x v="1736"/>
    <x v="60"/>
    <x v="2"/>
    <x v="4"/>
    <x v="2"/>
    <s v="2025-11-18"/>
    <s v="2025-11-24"/>
    <n v="6"/>
    <n v="12621.12"/>
    <x v="1"/>
    <s v="Discharged"/>
    <x v="3"/>
    <x v="0"/>
  </r>
  <r>
    <x v="1737"/>
    <x v="19"/>
    <x v="0"/>
    <x v="1"/>
    <x v="2"/>
    <s v="2025-11-11"/>
    <s v="2025-11-18"/>
    <n v="7"/>
    <n v="9414.59"/>
    <x v="0"/>
    <s v="Discharged"/>
    <x v="2"/>
    <x v="0"/>
  </r>
  <r>
    <x v="1738"/>
    <x v="50"/>
    <x v="0"/>
    <x v="5"/>
    <x v="2"/>
    <s v="2025-06-20"/>
    <s v="2025-06-22"/>
    <n v="2"/>
    <n v="8866.0499999999993"/>
    <x v="0"/>
    <s v="Discharged"/>
    <x v="0"/>
    <x v="0"/>
  </r>
  <r>
    <x v="1739"/>
    <x v="14"/>
    <x v="2"/>
    <x v="5"/>
    <x v="0"/>
    <s v="2025-11-14"/>
    <s v="2025-11-21"/>
    <n v="7"/>
    <n v="8327.73"/>
    <x v="0"/>
    <s v="Discharged"/>
    <x v="0"/>
    <x v="0"/>
  </r>
  <r>
    <x v="1740"/>
    <x v="41"/>
    <x v="1"/>
    <x v="0"/>
    <x v="2"/>
    <s v="2025-02-21"/>
    <s v="2025-02-27"/>
    <n v="6"/>
    <n v="6624"/>
    <x v="0"/>
    <s v="Discharged"/>
    <x v="1"/>
    <x v="0"/>
  </r>
  <r>
    <x v="1741"/>
    <x v="65"/>
    <x v="0"/>
    <x v="0"/>
    <x v="2"/>
    <s v="2025-01-23"/>
    <s v="2025-02-01"/>
    <n v="9"/>
    <n v="10321.86"/>
    <x v="1"/>
    <s v="Discharged"/>
    <x v="3"/>
    <x v="1"/>
  </r>
  <r>
    <x v="1742"/>
    <x v="10"/>
    <x v="1"/>
    <x v="4"/>
    <x v="0"/>
    <s v="2025-08-28"/>
    <s v="2025-09-05"/>
    <n v="8"/>
    <n v="13629.1"/>
    <x v="0"/>
    <s v="Discharged"/>
    <x v="4"/>
    <x v="1"/>
  </r>
  <r>
    <x v="1743"/>
    <x v="12"/>
    <x v="0"/>
    <x v="1"/>
    <x v="0"/>
    <s v="2025-03-23"/>
    <s v="2025-03-25"/>
    <n v="2"/>
    <n v="5366.92"/>
    <x v="1"/>
    <s v="Discharged"/>
    <x v="2"/>
    <x v="0"/>
  </r>
  <r>
    <x v="1744"/>
    <x v="28"/>
    <x v="1"/>
    <x v="5"/>
    <x v="2"/>
    <s v="2025-07-03"/>
    <s v="2025-07-10"/>
    <n v="7"/>
    <n v="12897.58"/>
    <x v="0"/>
    <s v="Discharged"/>
    <x v="4"/>
    <x v="0"/>
  </r>
  <r>
    <x v="1745"/>
    <x v="42"/>
    <x v="0"/>
    <x v="3"/>
    <x v="1"/>
    <s v="2025-02-02"/>
    <s v="2025-02-11"/>
    <n v="9"/>
    <n v="16530.98"/>
    <x v="0"/>
    <s v="Discharged"/>
    <x v="4"/>
    <x v="1"/>
  </r>
  <r>
    <x v="1746"/>
    <x v="24"/>
    <x v="0"/>
    <x v="1"/>
    <x v="2"/>
    <s v="2025-11-23"/>
    <s v="2025-11-26"/>
    <n v="3"/>
    <n v="4183"/>
    <x v="0"/>
    <s v="Discharged"/>
    <x v="2"/>
    <x v="0"/>
  </r>
  <r>
    <x v="1747"/>
    <x v="3"/>
    <x v="0"/>
    <x v="0"/>
    <x v="0"/>
    <s v="2025-03-29"/>
    <s v="2025-03-31"/>
    <n v="2"/>
    <n v="3571.43"/>
    <x v="0"/>
    <s v="Discharged"/>
    <x v="0"/>
    <x v="0"/>
  </r>
  <r>
    <x v="1748"/>
    <x v="45"/>
    <x v="0"/>
    <x v="5"/>
    <x v="0"/>
    <s v="2025-10-13"/>
    <s v="2025-10-17"/>
    <n v="4"/>
    <n v="11552.44"/>
    <x v="0"/>
    <s v="Discharged"/>
    <x v="1"/>
    <x v="0"/>
  </r>
  <r>
    <x v="1749"/>
    <x v="32"/>
    <x v="1"/>
    <x v="0"/>
    <x v="0"/>
    <s v="2025-06-01"/>
    <s v="2025-06-10"/>
    <n v="9"/>
    <n v="10848.54"/>
    <x v="0"/>
    <s v="Discharged"/>
    <x v="3"/>
    <x v="1"/>
  </r>
  <r>
    <x v="1750"/>
    <x v="6"/>
    <x v="0"/>
    <x v="1"/>
    <x v="2"/>
    <s v="2025-05-11"/>
    <s v="2025-05-16"/>
    <n v="5"/>
    <n v="6690.62"/>
    <x v="0"/>
    <s v="Discharged"/>
    <x v="3"/>
    <x v="0"/>
  </r>
  <r>
    <x v="1751"/>
    <x v="70"/>
    <x v="1"/>
    <x v="3"/>
    <x v="2"/>
    <s v="2025-10-26"/>
    <s v="2025-10-27"/>
    <n v="1"/>
    <n v="11141.1"/>
    <x v="0"/>
    <s v="Discharged"/>
    <x v="1"/>
    <x v="0"/>
  </r>
  <r>
    <x v="1752"/>
    <x v="45"/>
    <x v="0"/>
    <x v="4"/>
    <x v="2"/>
    <s v="2025-07-12"/>
    <s v="2025-07-19"/>
    <n v="7"/>
    <n v="10231.76"/>
    <x v="0"/>
    <s v="Discharged"/>
    <x v="1"/>
    <x v="0"/>
  </r>
  <r>
    <x v="1753"/>
    <x v="40"/>
    <x v="0"/>
    <x v="1"/>
    <x v="2"/>
    <s v="2025-12-11"/>
    <s v="2025-12-16"/>
    <n v="5"/>
    <n v="6756.45"/>
    <x v="0"/>
    <s v="Discharged"/>
    <x v="1"/>
    <x v="0"/>
  </r>
  <r>
    <x v="1754"/>
    <x v="55"/>
    <x v="1"/>
    <x v="0"/>
    <x v="0"/>
    <s v="2025-04-02"/>
    <s v="2025-04-04"/>
    <n v="2"/>
    <n v="5221.4799999999996"/>
    <x v="0"/>
    <s v="Discharged"/>
    <x v="4"/>
    <x v="0"/>
  </r>
  <r>
    <x v="1755"/>
    <x v="22"/>
    <x v="0"/>
    <x v="4"/>
    <x v="2"/>
    <s v="2025-05-13"/>
    <s v="2025-05-23"/>
    <n v="10"/>
    <n v="12294.74"/>
    <x v="0"/>
    <s v="Discharged"/>
    <x v="3"/>
    <x v="1"/>
  </r>
  <r>
    <x v="1756"/>
    <x v="6"/>
    <x v="0"/>
    <x v="5"/>
    <x v="2"/>
    <s v="2025-04-13"/>
    <s v="2025-04-15"/>
    <n v="2"/>
    <n v="10615.22"/>
    <x v="0"/>
    <s v="Discharged"/>
    <x v="3"/>
    <x v="0"/>
  </r>
  <r>
    <x v="1757"/>
    <x v="71"/>
    <x v="0"/>
    <x v="3"/>
    <x v="2"/>
    <s v="2025-02-11"/>
    <s v="2025-02-17"/>
    <n v="6"/>
    <n v="10776.44"/>
    <x v="0"/>
    <s v="Discharged"/>
    <x v="1"/>
    <x v="0"/>
  </r>
  <r>
    <x v="1758"/>
    <x v="13"/>
    <x v="0"/>
    <x v="2"/>
    <x v="2"/>
    <s v="2025-12-05"/>
    <s v="2025-12-14"/>
    <n v="9"/>
    <n v="14061.37"/>
    <x v="0"/>
    <s v="Transferred"/>
    <x v="1"/>
    <x v="1"/>
  </r>
  <r>
    <x v="1759"/>
    <x v="57"/>
    <x v="0"/>
    <x v="1"/>
    <x v="1"/>
    <s v="2025-01-23"/>
    <s v="2025-01-24"/>
    <n v="1"/>
    <n v="3938.69"/>
    <x v="0"/>
    <s v="Discharged"/>
    <x v="3"/>
    <x v="0"/>
  </r>
  <r>
    <x v="1760"/>
    <x v="25"/>
    <x v="1"/>
    <x v="3"/>
    <x v="2"/>
    <s v="2025-09-20"/>
    <s v="2025-09-25"/>
    <n v="5"/>
    <n v="13477.86"/>
    <x v="0"/>
    <s v="Discharged"/>
    <x v="2"/>
    <x v="0"/>
  </r>
  <r>
    <x v="1761"/>
    <x v="46"/>
    <x v="0"/>
    <x v="2"/>
    <x v="0"/>
    <s v="2025-12-24"/>
    <s v="2025-12-30"/>
    <n v="6"/>
    <n v="8191.8"/>
    <x v="0"/>
    <s v="Discharged"/>
    <x v="1"/>
    <x v="0"/>
  </r>
  <r>
    <x v="1762"/>
    <x v="32"/>
    <x v="1"/>
    <x v="1"/>
    <x v="0"/>
    <s v="2025-06-02"/>
    <s v="2025-06-04"/>
    <n v="2"/>
    <n v="3174.55"/>
    <x v="0"/>
    <s v="Discharged"/>
    <x v="3"/>
    <x v="0"/>
  </r>
  <r>
    <x v="1763"/>
    <x v="2"/>
    <x v="1"/>
    <x v="0"/>
    <x v="1"/>
    <s v="2025-06-29"/>
    <s v="2025-07-05"/>
    <n v="6"/>
    <n v="7580.99"/>
    <x v="0"/>
    <s v="Discharged"/>
    <x v="1"/>
    <x v="0"/>
  </r>
  <r>
    <x v="1764"/>
    <x v="21"/>
    <x v="1"/>
    <x v="1"/>
    <x v="2"/>
    <s v="2025-05-11"/>
    <s v="2025-05-14"/>
    <n v="3"/>
    <n v="3801.05"/>
    <x v="0"/>
    <s v="Discharged"/>
    <x v="4"/>
    <x v="0"/>
  </r>
  <r>
    <x v="1765"/>
    <x v="45"/>
    <x v="1"/>
    <x v="0"/>
    <x v="2"/>
    <s v="2025-12-18"/>
    <s v="2025-12-26"/>
    <n v="8"/>
    <n v="6660.86"/>
    <x v="0"/>
    <s v="Discharged"/>
    <x v="1"/>
    <x v="1"/>
  </r>
  <r>
    <x v="1766"/>
    <x v="17"/>
    <x v="1"/>
    <x v="2"/>
    <x v="0"/>
    <s v="2025-01-09"/>
    <s v="2025-01-13"/>
    <n v="4"/>
    <n v="9603.8799999999992"/>
    <x v="0"/>
    <s v="Discharged"/>
    <x v="2"/>
    <x v="0"/>
  </r>
  <r>
    <x v="1767"/>
    <x v="55"/>
    <x v="1"/>
    <x v="1"/>
    <x v="2"/>
    <s v="2025-10-29"/>
    <s v="2025-11-01"/>
    <n v="3"/>
    <n v="3951.85"/>
    <x v="0"/>
    <s v="Discharged"/>
    <x v="4"/>
    <x v="0"/>
  </r>
  <r>
    <x v="1768"/>
    <x v="14"/>
    <x v="1"/>
    <x v="4"/>
    <x v="2"/>
    <s v="2025-06-07"/>
    <s v="2025-06-15"/>
    <n v="8"/>
    <n v="12300.96"/>
    <x v="0"/>
    <s v="Discharged"/>
    <x v="0"/>
    <x v="1"/>
  </r>
  <r>
    <x v="1769"/>
    <x v="68"/>
    <x v="1"/>
    <x v="0"/>
    <x v="2"/>
    <s v="2025-04-03"/>
    <m/>
    <n v="9"/>
    <n v="13169.31"/>
    <x v="0"/>
    <s v="Discharged"/>
    <x v="3"/>
    <x v="1"/>
  </r>
  <r>
    <x v="1770"/>
    <x v="6"/>
    <x v="0"/>
    <x v="4"/>
    <x v="0"/>
    <s v="2025-12-13"/>
    <s v="2025-12-20"/>
    <n v="7"/>
    <n v="13454.29"/>
    <x v="0"/>
    <s v="Discharged"/>
    <x v="3"/>
    <x v="0"/>
  </r>
  <r>
    <x v="1771"/>
    <x v="58"/>
    <x v="1"/>
    <x v="0"/>
    <x v="1"/>
    <s v="2025-07-20"/>
    <s v="2025-07-21"/>
    <n v="1"/>
    <n v="5856.37"/>
    <x v="1"/>
    <s v="Discharged"/>
    <x v="2"/>
    <x v="0"/>
  </r>
  <r>
    <x v="1772"/>
    <x v="48"/>
    <x v="0"/>
    <x v="2"/>
    <x v="2"/>
    <s v="2025-12-10"/>
    <s v="2025-12-16"/>
    <n v="6"/>
    <n v="13656.46"/>
    <x v="0"/>
    <s v="Discharged"/>
    <x v="0"/>
    <x v="0"/>
  </r>
  <r>
    <x v="1773"/>
    <x v="12"/>
    <x v="0"/>
    <x v="5"/>
    <x v="1"/>
    <s v="2025-07-31"/>
    <s v="2025-08-02"/>
    <n v="2"/>
    <n v="7898.75"/>
    <x v="0"/>
    <s v="Discharged"/>
    <x v="2"/>
    <x v="0"/>
  </r>
  <r>
    <x v="1774"/>
    <x v="28"/>
    <x v="1"/>
    <x v="0"/>
    <x v="1"/>
    <s v="2025-10-31"/>
    <s v="2025-11-06"/>
    <n v="6"/>
    <n v="9148.82"/>
    <x v="0"/>
    <s v="Discharged"/>
    <x v="4"/>
    <x v="0"/>
  </r>
  <r>
    <x v="1775"/>
    <x v="35"/>
    <x v="0"/>
    <x v="5"/>
    <x v="2"/>
    <s v="2025-07-02"/>
    <m/>
    <n v="3"/>
    <n v="7769.34"/>
    <x v="0"/>
    <s v="Discharged"/>
    <x v="4"/>
    <x v="0"/>
  </r>
  <r>
    <x v="1776"/>
    <x v="41"/>
    <x v="0"/>
    <x v="1"/>
    <x v="2"/>
    <s v="2025-07-03"/>
    <s v="2025-07-05"/>
    <n v="2"/>
    <n v="5053.71"/>
    <x v="0"/>
    <s v="Discharged"/>
    <x v="1"/>
    <x v="0"/>
  </r>
  <r>
    <x v="1777"/>
    <x v="14"/>
    <x v="1"/>
    <x v="2"/>
    <x v="1"/>
    <s v="2025-02-24"/>
    <s v="2025-03-04"/>
    <n v="8"/>
    <n v="11973.7"/>
    <x v="0"/>
    <s v="Discharged"/>
    <x v="0"/>
    <x v="1"/>
  </r>
  <r>
    <x v="1778"/>
    <x v="50"/>
    <x v="0"/>
    <x v="4"/>
    <x v="2"/>
    <s v="2025-04-08"/>
    <s v="2025-04-12"/>
    <n v="4"/>
    <n v="10289.57"/>
    <x v="0"/>
    <s v="Discharged"/>
    <x v="0"/>
    <x v="0"/>
  </r>
  <r>
    <x v="1779"/>
    <x v="0"/>
    <x v="0"/>
    <x v="5"/>
    <x v="2"/>
    <s v="2025-02-25"/>
    <s v="2025-03-01"/>
    <n v="4"/>
    <n v="6192.98"/>
    <x v="0"/>
    <s v="Discharged"/>
    <x v="0"/>
    <x v="0"/>
  </r>
  <r>
    <x v="1780"/>
    <x v="22"/>
    <x v="0"/>
    <x v="3"/>
    <x v="1"/>
    <s v="2025-03-09"/>
    <s v="2025-03-14"/>
    <n v="5"/>
    <n v="12209.9"/>
    <x v="0"/>
    <s v="Discharged"/>
    <x v="3"/>
    <x v="0"/>
  </r>
  <r>
    <x v="1781"/>
    <x v="19"/>
    <x v="2"/>
    <x v="1"/>
    <x v="0"/>
    <s v="2025-10-17"/>
    <s v="2025-10-20"/>
    <n v="3"/>
    <n v="4112.22"/>
    <x v="0"/>
    <s v="Discharged"/>
    <x v="2"/>
    <x v="0"/>
  </r>
  <r>
    <x v="1782"/>
    <x v="44"/>
    <x v="0"/>
    <x v="1"/>
    <x v="1"/>
    <s v="2025-02-09"/>
    <s v="2025-02-13"/>
    <n v="4"/>
    <n v="6678.92"/>
    <x v="0"/>
    <s v="Discharged"/>
    <x v="1"/>
    <x v="0"/>
  </r>
  <r>
    <x v="1783"/>
    <x v="26"/>
    <x v="0"/>
    <x v="0"/>
    <x v="2"/>
    <s v="2025-10-24"/>
    <s v="2025-10-29"/>
    <n v="5"/>
    <n v="7928.31"/>
    <x v="0"/>
    <s v="Discharged"/>
    <x v="3"/>
    <x v="0"/>
  </r>
  <r>
    <x v="1784"/>
    <x v="12"/>
    <x v="1"/>
    <x v="4"/>
    <x v="0"/>
    <s v="2025-10-05"/>
    <s v="2025-10-11"/>
    <n v="6"/>
    <n v="13246.69"/>
    <x v="0"/>
    <s v="Discharged"/>
    <x v="2"/>
    <x v="0"/>
  </r>
  <r>
    <x v="1785"/>
    <x v="13"/>
    <x v="0"/>
    <x v="5"/>
    <x v="1"/>
    <s v="2025-09-26"/>
    <s v="2025-10-02"/>
    <n v="6"/>
    <n v="10552.04"/>
    <x v="0"/>
    <s v="Discharged"/>
    <x v="1"/>
    <x v="0"/>
  </r>
  <r>
    <x v="1786"/>
    <x v="15"/>
    <x v="1"/>
    <x v="4"/>
    <x v="2"/>
    <s v="2025-06-23"/>
    <s v="2025-06-28"/>
    <n v="5"/>
    <n v="11984.92"/>
    <x v="1"/>
    <s v="Discharged"/>
    <x v="1"/>
    <x v="0"/>
  </r>
  <r>
    <x v="1787"/>
    <x v="58"/>
    <x v="1"/>
    <x v="1"/>
    <x v="2"/>
    <s v="2025-04-19"/>
    <s v="2025-04-25"/>
    <n v="6"/>
    <n v="7021.62"/>
    <x v="0"/>
    <s v="Discharged"/>
    <x v="2"/>
    <x v="0"/>
  </r>
  <r>
    <x v="1788"/>
    <x v="8"/>
    <x v="0"/>
    <x v="1"/>
    <x v="2"/>
    <s v="2025-10-21"/>
    <s v="2025-10-27"/>
    <n v="6"/>
    <n v="5506.83"/>
    <x v="1"/>
    <s v="Discharged"/>
    <x v="3"/>
    <x v="0"/>
  </r>
  <r>
    <x v="1789"/>
    <x v="65"/>
    <x v="1"/>
    <x v="0"/>
    <x v="0"/>
    <s v="2025-04-10"/>
    <s v="2025-04-14"/>
    <n v="4"/>
    <n v="5945.04"/>
    <x v="1"/>
    <s v="Discharged"/>
    <x v="3"/>
    <x v="0"/>
  </r>
  <r>
    <x v="1790"/>
    <x v="59"/>
    <x v="1"/>
    <x v="1"/>
    <x v="0"/>
    <s v="2025-06-04"/>
    <s v="2025-06-10"/>
    <n v="6"/>
    <n v="7360.92"/>
    <x v="0"/>
    <s v="Discharged"/>
    <x v="3"/>
    <x v="0"/>
  </r>
  <r>
    <x v="1791"/>
    <x v="19"/>
    <x v="0"/>
    <x v="1"/>
    <x v="0"/>
    <s v="2025-02-18"/>
    <s v="2025-02-23"/>
    <n v="5"/>
    <n v="3742.91"/>
    <x v="0"/>
    <s v="Discharged"/>
    <x v="2"/>
    <x v="0"/>
  </r>
  <r>
    <x v="1792"/>
    <x v="57"/>
    <x v="0"/>
    <x v="1"/>
    <x v="2"/>
    <s v="2025-12-12"/>
    <s v="2025-12-19"/>
    <n v="7"/>
    <n v="5541.67"/>
    <x v="0"/>
    <s v="Discharged"/>
    <x v="3"/>
    <x v="0"/>
  </r>
  <r>
    <x v="1793"/>
    <x v="63"/>
    <x v="1"/>
    <x v="3"/>
    <x v="1"/>
    <s v="2025-09-20"/>
    <s v="2025-09-28"/>
    <n v="8"/>
    <n v="14481.41"/>
    <x v="1"/>
    <s v="Discharged"/>
    <x v="3"/>
    <x v="1"/>
  </r>
  <r>
    <x v="1794"/>
    <x v="54"/>
    <x v="0"/>
    <x v="1"/>
    <x v="2"/>
    <s v="2025-01-16"/>
    <s v="2025-01-23"/>
    <n v="7"/>
    <n v="6365.41"/>
    <x v="1"/>
    <s v="Discharged"/>
    <x v="2"/>
    <x v="0"/>
  </r>
  <r>
    <x v="1795"/>
    <x v="52"/>
    <x v="0"/>
    <x v="1"/>
    <x v="2"/>
    <s v="2025-01-09"/>
    <s v="2025-01-13"/>
    <n v="4"/>
    <n v="5526.1"/>
    <x v="0"/>
    <s v="Discharged"/>
    <x v="4"/>
    <x v="0"/>
  </r>
  <r>
    <x v="1796"/>
    <x v="45"/>
    <x v="1"/>
    <x v="5"/>
    <x v="2"/>
    <s v="2025-04-19"/>
    <s v="2025-04-27"/>
    <n v="8"/>
    <n v="13557.54"/>
    <x v="0"/>
    <s v="Discharged"/>
    <x v="1"/>
    <x v="1"/>
  </r>
  <r>
    <x v="1797"/>
    <x v="36"/>
    <x v="1"/>
    <x v="4"/>
    <x v="1"/>
    <s v="2025-01-16"/>
    <s v="2025-01-20"/>
    <n v="4"/>
    <n v="12402.53"/>
    <x v="0"/>
    <s v="Transferred"/>
    <x v="1"/>
    <x v="0"/>
  </r>
  <r>
    <x v="1798"/>
    <x v="21"/>
    <x v="1"/>
    <x v="3"/>
    <x v="2"/>
    <s v="2025-08-25"/>
    <s v="2025-09-04"/>
    <n v="10"/>
    <n v="19892.23"/>
    <x v="1"/>
    <s v="Discharged"/>
    <x v="4"/>
    <x v="1"/>
  </r>
  <r>
    <x v="1799"/>
    <x v="58"/>
    <x v="1"/>
    <x v="3"/>
    <x v="2"/>
    <s v="2025-09-13"/>
    <s v="2025-09-20"/>
    <n v="7"/>
    <n v="12274.57"/>
    <x v="0"/>
    <s v="Discharged"/>
    <x v="2"/>
    <x v="0"/>
  </r>
  <r>
    <x v="1800"/>
    <x v="49"/>
    <x v="0"/>
    <x v="0"/>
    <x v="1"/>
    <s v="2025-10-31"/>
    <s v="2025-11-06"/>
    <n v="6"/>
    <n v="6530.51"/>
    <x v="0"/>
    <s v="Discharged"/>
    <x v="0"/>
    <x v="0"/>
  </r>
  <r>
    <x v="1801"/>
    <x v="68"/>
    <x v="0"/>
    <x v="1"/>
    <x v="1"/>
    <s v="2025-08-07"/>
    <s v="2025-08-10"/>
    <n v="3"/>
    <n v="3491.52"/>
    <x v="0"/>
    <s v="Discharged"/>
    <x v="3"/>
    <x v="0"/>
  </r>
  <r>
    <x v="1802"/>
    <x v="48"/>
    <x v="0"/>
    <x v="2"/>
    <x v="0"/>
    <s v="2025-06-07"/>
    <s v="2025-06-14"/>
    <n v="7"/>
    <n v="11270.99"/>
    <x v="0"/>
    <s v="Discharged"/>
    <x v="0"/>
    <x v="0"/>
  </r>
  <r>
    <x v="1803"/>
    <x v="35"/>
    <x v="0"/>
    <x v="1"/>
    <x v="2"/>
    <s v="2025-06-13"/>
    <s v="2025-06-20"/>
    <n v="7"/>
    <n v="7054.01"/>
    <x v="1"/>
    <s v="Discharged"/>
    <x v="4"/>
    <x v="0"/>
  </r>
  <r>
    <x v="1804"/>
    <x v="67"/>
    <x v="0"/>
    <x v="3"/>
    <x v="2"/>
    <s v="2025-10-14"/>
    <s v="2025-10-22"/>
    <n v="8"/>
    <n v="16061.97"/>
    <x v="0"/>
    <s v="Discharged"/>
    <x v="3"/>
    <x v="1"/>
  </r>
  <r>
    <x v="1805"/>
    <x v="11"/>
    <x v="0"/>
    <x v="4"/>
    <x v="2"/>
    <s v="2025-06-03"/>
    <s v="2025-06-14"/>
    <n v="11"/>
    <n v="11648.9"/>
    <x v="0"/>
    <s v="Discharged"/>
    <x v="2"/>
    <x v="1"/>
  </r>
  <r>
    <x v="1806"/>
    <x v="36"/>
    <x v="0"/>
    <x v="4"/>
    <x v="1"/>
    <s v="2025-07-26"/>
    <s v="2025-07-29"/>
    <n v="3"/>
    <n v="10031.879999999999"/>
    <x v="0"/>
    <s v="Discharged"/>
    <x v="1"/>
    <x v="0"/>
  </r>
  <r>
    <x v="1807"/>
    <x v="39"/>
    <x v="1"/>
    <x v="2"/>
    <x v="1"/>
    <s v="2025-05-10"/>
    <s v="2025-05-16"/>
    <n v="6"/>
    <n v="10707.95"/>
    <x v="0"/>
    <s v="Discharged"/>
    <x v="4"/>
    <x v="0"/>
  </r>
  <r>
    <x v="1808"/>
    <x v="26"/>
    <x v="0"/>
    <x v="0"/>
    <x v="1"/>
    <s v="2025-03-30"/>
    <s v="2025-04-04"/>
    <n v="5"/>
    <n v="6410.15"/>
    <x v="0"/>
    <s v="Discharged"/>
    <x v="3"/>
    <x v="0"/>
  </r>
  <r>
    <x v="1809"/>
    <x v="54"/>
    <x v="0"/>
    <x v="1"/>
    <x v="1"/>
    <s v="2025-08-26"/>
    <s v="2025-08-31"/>
    <n v="5"/>
    <n v="5236.3999999999996"/>
    <x v="0"/>
    <s v="Discharged"/>
    <x v="2"/>
    <x v="0"/>
  </r>
  <r>
    <x v="1810"/>
    <x v="47"/>
    <x v="1"/>
    <x v="5"/>
    <x v="1"/>
    <s v="2025-10-31"/>
    <s v="2025-11-07"/>
    <n v="7"/>
    <n v="9838.52"/>
    <x v="0"/>
    <s v="Discharged"/>
    <x v="4"/>
    <x v="0"/>
  </r>
  <r>
    <x v="1811"/>
    <x v="15"/>
    <x v="0"/>
    <x v="4"/>
    <x v="2"/>
    <s v="2025-05-02"/>
    <s v="2025-05-11"/>
    <n v="9"/>
    <n v="13969.15"/>
    <x v="0"/>
    <s v="Discharged"/>
    <x v="1"/>
    <x v="1"/>
  </r>
  <r>
    <x v="1812"/>
    <x v="59"/>
    <x v="0"/>
    <x v="0"/>
    <x v="1"/>
    <s v="2025-07-02"/>
    <s v="2025-07-06"/>
    <n v="4"/>
    <n v="7055.38"/>
    <x v="1"/>
    <s v="Discharged"/>
    <x v="3"/>
    <x v="0"/>
  </r>
  <r>
    <x v="1813"/>
    <x v="62"/>
    <x v="1"/>
    <x v="1"/>
    <x v="1"/>
    <s v="2025-06-02"/>
    <s v="2025-06-03"/>
    <n v="1"/>
    <n v="1269.75"/>
    <x v="0"/>
    <s v="Discharged"/>
    <x v="2"/>
    <x v="0"/>
  </r>
  <r>
    <x v="1814"/>
    <x v="18"/>
    <x v="0"/>
    <x v="2"/>
    <x v="0"/>
    <s v="2025-12-22"/>
    <s v="2025-12-27"/>
    <n v="5"/>
    <n v="9398.24"/>
    <x v="0"/>
    <s v="Discharged"/>
    <x v="3"/>
    <x v="0"/>
  </r>
  <r>
    <x v="1815"/>
    <x v="2"/>
    <x v="0"/>
    <x v="3"/>
    <x v="2"/>
    <s v="2025-04-22"/>
    <s v="2025-04-29"/>
    <n v="7"/>
    <n v="12434.07"/>
    <x v="0"/>
    <s v="Discharged"/>
    <x v="1"/>
    <x v="0"/>
  </r>
  <r>
    <x v="1816"/>
    <x v="19"/>
    <x v="0"/>
    <x v="2"/>
    <x v="0"/>
    <s v="2025-02-19"/>
    <s v="2025-02-22"/>
    <n v="3"/>
    <n v="9671.2199999999993"/>
    <x v="0"/>
    <s v="Discharged"/>
    <x v="2"/>
    <x v="0"/>
  </r>
  <r>
    <x v="1817"/>
    <x v="55"/>
    <x v="1"/>
    <x v="4"/>
    <x v="2"/>
    <s v="2025-09-24"/>
    <s v="2025-10-04"/>
    <n v="10"/>
    <n v="12966.76"/>
    <x v="1"/>
    <s v="Discharged"/>
    <x v="4"/>
    <x v="1"/>
  </r>
  <r>
    <x v="1818"/>
    <x v="7"/>
    <x v="0"/>
    <x v="1"/>
    <x v="2"/>
    <s v="2025-02-02"/>
    <s v="2025-02-03"/>
    <n v="1"/>
    <n v="3150.66"/>
    <x v="0"/>
    <s v="Discharged"/>
    <x v="4"/>
    <x v="0"/>
  </r>
  <r>
    <x v="1819"/>
    <x v="71"/>
    <x v="1"/>
    <x v="5"/>
    <x v="2"/>
    <s v="2025-03-27"/>
    <s v="2025-04-02"/>
    <n v="6"/>
    <n v="7877.27"/>
    <x v="0"/>
    <s v="Discharged"/>
    <x v="1"/>
    <x v="0"/>
  </r>
  <r>
    <x v="1820"/>
    <x v="32"/>
    <x v="1"/>
    <x v="0"/>
    <x v="1"/>
    <s v="2025-06-17"/>
    <s v="2025-06-21"/>
    <n v="4"/>
    <n v="4772.26"/>
    <x v="1"/>
    <s v="Discharged"/>
    <x v="3"/>
    <x v="0"/>
  </r>
  <r>
    <x v="1821"/>
    <x v="58"/>
    <x v="0"/>
    <x v="3"/>
    <x v="2"/>
    <s v="2025-04-21"/>
    <s v="2025-05-03"/>
    <n v="12"/>
    <n v="18274.37"/>
    <x v="0"/>
    <s v="Discharged"/>
    <x v="2"/>
    <x v="1"/>
  </r>
  <r>
    <x v="1822"/>
    <x v="31"/>
    <x v="1"/>
    <x v="3"/>
    <x v="0"/>
    <s v="2025-09-10"/>
    <s v="2025-09-11"/>
    <n v="1"/>
    <n v="9813.4"/>
    <x v="0"/>
    <s v="Discharged"/>
    <x v="2"/>
    <x v="0"/>
  </r>
  <r>
    <x v="1823"/>
    <x v="8"/>
    <x v="1"/>
    <x v="4"/>
    <x v="0"/>
    <s v="2025-11-02"/>
    <s v="2025-11-10"/>
    <n v="8"/>
    <n v="13109.62"/>
    <x v="1"/>
    <s v="Discharged"/>
    <x v="3"/>
    <x v="1"/>
  </r>
  <r>
    <x v="1824"/>
    <x v="61"/>
    <x v="0"/>
    <x v="3"/>
    <x v="2"/>
    <s v="2025-09-21"/>
    <s v="2025-09-28"/>
    <n v="7"/>
    <n v="12830.19"/>
    <x v="0"/>
    <s v="Discharged"/>
    <x v="4"/>
    <x v="0"/>
  </r>
  <r>
    <x v="1825"/>
    <x v="41"/>
    <x v="1"/>
    <x v="0"/>
    <x v="2"/>
    <s v="2025-07-23"/>
    <s v="2025-07-30"/>
    <n v="7"/>
    <n v="6754.69"/>
    <x v="1"/>
    <s v="Discharged"/>
    <x v="1"/>
    <x v="0"/>
  </r>
  <r>
    <x v="1826"/>
    <x v="48"/>
    <x v="1"/>
    <x v="0"/>
    <x v="0"/>
    <s v="2025-08-17"/>
    <s v="2025-08-21"/>
    <n v="4"/>
    <n v="9167.2000000000007"/>
    <x v="0"/>
    <s v="Discharged"/>
    <x v="0"/>
    <x v="0"/>
  </r>
  <r>
    <x v="1827"/>
    <x v="8"/>
    <x v="1"/>
    <x v="3"/>
    <x v="0"/>
    <s v="2025-11-15"/>
    <s v="2025-11-25"/>
    <n v="10"/>
    <n v="15157.52"/>
    <x v="0"/>
    <s v="Transferred"/>
    <x v="3"/>
    <x v="1"/>
  </r>
  <r>
    <x v="1828"/>
    <x v="16"/>
    <x v="1"/>
    <x v="5"/>
    <x v="0"/>
    <s v="2025-12-09"/>
    <s v="2025-12-13"/>
    <n v="4"/>
    <n v="9952.5400000000009"/>
    <x v="0"/>
    <s v="Discharged"/>
    <x v="4"/>
    <x v="0"/>
  </r>
  <r>
    <x v="1829"/>
    <x v="18"/>
    <x v="0"/>
    <x v="1"/>
    <x v="0"/>
    <s v="2025-04-17"/>
    <s v="2025-04-21"/>
    <n v="4"/>
    <n v="4608.99"/>
    <x v="1"/>
    <s v="Discharged"/>
    <x v="3"/>
    <x v="0"/>
  </r>
  <r>
    <x v="1830"/>
    <x v="12"/>
    <x v="1"/>
    <x v="1"/>
    <x v="2"/>
    <s v="2025-09-01"/>
    <s v="2025-09-09"/>
    <n v="8"/>
    <n v="6475.29"/>
    <x v="0"/>
    <s v="Discharged"/>
    <x v="2"/>
    <x v="1"/>
  </r>
  <r>
    <x v="1831"/>
    <x v="25"/>
    <x v="0"/>
    <x v="1"/>
    <x v="2"/>
    <s v="2025-09-16"/>
    <s v="2025-09-22"/>
    <n v="6"/>
    <n v="5473.94"/>
    <x v="0"/>
    <s v="Discharged"/>
    <x v="2"/>
    <x v="0"/>
  </r>
  <r>
    <x v="1832"/>
    <x v="11"/>
    <x v="0"/>
    <x v="3"/>
    <x v="2"/>
    <s v="2025-01-28"/>
    <s v="2025-02-06"/>
    <n v="9"/>
    <n v="17158.02"/>
    <x v="0"/>
    <s v="Discharged"/>
    <x v="2"/>
    <x v="1"/>
  </r>
  <r>
    <x v="1833"/>
    <x v="43"/>
    <x v="1"/>
    <x v="0"/>
    <x v="2"/>
    <s v="2025-09-28"/>
    <s v="2025-10-03"/>
    <n v="5"/>
    <n v="8330.4699999999993"/>
    <x v="0"/>
    <s v="Discharged"/>
    <x v="2"/>
    <x v="0"/>
  </r>
  <r>
    <x v="1834"/>
    <x v="15"/>
    <x v="0"/>
    <x v="4"/>
    <x v="2"/>
    <s v="2025-10-14"/>
    <s v="2025-10-20"/>
    <n v="6"/>
    <n v="13159.42"/>
    <x v="0"/>
    <s v="Discharged"/>
    <x v="1"/>
    <x v="0"/>
  </r>
  <r>
    <x v="1835"/>
    <x v="54"/>
    <x v="0"/>
    <x v="4"/>
    <x v="2"/>
    <s v="2025-12-23"/>
    <s v="2025-12-30"/>
    <n v="7"/>
    <n v="13242.78"/>
    <x v="1"/>
    <s v="Discharged"/>
    <x v="2"/>
    <x v="0"/>
  </r>
  <r>
    <x v="1836"/>
    <x v="19"/>
    <x v="0"/>
    <x v="1"/>
    <x v="1"/>
    <s v="2025-08-16"/>
    <s v="2025-08-24"/>
    <n v="8"/>
    <n v="6522.13"/>
    <x v="0"/>
    <s v="Discharged"/>
    <x v="2"/>
    <x v="1"/>
  </r>
  <r>
    <x v="1837"/>
    <x v="60"/>
    <x v="1"/>
    <x v="3"/>
    <x v="2"/>
    <s v="2025-12-24"/>
    <s v="2026-01-01"/>
    <n v="8"/>
    <n v="14018.71"/>
    <x v="1"/>
    <s v="Discharged"/>
    <x v="3"/>
    <x v="1"/>
  </r>
  <r>
    <x v="1838"/>
    <x v="23"/>
    <x v="1"/>
    <x v="0"/>
    <x v="0"/>
    <s v="2025-04-16"/>
    <s v="2025-04-19"/>
    <n v="3"/>
    <n v="5733.69"/>
    <x v="0"/>
    <s v="Discharged"/>
    <x v="3"/>
    <x v="0"/>
  </r>
  <r>
    <x v="1839"/>
    <x v="12"/>
    <x v="1"/>
    <x v="5"/>
    <x v="2"/>
    <s v="2025-06-02"/>
    <s v="2025-06-07"/>
    <n v="5"/>
    <n v="8508.08"/>
    <x v="0"/>
    <s v="Discharged"/>
    <x v="2"/>
    <x v="0"/>
  </r>
  <r>
    <x v="1840"/>
    <x v="39"/>
    <x v="1"/>
    <x v="4"/>
    <x v="1"/>
    <s v="2025-11-11"/>
    <s v="2025-11-19"/>
    <n v="8"/>
    <n v="13109.95"/>
    <x v="1"/>
    <s v="Discharged"/>
    <x v="4"/>
    <x v="1"/>
  </r>
  <r>
    <x v="1841"/>
    <x v="58"/>
    <x v="1"/>
    <x v="3"/>
    <x v="2"/>
    <s v="2025-02-15"/>
    <s v="2025-02-23"/>
    <n v="8"/>
    <n v="15157.94"/>
    <x v="1"/>
    <s v="Discharged"/>
    <x v="2"/>
    <x v="1"/>
  </r>
  <r>
    <x v="1842"/>
    <x v="47"/>
    <x v="1"/>
    <x v="4"/>
    <x v="1"/>
    <s v="2025-04-14"/>
    <s v="2025-04-19"/>
    <n v="5"/>
    <n v="8794.17"/>
    <x v="0"/>
    <s v="Discharged"/>
    <x v="4"/>
    <x v="0"/>
  </r>
  <r>
    <x v="1843"/>
    <x v="46"/>
    <x v="0"/>
    <x v="5"/>
    <x v="0"/>
    <s v="2025-11-25"/>
    <s v="2025-12-03"/>
    <n v="8"/>
    <n v="12355.86"/>
    <x v="0"/>
    <s v="Discharged"/>
    <x v="1"/>
    <x v="1"/>
  </r>
  <r>
    <x v="1844"/>
    <x v="39"/>
    <x v="1"/>
    <x v="3"/>
    <x v="1"/>
    <s v="2025-03-23"/>
    <s v="2025-03-27"/>
    <n v="4"/>
    <n v="10670.41"/>
    <x v="0"/>
    <s v="Discharged"/>
    <x v="4"/>
    <x v="0"/>
  </r>
  <r>
    <x v="1845"/>
    <x v="39"/>
    <x v="1"/>
    <x v="0"/>
    <x v="2"/>
    <s v="2025-11-13"/>
    <s v="2025-11-14"/>
    <n v="1"/>
    <n v="5808.77"/>
    <x v="0"/>
    <s v="Discharged"/>
    <x v="4"/>
    <x v="0"/>
  </r>
  <r>
    <x v="1846"/>
    <x v="70"/>
    <x v="0"/>
    <x v="2"/>
    <x v="0"/>
    <s v="2025-02-19"/>
    <s v="2025-02-28"/>
    <n v="9"/>
    <n v="12922.33"/>
    <x v="0"/>
    <s v="Discharged"/>
    <x v="1"/>
    <x v="1"/>
  </r>
  <r>
    <x v="1847"/>
    <x v="45"/>
    <x v="1"/>
    <x v="2"/>
    <x v="1"/>
    <s v="2025-08-03"/>
    <s v="2025-08-09"/>
    <n v="6"/>
    <n v="9330.59"/>
    <x v="0"/>
    <s v="Discharged"/>
    <x v="1"/>
    <x v="0"/>
  </r>
  <r>
    <x v="1848"/>
    <x v="13"/>
    <x v="0"/>
    <x v="2"/>
    <x v="2"/>
    <s v="2025-01-24"/>
    <s v="2025-01-26"/>
    <n v="2"/>
    <n v="8244.35"/>
    <x v="0"/>
    <s v="Discharged"/>
    <x v="1"/>
    <x v="0"/>
  </r>
  <r>
    <x v="1849"/>
    <x v="72"/>
    <x v="1"/>
    <x v="2"/>
    <x v="2"/>
    <s v="2025-12-14"/>
    <s v="2025-12-16"/>
    <n v="2"/>
    <n v="9026.82"/>
    <x v="0"/>
    <s v="Discharged"/>
    <x v="2"/>
    <x v="0"/>
  </r>
  <r>
    <x v="1850"/>
    <x v="45"/>
    <x v="1"/>
    <x v="0"/>
    <x v="1"/>
    <s v="2025-06-30"/>
    <s v="2025-07-03"/>
    <n v="3"/>
    <n v="8179.57"/>
    <x v="0"/>
    <s v="Discharged"/>
    <x v="1"/>
    <x v="0"/>
  </r>
  <r>
    <x v="1851"/>
    <x v="40"/>
    <x v="0"/>
    <x v="4"/>
    <x v="2"/>
    <s v="2025-09-10"/>
    <s v="2025-09-19"/>
    <n v="9"/>
    <n v="15213.21"/>
    <x v="0"/>
    <s v="Discharged"/>
    <x v="1"/>
    <x v="1"/>
  </r>
  <r>
    <x v="1852"/>
    <x v="23"/>
    <x v="1"/>
    <x v="2"/>
    <x v="0"/>
    <s v="2025-08-11"/>
    <s v="2025-08-16"/>
    <n v="5"/>
    <n v="9338.08"/>
    <x v="0"/>
    <s v="Discharged"/>
    <x v="3"/>
    <x v="0"/>
  </r>
  <r>
    <x v="1853"/>
    <x v="40"/>
    <x v="0"/>
    <x v="0"/>
    <x v="0"/>
    <s v="2025-11-12"/>
    <s v="2025-11-16"/>
    <n v="4"/>
    <n v="9904.18"/>
    <x v="0"/>
    <s v="Discharged"/>
    <x v="1"/>
    <x v="0"/>
  </r>
  <r>
    <x v="1854"/>
    <x v="13"/>
    <x v="0"/>
    <x v="5"/>
    <x v="0"/>
    <s v="2025-05-04"/>
    <s v="2025-05-07"/>
    <n v="3"/>
    <n v="8092.81"/>
    <x v="0"/>
    <s v="Discharged"/>
    <x v="1"/>
    <x v="0"/>
  </r>
  <r>
    <x v="1855"/>
    <x v="60"/>
    <x v="0"/>
    <x v="1"/>
    <x v="0"/>
    <s v="2025-02-07"/>
    <s v="2025-02-10"/>
    <n v="3"/>
    <n v="4421.87"/>
    <x v="0"/>
    <s v="Discharged"/>
    <x v="3"/>
    <x v="0"/>
  </r>
  <r>
    <x v="1856"/>
    <x v="8"/>
    <x v="0"/>
    <x v="4"/>
    <x v="0"/>
    <s v="2025-12-03"/>
    <s v="2025-12-09"/>
    <n v="6"/>
    <n v="11793.09"/>
    <x v="0"/>
    <s v="Discharged"/>
    <x v="3"/>
    <x v="0"/>
  </r>
  <r>
    <x v="1857"/>
    <x v="34"/>
    <x v="1"/>
    <x v="5"/>
    <x v="2"/>
    <s v="2025-02-17"/>
    <s v="2025-02-23"/>
    <n v="6"/>
    <n v="7987.47"/>
    <x v="0"/>
    <s v="Discharged"/>
    <x v="2"/>
    <x v="0"/>
  </r>
  <r>
    <x v="1858"/>
    <x v="72"/>
    <x v="1"/>
    <x v="4"/>
    <x v="0"/>
    <s v="2025-08-26"/>
    <s v="2025-09-01"/>
    <n v="6"/>
    <n v="12989.58"/>
    <x v="0"/>
    <s v="Discharged"/>
    <x v="2"/>
    <x v="0"/>
  </r>
  <r>
    <x v="1859"/>
    <x v="49"/>
    <x v="1"/>
    <x v="0"/>
    <x v="1"/>
    <s v="2025-11-06"/>
    <s v="2025-11-10"/>
    <n v="4"/>
    <n v="7896.58"/>
    <x v="0"/>
    <s v="Discharged"/>
    <x v="0"/>
    <x v="0"/>
  </r>
  <r>
    <x v="1860"/>
    <x v="3"/>
    <x v="0"/>
    <x v="0"/>
    <x v="1"/>
    <s v="2025-03-15"/>
    <s v="2025-03-22"/>
    <n v="7"/>
    <n v="6733.2"/>
    <x v="0"/>
    <s v="Discharged"/>
    <x v="0"/>
    <x v="0"/>
  </r>
  <r>
    <x v="1861"/>
    <x v="50"/>
    <x v="1"/>
    <x v="2"/>
    <x v="2"/>
    <s v="2025-09-20"/>
    <s v="2025-09-23"/>
    <n v="3"/>
    <n v="8917.3700000000008"/>
    <x v="0"/>
    <s v="Discharged"/>
    <x v="0"/>
    <x v="0"/>
  </r>
  <r>
    <x v="1862"/>
    <x v="71"/>
    <x v="1"/>
    <x v="5"/>
    <x v="2"/>
    <s v="2025-07-04"/>
    <s v="2025-07-09"/>
    <n v="5"/>
    <n v="9150.94"/>
    <x v="0"/>
    <s v="Discharged"/>
    <x v="1"/>
    <x v="0"/>
  </r>
  <r>
    <x v="1863"/>
    <x v="45"/>
    <x v="0"/>
    <x v="1"/>
    <x v="0"/>
    <s v="2025-04-18"/>
    <s v="2025-04-22"/>
    <n v="4"/>
    <n v="3962.55"/>
    <x v="0"/>
    <s v="Discharged"/>
    <x v="1"/>
    <x v="0"/>
  </r>
  <r>
    <x v="1864"/>
    <x v="8"/>
    <x v="0"/>
    <x v="0"/>
    <x v="2"/>
    <s v="2025-10-17"/>
    <s v="2025-10-25"/>
    <n v="8"/>
    <n v="9674.61"/>
    <x v="0"/>
    <s v="Discharged"/>
    <x v="3"/>
    <x v="1"/>
  </r>
  <r>
    <x v="1865"/>
    <x v="39"/>
    <x v="1"/>
    <x v="0"/>
    <x v="0"/>
    <s v="2025-02-07"/>
    <s v="2025-02-10"/>
    <n v="3"/>
    <n v="6547"/>
    <x v="0"/>
    <s v="Discharged"/>
    <x v="4"/>
    <x v="0"/>
  </r>
  <r>
    <x v="1866"/>
    <x v="59"/>
    <x v="1"/>
    <x v="0"/>
    <x v="0"/>
    <s v="2025-12-13"/>
    <s v="2025-12-17"/>
    <n v="4"/>
    <n v="5966.14"/>
    <x v="1"/>
    <s v="Discharged"/>
    <x v="3"/>
    <x v="0"/>
  </r>
  <r>
    <x v="1867"/>
    <x v="66"/>
    <x v="0"/>
    <x v="5"/>
    <x v="0"/>
    <s v="2025-06-13"/>
    <s v="2025-06-16"/>
    <n v="3"/>
    <n v="8938.0400000000009"/>
    <x v="0"/>
    <s v="Discharged"/>
    <x v="1"/>
    <x v="0"/>
  </r>
  <r>
    <x v="1868"/>
    <x v="2"/>
    <x v="0"/>
    <x v="2"/>
    <x v="0"/>
    <s v="2025-09-12"/>
    <s v="2025-09-15"/>
    <n v="3"/>
    <n v="10844.6"/>
    <x v="0"/>
    <s v="Discharged"/>
    <x v="1"/>
    <x v="0"/>
  </r>
  <r>
    <x v="1869"/>
    <x v="7"/>
    <x v="1"/>
    <x v="5"/>
    <x v="2"/>
    <s v="2025-05-02"/>
    <s v="2025-05-05"/>
    <n v="3"/>
    <n v="9107.9500000000007"/>
    <x v="0"/>
    <s v="Discharged"/>
    <x v="4"/>
    <x v="0"/>
  </r>
  <r>
    <x v="1870"/>
    <x v="44"/>
    <x v="0"/>
    <x v="3"/>
    <x v="2"/>
    <s v="2025-12-02"/>
    <s v="2025-12-06"/>
    <n v="4"/>
    <n v="10906.19"/>
    <x v="0"/>
    <s v="Discharged"/>
    <x v="1"/>
    <x v="0"/>
  </r>
  <r>
    <x v="1871"/>
    <x v="51"/>
    <x v="1"/>
    <x v="0"/>
    <x v="2"/>
    <s v="2025-01-15"/>
    <s v="2025-01-23"/>
    <n v="8"/>
    <n v="7263.59"/>
    <x v="0"/>
    <s v="Discharged"/>
    <x v="1"/>
    <x v="1"/>
  </r>
  <r>
    <x v="1872"/>
    <x v="13"/>
    <x v="1"/>
    <x v="2"/>
    <x v="0"/>
    <s v="2025-10-10"/>
    <s v="2025-10-17"/>
    <n v="7"/>
    <n v="10863.96"/>
    <x v="0"/>
    <s v="Discharged"/>
    <x v="1"/>
    <x v="0"/>
  </r>
  <r>
    <x v="1873"/>
    <x v="25"/>
    <x v="0"/>
    <x v="1"/>
    <x v="2"/>
    <s v="2025-05-16"/>
    <s v="2025-05-21"/>
    <n v="5"/>
    <n v="5852.35"/>
    <x v="0"/>
    <s v="Discharged"/>
    <x v="2"/>
    <x v="0"/>
  </r>
  <r>
    <x v="1874"/>
    <x v="58"/>
    <x v="0"/>
    <x v="3"/>
    <x v="1"/>
    <s v="2025-11-14"/>
    <s v="2025-11-24"/>
    <n v="10"/>
    <n v="16900.849999999999"/>
    <x v="0"/>
    <s v="Discharged"/>
    <x v="2"/>
    <x v="1"/>
  </r>
  <r>
    <x v="1875"/>
    <x v="23"/>
    <x v="0"/>
    <x v="0"/>
    <x v="2"/>
    <s v="2025-07-27"/>
    <s v="2025-08-02"/>
    <n v="6"/>
    <n v="5390.23"/>
    <x v="0"/>
    <s v="Discharged"/>
    <x v="3"/>
    <x v="0"/>
  </r>
  <r>
    <x v="1876"/>
    <x v="58"/>
    <x v="0"/>
    <x v="2"/>
    <x v="0"/>
    <s v="2025-10-14"/>
    <s v="2025-10-20"/>
    <n v="6"/>
    <n v="8350.2999999999993"/>
    <x v="0"/>
    <s v="Discharged"/>
    <x v="2"/>
    <x v="0"/>
  </r>
  <r>
    <x v="1877"/>
    <x v="18"/>
    <x v="0"/>
    <x v="2"/>
    <x v="2"/>
    <s v="2025-12-28"/>
    <s v="2026-01-04"/>
    <n v="7"/>
    <n v="13253.65"/>
    <x v="1"/>
    <s v="Discharged"/>
    <x v="3"/>
    <x v="0"/>
  </r>
  <r>
    <x v="1878"/>
    <x v="32"/>
    <x v="0"/>
    <x v="3"/>
    <x v="2"/>
    <s v="2025-04-06"/>
    <s v="2025-04-15"/>
    <n v="9"/>
    <n v="14823.02"/>
    <x v="0"/>
    <s v="Discharged"/>
    <x v="3"/>
    <x v="1"/>
  </r>
  <r>
    <x v="1879"/>
    <x v="15"/>
    <x v="1"/>
    <x v="2"/>
    <x v="0"/>
    <s v="2025-12-07"/>
    <s v="2025-12-11"/>
    <n v="4"/>
    <n v="10579.93"/>
    <x v="1"/>
    <s v="Discharged"/>
    <x v="1"/>
    <x v="0"/>
  </r>
  <r>
    <x v="1880"/>
    <x v="41"/>
    <x v="0"/>
    <x v="1"/>
    <x v="0"/>
    <s v="2025-07-31"/>
    <s v="2025-08-02"/>
    <n v="2"/>
    <n v="3330.29"/>
    <x v="0"/>
    <s v="Transferred"/>
    <x v="1"/>
    <x v="0"/>
  </r>
  <r>
    <x v="1881"/>
    <x v="9"/>
    <x v="0"/>
    <x v="3"/>
    <x v="1"/>
    <s v="2025-01-01"/>
    <s v="2025-01-06"/>
    <n v="5"/>
    <n v="12477.94"/>
    <x v="1"/>
    <s v="Discharged"/>
    <x v="4"/>
    <x v="0"/>
  </r>
  <r>
    <x v="1882"/>
    <x v="10"/>
    <x v="0"/>
    <x v="1"/>
    <x v="1"/>
    <s v="2025-02-26"/>
    <s v="2025-03-01"/>
    <n v="3"/>
    <n v="3692.86"/>
    <x v="0"/>
    <s v="Discharged"/>
    <x v="4"/>
    <x v="0"/>
  </r>
  <r>
    <x v="1883"/>
    <x v="56"/>
    <x v="0"/>
    <x v="3"/>
    <x v="2"/>
    <s v="2025-03-11"/>
    <s v="2025-03-15"/>
    <n v="4"/>
    <n v="11082.98"/>
    <x v="0"/>
    <s v="Discharged"/>
    <x v="0"/>
    <x v="0"/>
  </r>
  <r>
    <x v="1884"/>
    <x v="19"/>
    <x v="0"/>
    <x v="1"/>
    <x v="2"/>
    <s v="2025-07-30"/>
    <s v="2025-08-04"/>
    <n v="5"/>
    <n v="9055.2199999999993"/>
    <x v="0"/>
    <s v="Discharged"/>
    <x v="2"/>
    <x v="0"/>
  </r>
  <r>
    <x v="1885"/>
    <x v="50"/>
    <x v="1"/>
    <x v="1"/>
    <x v="2"/>
    <s v="2025-12-29"/>
    <s v="2025-12-30"/>
    <n v="1"/>
    <n v="3879.71"/>
    <x v="0"/>
    <s v="Discharged"/>
    <x v="0"/>
    <x v="0"/>
  </r>
  <r>
    <x v="1886"/>
    <x v="59"/>
    <x v="1"/>
    <x v="2"/>
    <x v="2"/>
    <s v="2025-04-29"/>
    <s v="2025-05-08"/>
    <n v="9"/>
    <n v="12082.57"/>
    <x v="0"/>
    <s v="Discharged"/>
    <x v="3"/>
    <x v="1"/>
  </r>
  <r>
    <x v="1887"/>
    <x v="51"/>
    <x v="0"/>
    <x v="1"/>
    <x v="2"/>
    <s v="2025-05-27"/>
    <s v="2025-05-31"/>
    <n v="4"/>
    <n v="5155.1099999999997"/>
    <x v="0"/>
    <s v="Discharged"/>
    <x v="1"/>
    <x v="0"/>
  </r>
  <r>
    <x v="1888"/>
    <x v="47"/>
    <x v="1"/>
    <x v="2"/>
    <x v="1"/>
    <s v="2025-02-27"/>
    <s v="2025-03-03"/>
    <n v="4"/>
    <n v="8527.11"/>
    <x v="0"/>
    <s v="Discharged"/>
    <x v="4"/>
    <x v="0"/>
  </r>
  <r>
    <x v="1889"/>
    <x v="56"/>
    <x v="0"/>
    <x v="5"/>
    <x v="2"/>
    <s v="2025-05-31"/>
    <s v="2025-06-06"/>
    <n v="6"/>
    <n v="11014.4"/>
    <x v="0"/>
    <s v="Discharged"/>
    <x v="0"/>
    <x v="0"/>
  </r>
  <r>
    <x v="1890"/>
    <x v="13"/>
    <x v="0"/>
    <x v="3"/>
    <x v="1"/>
    <s v="2025-12-18"/>
    <s v="2025-12-25"/>
    <n v="7"/>
    <n v="14079.31"/>
    <x v="0"/>
    <s v="Discharged"/>
    <x v="1"/>
    <x v="0"/>
  </r>
  <r>
    <x v="1891"/>
    <x v="67"/>
    <x v="0"/>
    <x v="1"/>
    <x v="2"/>
    <s v="2025-07-25"/>
    <s v="2025-07-27"/>
    <n v="2"/>
    <n v="5973.53"/>
    <x v="0"/>
    <s v="Discharged"/>
    <x v="3"/>
    <x v="0"/>
  </r>
  <r>
    <x v="1892"/>
    <x v="0"/>
    <x v="1"/>
    <x v="0"/>
    <x v="2"/>
    <s v="2025-12-04"/>
    <m/>
    <n v="2"/>
    <n v="5730.98"/>
    <x v="0"/>
    <s v="Discharged"/>
    <x v="0"/>
    <x v="0"/>
  </r>
  <r>
    <x v="1893"/>
    <x v="19"/>
    <x v="2"/>
    <x v="1"/>
    <x v="2"/>
    <s v="2025-08-10"/>
    <s v="2025-08-14"/>
    <n v="4"/>
    <n v="8189.76"/>
    <x v="0"/>
    <s v="Discharged"/>
    <x v="2"/>
    <x v="0"/>
  </r>
  <r>
    <x v="1894"/>
    <x v="44"/>
    <x v="1"/>
    <x v="1"/>
    <x v="0"/>
    <s v="2025-06-27"/>
    <s v="2025-06-28"/>
    <n v="1"/>
    <n v="5583.36"/>
    <x v="0"/>
    <s v="Discharged"/>
    <x v="1"/>
    <x v="0"/>
  </r>
  <r>
    <x v="1895"/>
    <x v="9"/>
    <x v="1"/>
    <x v="1"/>
    <x v="2"/>
    <s v="2025-10-13"/>
    <s v="2025-10-18"/>
    <n v="5"/>
    <n v="8366.0400000000009"/>
    <x v="0"/>
    <s v="Discharged"/>
    <x v="4"/>
    <x v="0"/>
  </r>
  <r>
    <x v="1896"/>
    <x v="56"/>
    <x v="0"/>
    <x v="3"/>
    <x v="2"/>
    <s v="2025-06-09"/>
    <s v="2025-06-12"/>
    <n v="3"/>
    <n v="11002.92"/>
    <x v="0"/>
    <s v="Other"/>
    <x v="0"/>
    <x v="0"/>
  </r>
  <r>
    <x v="1897"/>
    <x v="0"/>
    <x v="1"/>
    <x v="3"/>
    <x v="0"/>
    <s v="2025-09-15"/>
    <s v="2025-09-22"/>
    <n v="7"/>
    <n v="13352"/>
    <x v="0"/>
    <s v="Discharged"/>
    <x v="0"/>
    <x v="0"/>
  </r>
  <r>
    <x v="1898"/>
    <x v="48"/>
    <x v="0"/>
    <x v="3"/>
    <x v="2"/>
    <s v="2025-04-27"/>
    <s v="2025-05-06"/>
    <n v="9"/>
    <n v="17320.5"/>
    <x v="1"/>
    <s v="Discharged"/>
    <x v="0"/>
    <x v="1"/>
  </r>
  <r>
    <x v="1899"/>
    <x v="42"/>
    <x v="0"/>
    <x v="5"/>
    <x v="1"/>
    <s v="2025-07-22"/>
    <s v="2025-07-24"/>
    <n v="2"/>
    <n v="8643.41"/>
    <x v="0"/>
    <s v="Transferred"/>
    <x v="4"/>
    <x v="0"/>
  </r>
  <r>
    <x v="1900"/>
    <x v="18"/>
    <x v="0"/>
    <x v="1"/>
    <x v="2"/>
    <s v="2025-10-15"/>
    <s v="2025-10-20"/>
    <n v="5"/>
    <n v="4055.01"/>
    <x v="0"/>
    <s v="Discharged"/>
    <x v="3"/>
    <x v="0"/>
  </r>
  <r>
    <x v="1901"/>
    <x v="54"/>
    <x v="1"/>
    <x v="1"/>
    <x v="2"/>
    <s v="2025-11-23"/>
    <s v="2025-11-25"/>
    <n v="2"/>
    <n v="2791.96"/>
    <x v="0"/>
    <s v="Discharged"/>
    <x v="2"/>
    <x v="0"/>
  </r>
  <r>
    <x v="1902"/>
    <x v="51"/>
    <x v="0"/>
    <x v="5"/>
    <x v="0"/>
    <s v="2025-01-11"/>
    <s v="2025-01-16"/>
    <n v="5"/>
    <n v="10610.34"/>
    <x v="0"/>
    <s v="Discharged"/>
    <x v="1"/>
    <x v="0"/>
  </r>
  <r>
    <x v="1903"/>
    <x v="61"/>
    <x v="0"/>
    <x v="2"/>
    <x v="0"/>
    <s v="2025-04-28"/>
    <s v="2025-05-05"/>
    <n v="7"/>
    <n v="10810.88"/>
    <x v="0"/>
    <s v="Discharged"/>
    <x v="4"/>
    <x v="0"/>
  </r>
  <r>
    <x v="1904"/>
    <x v="37"/>
    <x v="1"/>
    <x v="1"/>
    <x v="2"/>
    <s v="2025-07-15"/>
    <s v="2025-07-16"/>
    <n v="1"/>
    <n v="3336.84"/>
    <x v="0"/>
    <s v="Discharged"/>
    <x v="1"/>
    <x v="0"/>
  </r>
  <r>
    <x v="1905"/>
    <x v="21"/>
    <x v="0"/>
    <x v="0"/>
    <x v="2"/>
    <s v="2025-06-13"/>
    <s v="2025-06-15"/>
    <n v="2"/>
    <n v="5665.34"/>
    <x v="0"/>
    <s v="Discharged"/>
    <x v="4"/>
    <x v="0"/>
  </r>
  <r>
    <x v="1906"/>
    <x v="43"/>
    <x v="0"/>
    <x v="0"/>
    <x v="1"/>
    <s v="2025-01-26"/>
    <s v="2025-01-31"/>
    <n v="5"/>
    <n v="9078.7900000000009"/>
    <x v="1"/>
    <s v="Discharged"/>
    <x v="2"/>
    <x v="0"/>
  </r>
  <r>
    <x v="1907"/>
    <x v="29"/>
    <x v="0"/>
    <x v="0"/>
    <x v="0"/>
    <s v="2025-03-26"/>
    <s v="2025-04-02"/>
    <n v="7"/>
    <n v="9034.99"/>
    <x v="1"/>
    <s v="Discharged"/>
    <x v="3"/>
    <x v="0"/>
  </r>
  <r>
    <x v="1908"/>
    <x v="3"/>
    <x v="1"/>
    <x v="1"/>
    <x v="2"/>
    <s v="2025-03-17"/>
    <s v="2025-03-20"/>
    <n v="3"/>
    <n v="5206.28"/>
    <x v="0"/>
    <s v="Discharged"/>
    <x v="0"/>
    <x v="0"/>
  </r>
  <r>
    <x v="1909"/>
    <x v="23"/>
    <x v="0"/>
    <x v="5"/>
    <x v="0"/>
    <s v="2025-01-30"/>
    <s v="2025-02-04"/>
    <n v="5"/>
    <n v="9351.82"/>
    <x v="1"/>
    <s v="Discharged"/>
    <x v="3"/>
    <x v="0"/>
  </r>
  <r>
    <x v="1910"/>
    <x v="0"/>
    <x v="0"/>
    <x v="5"/>
    <x v="0"/>
    <s v="2025-02-03"/>
    <s v="2025-02-08"/>
    <n v="5"/>
    <n v="8593.99"/>
    <x v="0"/>
    <s v="Discharged"/>
    <x v="0"/>
    <x v="0"/>
  </r>
  <r>
    <x v="1911"/>
    <x v="23"/>
    <x v="0"/>
    <x v="2"/>
    <x v="2"/>
    <s v="2025-03-30"/>
    <s v="2025-04-08"/>
    <n v="9"/>
    <n v="12352.66"/>
    <x v="1"/>
    <s v="Discharged"/>
    <x v="3"/>
    <x v="1"/>
  </r>
  <r>
    <x v="1912"/>
    <x v="23"/>
    <x v="1"/>
    <x v="1"/>
    <x v="2"/>
    <s v="2025-03-04"/>
    <s v="2025-03-08"/>
    <n v="4"/>
    <n v="5075.6899999999996"/>
    <x v="0"/>
    <s v="Discharged"/>
    <x v="3"/>
    <x v="0"/>
  </r>
  <r>
    <x v="1913"/>
    <x v="43"/>
    <x v="0"/>
    <x v="0"/>
    <x v="1"/>
    <s v="2025-07-04"/>
    <s v="2025-07-09"/>
    <n v="5"/>
    <n v="3014.7"/>
    <x v="0"/>
    <s v="Discharged"/>
    <x v="2"/>
    <x v="0"/>
  </r>
  <r>
    <x v="1914"/>
    <x v="69"/>
    <x v="0"/>
    <x v="0"/>
    <x v="1"/>
    <s v="2025-09-21"/>
    <s v="2025-09-24"/>
    <n v="3"/>
    <n v="4255.42"/>
    <x v="0"/>
    <s v="Discharged"/>
    <x v="3"/>
    <x v="0"/>
  </r>
  <r>
    <x v="1915"/>
    <x v="8"/>
    <x v="1"/>
    <x v="5"/>
    <x v="0"/>
    <s v="2025-12-26"/>
    <s v="2025-12-29"/>
    <n v="3"/>
    <n v="6286.05"/>
    <x v="0"/>
    <s v="Discharged"/>
    <x v="3"/>
    <x v="0"/>
  </r>
  <r>
    <x v="1916"/>
    <x v="59"/>
    <x v="0"/>
    <x v="5"/>
    <x v="2"/>
    <s v="2025-03-14"/>
    <s v="2025-03-22"/>
    <n v="8"/>
    <n v="10511.98"/>
    <x v="0"/>
    <s v="Other"/>
    <x v="3"/>
    <x v="1"/>
  </r>
  <r>
    <x v="1917"/>
    <x v="5"/>
    <x v="1"/>
    <x v="2"/>
    <x v="0"/>
    <s v="2025-04-28"/>
    <m/>
    <n v="5"/>
    <n v="11954.71"/>
    <x v="0"/>
    <s v="Discharged"/>
    <x v="0"/>
    <x v="0"/>
  </r>
  <r>
    <x v="1918"/>
    <x v="38"/>
    <x v="0"/>
    <x v="1"/>
    <x v="2"/>
    <s v="2025-09-06"/>
    <s v="2025-09-12"/>
    <n v="6"/>
    <n v="7901.64"/>
    <x v="0"/>
    <s v="Transferred"/>
    <x v="0"/>
    <x v="0"/>
  </r>
  <r>
    <x v="1919"/>
    <x v="6"/>
    <x v="0"/>
    <x v="0"/>
    <x v="2"/>
    <s v="2025-08-21"/>
    <s v="2025-08-25"/>
    <n v="4"/>
    <n v="5121.1000000000004"/>
    <x v="1"/>
    <s v="Discharged"/>
    <x v="3"/>
    <x v="0"/>
  </r>
  <r>
    <x v="1920"/>
    <x v="34"/>
    <x v="1"/>
    <x v="2"/>
    <x v="1"/>
    <s v="2025-11-26"/>
    <s v="2025-12-01"/>
    <n v="5"/>
    <n v="9139.76"/>
    <x v="1"/>
    <s v="Discharged"/>
    <x v="2"/>
    <x v="0"/>
  </r>
  <r>
    <x v="1921"/>
    <x v="9"/>
    <x v="0"/>
    <x v="1"/>
    <x v="0"/>
    <s v="2025-11-30"/>
    <s v="2025-12-04"/>
    <n v="4"/>
    <n v="6023.6"/>
    <x v="0"/>
    <s v="Discharged"/>
    <x v="4"/>
    <x v="0"/>
  </r>
  <r>
    <x v="1922"/>
    <x v="13"/>
    <x v="1"/>
    <x v="1"/>
    <x v="2"/>
    <s v="2025-07-31"/>
    <s v="2025-08-04"/>
    <n v="4"/>
    <n v="5147.8500000000004"/>
    <x v="0"/>
    <s v="Discharged"/>
    <x v="1"/>
    <x v="0"/>
  </r>
  <r>
    <x v="1923"/>
    <x v="6"/>
    <x v="0"/>
    <x v="0"/>
    <x v="2"/>
    <s v="2025-04-11"/>
    <s v="2025-04-19"/>
    <n v="8"/>
    <n v="11073.05"/>
    <x v="0"/>
    <s v="Discharged"/>
    <x v="3"/>
    <x v="1"/>
  </r>
  <r>
    <x v="1924"/>
    <x v="31"/>
    <x v="0"/>
    <x v="3"/>
    <x v="2"/>
    <s v="2025-09-19"/>
    <s v="2025-09-30"/>
    <n v="11"/>
    <n v="16459.080000000002"/>
    <x v="0"/>
    <s v="Discharged"/>
    <x v="2"/>
    <x v="1"/>
  </r>
  <r>
    <x v="1925"/>
    <x v="51"/>
    <x v="0"/>
    <x v="2"/>
    <x v="0"/>
    <s v="2025-06-22"/>
    <s v="2025-06-25"/>
    <n v="3"/>
    <n v="10457.290000000001"/>
    <x v="0"/>
    <s v="Discharged"/>
    <x v="1"/>
    <x v="0"/>
  </r>
  <r>
    <x v="1926"/>
    <x v="11"/>
    <x v="1"/>
    <x v="5"/>
    <x v="2"/>
    <s v="2025-05-07"/>
    <s v="2025-05-13"/>
    <n v="6"/>
    <n v="7695.77"/>
    <x v="0"/>
    <s v="Discharged"/>
    <x v="2"/>
    <x v="0"/>
  </r>
  <r>
    <x v="1927"/>
    <x v="61"/>
    <x v="0"/>
    <x v="0"/>
    <x v="1"/>
    <s v="2025-06-20"/>
    <s v="2025-06-24"/>
    <n v="4"/>
    <n v="6932.09"/>
    <x v="0"/>
    <s v="Discharged"/>
    <x v="4"/>
    <x v="0"/>
  </r>
  <r>
    <x v="1928"/>
    <x v="19"/>
    <x v="0"/>
    <x v="1"/>
    <x v="2"/>
    <s v="2025-08-28"/>
    <s v="2025-09-01"/>
    <n v="4"/>
    <n v="6948.07"/>
    <x v="0"/>
    <s v="Discharged"/>
    <x v="2"/>
    <x v="0"/>
  </r>
  <r>
    <x v="1929"/>
    <x v="5"/>
    <x v="0"/>
    <x v="5"/>
    <x v="0"/>
    <s v="2025-01-09"/>
    <s v="2025-01-12"/>
    <n v="3"/>
    <n v="9565.1299999999992"/>
    <x v="0"/>
    <s v="Discharged"/>
    <x v="0"/>
    <x v="0"/>
  </r>
  <r>
    <x v="1930"/>
    <x v="0"/>
    <x v="1"/>
    <x v="0"/>
    <x v="2"/>
    <s v="2025-08-22"/>
    <s v="2025-08-30"/>
    <n v="8"/>
    <n v="6866.78"/>
    <x v="0"/>
    <s v="Discharged"/>
    <x v="0"/>
    <x v="1"/>
  </r>
  <r>
    <x v="1931"/>
    <x v="12"/>
    <x v="1"/>
    <x v="0"/>
    <x v="2"/>
    <s v="2025-04-02"/>
    <s v="2025-04-07"/>
    <n v="5"/>
    <n v="7333.84"/>
    <x v="0"/>
    <s v="Transferred"/>
    <x v="2"/>
    <x v="0"/>
  </r>
  <r>
    <x v="1932"/>
    <x v="48"/>
    <x v="0"/>
    <x v="1"/>
    <x v="0"/>
    <s v="2025-03-17"/>
    <s v="2025-03-21"/>
    <n v="4"/>
    <n v="5183.37"/>
    <x v="0"/>
    <s v="Discharged"/>
    <x v="0"/>
    <x v="0"/>
  </r>
  <r>
    <x v="1933"/>
    <x v="47"/>
    <x v="1"/>
    <x v="0"/>
    <x v="1"/>
    <s v="2025-06-20"/>
    <s v="2025-06-23"/>
    <n v="3"/>
    <n v="7003.56"/>
    <x v="0"/>
    <s v="Transferred"/>
    <x v="4"/>
    <x v="0"/>
  </r>
  <r>
    <x v="1934"/>
    <x v="29"/>
    <x v="0"/>
    <x v="3"/>
    <x v="2"/>
    <s v="2025-02-06"/>
    <s v="2025-02-12"/>
    <n v="6"/>
    <n v="13326.75"/>
    <x v="0"/>
    <s v="Discharged"/>
    <x v="3"/>
    <x v="0"/>
  </r>
  <r>
    <x v="1935"/>
    <x v="64"/>
    <x v="1"/>
    <x v="1"/>
    <x v="0"/>
    <s v="2025-10-23"/>
    <s v="2025-10-24"/>
    <n v="1"/>
    <n v="2576.6999999999998"/>
    <x v="0"/>
    <s v="Discharged"/>
    <x v="4"/>
    <x v="0"/>
  </r>
  <r>
    <x v="1936"/>
    <x v="43"/>
    <x v="0"/>
    <x v="1"/>
    <x v="0"/>
    <s v="2025-01-23"/>
    <s v="2025-01-24"/>
    <n v="1"/>
    <n v="350"/>
    <x v="0"/>
    <s v="Discharged"/>
    <x v="2"/>
    <x v="0"/>
  </r>
  <r>
    <x v="1937"/>
    <x v="28"/>
    <x v="0"/>
    <x v="2"/>
    <x v="1"/>
    <s v="2025-01-18"/>
    <s v="2025-01-24"/>
    <n v="6"/>
    <n v="10459.25"/>
    <x v="1"/>
    <s v="Discharged"/>
    <x v="4"/>
    <x v="0"/>
  </r>
  <r>
    <x v="1938"/>
    <x v="19"/>
    <x v="0"/>
    <x v="1"/>
    <x v="2"/>
    <s v="2025-02-01"/>
    <s v="2025-02-06"/>
    <n v="5"/>
    <n v="6595.72"/>
    <x v="0"/>
    <s v="Discharged"/>
    <x v="2"/>
    <x v="0"/>
  </r>
  <r>
    <x v="1939"/>
    <x v="52"/>
    <x v="0"/>
    <x v="4"/>
    <x v="0"/>
    <s v="2025-01-11"/>
    <s v="2025-01-16"/>
    <n v="5"/>
    <n v="12498.65"/>
    <x v="0"/>
    <s v="Discharged"/>
    <x v="4"/>
    <x v="0"/>
  </r>
  <r>
    <x v="1940"/>
    <x v="34"/>
    <x v="0"/>
    <x v="2"/>
    <x v="2"/>
    <s v="2025-08-02"/>
    <s v="2025-08-08"/>
    <n v="6"/>
    <n v="12999.92"/>
    <x v="0"/>
    <s v="Discharged"/>
    <x v="2"/>
    <x v="0"/>
  </r>
  <r>
    <x v="1941"/>
    <x v="23"/>
    <x v="1"/>
    <x v="0"/>
    <x v="0"/>
    <s v="2025-01-24"/>
    <s v="2025-01-28"/>
    <n v="4"/>
    <n v="7615.84"/>
    <x v="0"/>
    <s v="Discharged"/>
    <x v="3"/>
    <x v="0"/>
  </r>
  <r>
    <x v="1942"/>
    <x v="69"/>
    <x v="1"/>
    <x v="0"/>
    <x v="2"/>
    <s v="2025-05-16"/>
    <s v="2025-05-22"/>
    <n v="6"/>
    <n v="7313.91"/>
    <x v="1"/>
    <s v="Other"/>
    <x v="3"/>
    <x v="0"/>
  </r>
  <r>
    <x v="1943"/>
    <x v="46"/>
    <x v="0"/>
    <x v="2"/>
    <x v="0"/>
    <s v="2025-06-27"/>
    <s v="2025-07-04"/>
    <n v="7"/>
    <n v="10665.73"/>
    <x v="0"/>
    <s v="Discharged"/>
    <x v="1"/>
    <x v="0"/>
  </r>
  <r>
    <x v="1944"/>
    <x v="37"/>
    <x v="0"/>
    <x v="0"/>
    <x v="2"/>
    <s v="2025-05-26"/>
    <s v="2025-06-03"/>
    <n v="8"/>
    <n v="9053.93"/>
    <x v="0"/>
    <s v="Discharged"/>
    <x v="1"/>
    <x v="1"/>
  </r>
  <r>
    <x v="1945"/>
    <x v="68"/>
    <x v="1"/>
    <x v="1"/>
    <x v="2"/>
    <s v="2025-03-16"/>
    <s v="2025-03-22"/>
    <n v="6"/>
    <n v="5600.77"/>
    <x v="0"/>
    <s v="Discharged"/>
    <x v="3"/>
    <x v="0"/>
  </r>
  <r>
    <x v="1946"/>
    <x v="58"/>
    <x v="1"/>
    <x v="5"/>
    <x v="2"/>
    <s v="2025-04-20"/>
    <s v="2025-04-25"/>
    <n v="5"/>
    <n v="9662.84"/>
    <x v="0"/>
    <s v="Discharged"/>
    <x v="2"/>
    <x v="0"/>
  </r>
  <r>
    <x v="1947"/>
    <x v="59"/>
    <x v="1"/>
    <x v="0"/>
    <x v="2"/>
    <s v="2025-07-02"/>
    <s v="2025-07-10"/>
    <n v="8"/>
    <n v="7561.3"/>
    <x v="0"/>
    <s v="Discharged"/>
    <x v="3"/>
    <x v="1"/>
  </r>
  <r>
    <x v="1948"/>
    <x v="1"/>
    <x v="0"/>
    <x v="1"/>
    <x v="2"/>
    <s v="2025-07-02"/>
    <s v="2025-07-06"/>
    <n v="4"/>
    <n v="6675.64"/>
    <x v="0"/>
    <s v="Discharged"/>
    <x v="0"/>
    <x v="0"/>
  </r>
  <r>
    <x v="1949"/>
    <x v="46"/>
    <x v="1"/>
    <x v="1"/>
    <x v="1"/>
    <s v="2025-10-19"/>
    <s v="2025-10-26"/>
    <n v="7"/>
    <n v="6699.48"/>
    <x v="0"/>
    <s v="Discharged"/>
    <x v="1"/>
    <x v="0"/>
  </r>
  <r>
    <x v="1950"/>
    <x v="11"/>
    <x v="1"/>
    <x v="5"/>
    <x v="0"/>
    <s v="2025-10-15"/>
    <s v="2025-10-20"/>
    <n v="5"/>
    <n v="10372.5"/>
    <x v="0"/>
    <s v="Discharged"/>
    <x v="2"/>
    <x v="0"/>
  </r>
  <r>
    <x v="1951"/>
    <x v="48"/>
    <x v="0"/>
    <x v="0"/>
    <x v="0"/>
    <s v="2025-02-01"/>
    <s v="2025-02-02"/>
    <n v="1"/>
    <n v="6503.32"/>
    <x v="0"/>
    <s v="Discharged"/>
    <x v="0"/>
    <x v="0"/>
  </r>
  <r>
    <x v="1952"/>
    <x v="65"/>
    <x v="0"/>
    <x v="3"/>
    <x v="2"/>
    <s v="2025-11-05"/>
    <s v="2025-11-10"/>
    <n v="5"/>
    <n v="10929.57"/>
    <x v="0"/>
    <s v="Discharged"/>
    <x v="3"/>
    <x v="0"/>
  </r>
  <r>
    <x v="1953"/>
    <x v="16"/>
    <x v="1"/>
    <x v="1"/>
    <x v="2"/>
    <s v="2025-08-01"/>
    <s v="2025-08-06"/>
    <n v="5"/>
    <n v="4254.91"/>
    <x v="0"/>
    <s v="Discharged"/>
    <x v="4"/>
    <x v="0"/>
  </r>
  <r>
    <x v="1954"/>
    <x v="71"/>
    <x v="0"/>
    <x v="1"/>
    <x v="0"/>
    <s v="2025-02-10"/>
    <s v="2025-02-12"/>
    <n v="2"/>
    <n v="6824.5"/>
    <x v="0"/>
    <s v="Discharged"/>
    <x v="1"/>
    <x v="0"/>
  </r>
  <r>
    <x v="1955"/>
    <x v="65"/>
    <x v="0"/>
    <x v="4"/>
    <x v="2"/>
    <s v="2025-09-30"/>
    <s v="2025-10-07"/>
    <n v="7"/>
    <n v="12689.37"/>
    <x v="0"/>
    <s v="Discharged"/>
    <x v="3"/>
    <x v="0"/>
  </r>
  <r>
    <x v="1956"/>
    <x v="5"/>
    <x v="0"/>
    <x v="1"/>
    <x v="1"/>
    <s v="2025-05-23"/>
    <s v="2025-05-27"/>
    <n v="4"/>
    <n v="3607.75"/>
    <x v="0"/>
    <s v="Transferred"/>
    <x v="0"/>
    <x v="0"/>
  </r>
  <r>
    <x v="1957"/>
    <x v="2"/>
    <x v="0"/>
    <x v="0"/>
    <x v="2"/>
    <s v="2025-08-30"/>
    <s v="2025-09-05"/>
    <n v="6"/>
    <n v="6946.21"/>
    <x v="0"/>
    <s v="Discharged"/>
    <x v="1"/>
    <x v="0"/>
  </r>
  <r>
    <x v="1958"/>
    <x v="47"/>
    <x v="1"/>
    <x v="2"/>
    <x v="2"/>
    <s v="2025-07-18"/>
    <s v="2025-07-26"/>
    <n v="8"/>
    <n v="12914.73"/>
    <x v="0"/>
    <s v="Discharged"/>
    <x v="4"/>
    <x v="1"/>
  </r>
  <r>
    <x v="1959"/>
    <x v="71"/>
    <x v="0"/>
    <x v="1"/>
    <x v="2"/>
    <s v="2025-05-17"/>
    <s v="2025-05-20"/>
    <n v="3"/>
    <n v="5242.25"/>
    <x v="1"/>
    <s v="Discharged"/>
    <x v="1"/>
    <x v="0"/>
  </r>
  <r>
    <x v="1960"/>
    <x v="49"/>
    <x v="1"/>
    <x v="2"/>
    <x v="1"/>
    <s v="2025-09-22"/>
    <s v="2025-09-28"/>
    <n v="6"/>
    <n v="11666.65"/>
    <x v="0"/>
    <s v="Discharged"/>
    <x v="0"/>
    <x v="0"/>
  </r>
  <r>
    <x v="1961"/>
    <x v="40"/>
    <x v="0"/>
    <x v="1"/>
    <x v="1"/>
    <s v="2025-02-21"/>
    <s v="2025-02-26"/>
    <n v="5"/>
    <n v="6877.25"/>
    <x v="0"/>
    <s v="Discharged"/>
    <x v="1"/>
    <x v="0"/>
  </r>
  <r>
    <x v="1962"/>
    <x v="33"/>
    <x v="1"/>
    <x v="0"/>
    <x v="1"/>
    <s v="2025-10-25"/>
    <s v="2025-11-04"/>
    <n v="10"/>
    <n v="10434.6"/>
    <x v="1"/>
    <s v="Discharged"/>
    <x v="2"/>
    <x v="1"/>
  </r>
  <r>
    <x v="1963"/>
    <x v="59"/>
    <x v="1"/>
    <x v="4"/>
    <x v="2"/>
    <s v="2025-04-24"/>
    <s v="2025-05-03"/>
    <n v="9"/>
    <n v="12596.48"/>
    <x v="0"/>
    <s v="Discharged"/>
    <x v="3"/>
    <x v="1"/>
  </r>
  <r>
    <x v="1964"/>
    <x v="72"/>
    <x v="0"/>
    <x v="3"/>
    <x v="2"/>
    <s v="2025-04-16"/>
    <s v="2025-04-22"/>
    <n v="6"/>
    <n v="14048.36"/>
    <x v="1"/>
    <s v="Discharged"/>
    <x v="2"/>
    <x v="0"/>
  </r>
  <r>
    <x v="1965"/>
    <x v="38"/>
    <x v="1"/>
    <x v="2"/>
    <x v="1"/>
    <s v="2025-10-24"/>
    <s v="2025-11-01"/>
    <n v="8"/>
    <n v="11935.25"/>
    <x v="1"/>
    <s v="Discharged"/>
    <x v="0"/>
    <x v="1"/>
  </r>
  <r>
    <x v="1966"/>
    <x v="33"/>
    <x v="0"/>
    <x v="1"/>
    <x v="2"/>
    <s v="2025-09-11"/>
    <s v="2025-09-14"/>
    <n v="3"/>
    <n v="3619.8"/>
    <x v="0"/>
    <s v="Discharged"/>
    <x v="2"/>
    <x v="0"/>
  </r>
  <r>
    <x v="1967"/>
    <x v="17"/>
    <x v="1"/>
    <x v="3"/>
    <x v="2"/>
    <s v="2025-05-09"/>
    <s v="2025-05-20"/>
    <n v="11"/>
    <n v="18399.55"/>
    <x v="1"/>
    <s v="Discharged"/>
    <x v="2"/>
    <x v="1"/>
  </r>
  <r>
    <x v="1968"/>
    <x v="11"/>
    <x v="0"/>
    <x v="1"/>
    <x v="2"/>
    <s v="2025-11-08"/>
    <s v="2025-11-15"/>
    <n v="7"/>
    <n v="7028.19"/>
    <x v="1"/>
    <s v="Discharged"/>
    <x v="2"/>
    <x v="0"/>
  </r>
  <r>
    <x v="1969"/>
    <x v="67"/>
    <x v="1"/>
    <x v="1"/>
    <x v="2"/>
    <s v="2025-01-05"/>
    <s v="2025-01-07"/>
    <n v="2"/>
    <n v="5177.49"/>
    <x v="0"/>
    <s v="Discharged"/>
    <x v="3"/>
    <x v="0"/>
  </r>
  <r>
    <x v="1970"/>
    <x v="4"/>
    <x v="1"/>
    <x v="0"/>
    <x v="0"/>
    <s v="2025-12-22"/>
    <s v="2025-12-26"/>
    <n v="4"/>
    <n v="7373.59"/>
    <x v="0"/>
    <s v="Discharged"/>
    <x v="2"/>
    <x v="0"/>
  </r>
  <r>
    <x v="1971"/>
    <x v="17"/>
    <x v="1"/>
    <x v="0"/>
    <x v="2"/>
    <s v="2025-06-18"/>
    <s v="2025-06-20"/>
    <n v="2"/>
    <n v="6552.44"/>
    <x v="0"/>
    <s v="Discharged"/>
    <x v="2"/>
    <x v="0"/>
  </r>
  <r>
    <x v="1972"/>
    <x v="26"/>
    <x v="1"/>
    <x v="2"/>
    <x v="2"/>
    <s v="2025-02-07"/>
    <s v="2025-02-11"/>
    <n v="4"/>
    <n v="9676.41"/>
    <x v="0"/>
    <s v="Discharged"/>
    <x v="3"/>
    <x v="0"/>
  </r>
  <r>
    <x v="1973"/>
    <x v="72"/>
    <x v="1"/>
    <x v="1"/>
    <x v="2"/>
    <s v="2025-03-31"/>
    <s v="2025-04-03"/>
    <n v="3"/>
    <n v="5819.76"/>
    <x v="1"/>
    <s v="Discharged"/>
    <x v="2"/>
    <x v="0"/>
  </r>
  <r>
    <x v="1974"/>
    <x v="23"/>
    <x v="1"/>
    <x v="1"/>
    <x v="0"/>
    <s v="2025-11-04"/>
    <s v="2025-11-08"/>
    <n v="4"/>
    <n v="3240.73"/>
    <x v="0"/>
    <s v="Discharged"/>
    <x v="3"/>
    <x v="0"/>
  </r>
  <r>
    <x v="1975"/>
    <x v="58"/>
    <x v="0"/>
    <x v="1"/>
    <x v="2"/>
    <s v="2025-07-18"/>
    <s v="2025-07-24"/>
    <n v="6"/>
    <n v="6436.95"/>
    <x v="0"/>
    <s v="Transferred"/>
    <x v="2"/>
    <x v="0"/>
  </r>
  <r>
    <x v="1976"/>
    <x v="0"/>
    <x v="2"/>
    <x v="2"/>
    <x v="0"/>
    <s v="2025-06-07"/>
    <s v="2025-06-11"/>
    <n v="4"/>
    <n v="9685.6299999999992"/>
    <x v="0"/>
    <s v="Transferred"/>
    <x v="0"/>
    <x v="0"/>
  </r>
  <r>
    <x v="1977"/>
    <x v="9"/>
    <x v="0"/>
    <x v="5"/>
    <x v="1"/>
    <s v="2025-04-25"/>
    <s v="2025-04-27"/>
    <n v="2"/>
    <n v="10163.540000000001"/>
    <x v="0"/>
    <s v="Discharged"/>
    <x v="4"/>
    <x v="0"/>
  </r>
  <r>
    <x v="1978"/>
    <x v="47"/>
    <x v="0"/>
    <x v="1"/>
    <x v="2"/>
    <s v="2025-03-19"/>
    <s v="2025-03-22"/>
    <n v="3"/>
    <n v="6295.53"/>
    <x v="1"/>
    <s v="Transferred"/>
    <x v="4"/>
    <x v="0"/>
  </r>
  <r>
    <x v="1979"/>
    <x v="55"/>
    <x v="1"/>
    <x v="4"/>
    <x v="2"/>
    <s v="2025-03-23"/>
    <s v="2025-03-27"/>
    <n v="4"/>
    <n v="12975.64"/>
    <x v="0"/>
    <s v="Discharged"/>
    <x v="4"/>
    <x v="0"/>
  </r>
  <r>
    <x v="1980"/>
    <x v="58"/>
    <x v="0"/>
    <x v="5"/>
    <x v="0"/>
    <s v="2025-11-16"/>
    <s v="2025-11-22"/>
    <n v="6"/>
    <n v="12109.33"/>
    <x v="0"/>
    <s v="Transferred"/>
    <x v="2"/>
    <x v="0"/>
  </r>
  <r>
    <x v="1981"/>
    <x v="7"/>
    <x v="1"/>
    <x v="0"/>
    <x v="1"/>
    <s v="2025-04-02"/>
    <s v="2025-04-06"/>
    <n v="4"/>
    <n v="2955.61"/>
    <x v="0"/>
    <s v="Discharged"/>
    <x v="4"/>
    <x v="0"/>
  </r>
  <r>
    <x v="1982"/>
    <x v="55"/>
    <x v="0"/>
    <x v="3"/>
    <x v="0"/>
    <s v="2025-01-09"/>
    <s v="2025-01-13"/>
    <n v="4"/>
    <n v="12673.32"/>
    <x v="0"/>
    <s v="Discharged"/>
    <x v="4"/>
    <x v="0"/>
  </r>
  <r>
    <x v="1983"/>
    <x v="58"/>
    <x v="1"/>
    <x v="0"/>
    <x v="1"/>
    <s v="2025-06-24"/>
    <s v="2025-06-28"/>
    <n v="4"/>
    <n v="7737.33"/>
    <x v="1"/>
    <s v="Discharged"/>
    <x v="2"/>
    <x v="0"/>
  </r>
  <r>
    <x v="1984"/>
    <x v="61"/>
    <x v="0"/>
    <x v="4"/>
    <x v="2"/>
    <s v="2025-06-27"/>
    <s v="2025-07-01"/>
    <n v="4"/>
    <n v="11403.77"/>
    <x v="0"/>
    <s v="Discharged"/>
    <x v="4"/>
    <x v="0"/>
  </r>
  <r>
    <x v="1985"/>
    <x v="57"/>
    <x v="1"/>
    <x v="0"/>
    <x v="0"/>
    <s v="2025-10-26"/>
    <s v="2025-10-29"/>
    <n v="3"/>
    <n v="4577.8599999999997"/>
    <x v="0"/>
    <s v="Discharged"/>
    <x v="3"/>
    <x v="0"/>
  </r>
  <r>
    <x v="1986"/>
    <x v="24"/>
    <x v="1"/>
    <x v="0"/>
    <x v="0"/>
    <s v="2025-12-19"/>
    <s v="2025-12-26"/>
    <n v="7"/>
    <n v="6724.96"/>
    <x v="1"/>
    <s v="Discharged"/>
    <x v="2"/>
    <x v="0"/>
  </r>
  <r>
    <x v="1987"/>
    <x v="25"/>
    <x v="1"/>
    <x v="4"/>
    <x v="0"/>
    <s v="2025-04-22"/>
    <s v="2025-04-26"/>
    <n v="4"/>
    <n v="11655.48"/>
    <x v="0"/>
    <s v="Discharged"/>
    <x v="2"/>
    <x v="0"/>
  </r>
  <r>
    <x v="1988"/>
    <x v="68"/>
    <x v="0"/>
    <x v="4"/>
    <x v="0"/>
    <s v="2025-12-05"/>
    <s v="2025-12-08"/>
    <n v="3"/>
    <n v="9044.0400000000009"/>
    <x v="0"/>
    <s v="Discharged"/>
    <x v="3"/>
    <x v="0"/>
  </r>
  <r>
    <x v="1989"/>
    <x v="61"/>
    <x v="0"/>
    <x v="1"/>
    <x v="2"/>
    <s v="2025-07-09"/>
    <s v="2025-07-12"/>
    <n v="3"/>
    <n v="5067.34"/>
    <x v="0"/>
    <s v="Discharged"/>
    <x v="4"/>
    <x v="0"/>
  </r>
  <r>
    <x v="1990"/>
    <x v="11"/>
    <x v="1"/>
    <x v="0"/>
    <x v="0"/>
    <s v="2025-12-12"/>
    <s v="2025-12-15"/>
    <n v="3"/>
    <n v="3866.57"/>
    <x v="0"/>
    <s v="Discharged"/>
    <x v="2"/>
    <x v="0"/>
  </r>
  <r>
    <x v="1991"/>
    <x v="71"/>
    <x v="1"/>
    <x v="1"/>
    <x v="0"/>
    <s v="2025-12-30"/>
    <s v="2025-12-31"/>
    <n v="1"/>
    <n v="4823.6000000000004"/>
    <x v="0"/>
    <s v="Discharged"/>
    <x v="1"/>
    <x v="0"/>
  </r>
  <r>
    <x v="1992"/>
    <x v="5"/>
    <x v="1"/>
    <x v="2"/>
    <x v="2"/>
    <s v="2025-05-19"/>
    <s v="2025-05-25"/>
    <n v="6"/>
    <n v="10556.4"/>
    <x v="0"/>
    <s v="Discharged"/>
    <x v="0"/>
    <x v="0"/>
  </r>
  <r>
    <x v="1993"/>
    <x v="59"/>
    <x v="1"/>
    <x v="1"/>
    <x v="0"/>
    <s v="2025-06-11"/>
    <s v="2025-06-14"/>
    <n v="3"/>
    <n v="4320.2700000000004"/>
    <x v="0"/>
    <s v="Discharged"/>
    <x v="3"/>
    <x v="0"/>
  </r>
  <r>
    <x v="1994"/>
    <x v="31"/>
    <x v="1"/>
    <x v="5"/>
    <x v="2"/>
    <s v="2025-06-28"/>
    <s v="2025-07-05"/>
    <n v="7"/>
    <n v="10148.19"/>
    <x v="0"/>
    <s v="Discharged"/>
    <x v="2"/>
    <x v="0"/>
  </r>
  <r>
    <x v="1995"/>
    <x v="70"/>
    <x v="1"/>
    <x v="0"/>
    <x v="2"/>
    <s v="2025-08-16"/>
    <s v="2025-08-18"/>
    <n v="2"/>
    <n v="3889.44"/>
    <x v="0"/>
    <s v="Discharged"/>
    <x v="1"/>
    <x v="0"/>
  </r>
  <r>
    <x v="1996"/>
    <x v="13"/>
    <x v="1"/>
    <x v="0"/>
    <x v="2"/>
    <s v="2025-09-28"/>
    <s v="2025-10-04"/>
    <n v="6"/>
    <n v="9101.0300000000007"/>
    <x v="0"/>
    <s v="Discharged"/>
    <x v="1"/>
    <x v="0"/>
  </r>
  <r>
    <x v="1997"/>
    <x v="68"/>
    <x v="0"/>
    <x v="0"/>
    <x v="0"/>
    <s v="2025-02-03"/>
    <s v="2025-02-07"/>
    <n v="4"/>
    <n v="4735.7"/>
    <x v="1"/>
    <s v="Discharged"/>
    <x v="3"/>
    <x v="0"/>
  </r>
  <r>
    <x v="1998"/>
    <x v="70"/>
    <x v="1"/>
    <x v="5"/>
    <x v="2"/>
    <s v="2025-07-26"/>
    <s v="2025-08-02"/>
    <n v="7"/>
    <n v="10234.040000000001"/>
    <x v="0"/>
    <s v="Discharged"/>
    <x v="1"/>
    <x v="0"/>
  </r>
  <r>
    <x v="1999"/>
    <x v="12"/>
    <x v="1"/>
    <x v="5"/>
    <x v="2"/>
    <s v="2025-04-05"/>
    <s v="2025-04-12"/>
    <n v="7"/>
    <n v="10609.79"/>
    <x v="0"/>
    <s v="Discharged"/>
    <x v="2"/>
    <x v="0"/>
  </r>
  <r>
    <x v="2000"/>
    <x v="3"/>
    <x v="1"/>
    <x v="5"/>
    <x v="2"/>
    <s v="2025-10-04"/>
    <s v="2025-10-08"/>
    <n v="4"/>
    <n v="6817.22"/>
    <x v="0"/>
    <s v="Discharged"/>
    <x v="0"/>
    <x v="0"/>
  </r>
  <r>
    <x v="2001"/>
    <x v="5"/>
    <x v="0"/>
    <x v="2"/>
    <x v="2"/>
    <s v="2025-03-19"/>
    <s v="2025-03-25"/>
    <n v="6"/>
    <n v="8991.4599999999991"/>
    <x v="0"/>
    <s v="Discharged"/>
    <x v="0"/>
    <x v="0"/>
  </r>
  <r>
    <x v="2002"/>
    <x v="70"/>
    <x v="1"/>
    <x v="1"/>
    <x v="2"/>
    <s v="2025-10-07"/>
    <s v="2025-10-12"/>
    <n v="5"/>
    <n v="8422.51"/>
    <x v="0"/>
    <s v="Discharged"/>
    <x v="1"/>
    <x v="0"/>
  </r>
  <r>
    <x v="2003"/>
    <x v="28"/>
    <x v="1"/>
    <x v="1"/>
    <x v="1"/>
    <s v="2025-06-06"/>
    <s v="2025-06-07"/>
    <n v="1"/>
    <n v="4942.1899999999996"/>
    <x v="0"/>
    <s v="Discharged"/>
    <x v="4"/>
    <x v="0"/>
  </r>
  <r>
    <x v="2004"/>
    <x v="68"/>
    <x v="1"/>
    <x v="5"/>
    <x v="0"/>
    <s v="2025-11-04"/>
    <s v="2025-11-11"/>
    <n v="7"/>
    <n v="10655.7"/>
    <x v="0"/>
    <s v="Discharged"/>
    <x v="3"/>
    <x v="0"/>
  </r>
  <r>
    <x v="2005"/>
    <x v="52"/>
    <x v="0"/>
    <x v="4"/>
    <x v="0"/>
    <s v="2025-02-06"/>
    <s v="2025-02-10"/>
    <n v="4"/>
    <n v="7581.38"/>
    <x v="0"/>
    <s v="Discharged"/>
    <x v="4"/>
    <x v="0"/>
  </r>
  <r>
    <x v="2006"/>
    <x v="8"/>
    <x v="1"/>
    <x v="1"/>
    <x v="0"/>
    <s v="2025-05-07"/>
    <s v="2025-05-12"/>
    <n v="5"/>
    <n v="5564.42"/>
    <x v="0"/>
    <s v="Discharged"/>
    <x v="3"/>
    <x v="0"/>
  </r>
  <r>
    <x v="2007"/>
    <x v="7"/>
    <x v="1"/>
    <x v="3"/>
    <x v="2"/>
    <s v="2025-08-24"/>
    <s v="2025-08-31"/>
    <n v="7"/>
    <n v="14753.67"/>
    <x v="0"/>
    <s v="Discharged"/>
    <x v="4"/>
    <x v="0"/>
  </r>
  <r>
    <x v="2008"/>
    <x v="44"/>
    <x v="1"/>
    <x v="5"/>
    <x v="2"/>
    <s v="2025-02-12"/>
    <s v="2025-02-17"/>
    <n v="5"/>
    <n v="10644.59"/>
    <x v="0"/>
    <s v="Discharged"/>
    <x v="1"/>
    <x v="0"/>
  </r>
  <r>
    <x v="2009"/>
    <x v="0"/>
    <x v="0"/>
    <x v="1"/>
    <x v="0"/>
    <s v="2025-12-07"/>
    <s v="2025-12-08"/>
    <n v="1"/>
    <n v="4786.16"/>
    <x v="0"/>
    <s v="Discharged"/>
    <x v="0"/>
    <x v="0"/>
  </r>
  <r>
    <x v="2010"/>
    <x v="15"/>
    <x v="0"/>
    <x v="5"/>
    <x v="2"/>
    <s v="2025-08-13"/>
    <s v="2025-08-21"/>
    <n v="8"/>
    <n v="13955.69"/>
    <x v="0"/>
    <s v="Discharged"/>
    <x v="1"/>
    <x v="1"/>
  </r>
  <r>
    <x v="2011"/>
    <x v="40"/>
    <x v="2"/>
    <x v="3"/>
    <x v="2"/>
    <s v="2025-01-05"/>
    <s v="2025-01-13"/>
    <n v="8"/>
    <n v="13925.38"/>
    <x v="0"/>
    <s v="Discharged"/>
    <x v="1"/>
    <x v="1"/>
  </r>
  <r>
    <x v="2012"/>
    <x v="39"/>
    <x v="1"/>
    <x v="1"/>
    <x v="1"/>
    <s v="2025-04-08"/>
    <s v="2025-04-14"/>
    <n v="6"/>
    <n v="5445.87"/>
    <x v="0"/>
    <s v="Discharged"/>
    <x v="4"/>
    <x v="0"/>
  </r>
  <r>
    <x v="2013"/>
    <x v="31"/>
    <x v="1"/>
    <x v="3"/>
    <x v="2"/>
    <s v="2025-03-01"/>
    <s v="2025-03-06"/>
    <n v="5"/>
    <n v="11304.09"/>
    <x v="1"/>
    <s v="Discharged"/>
    <x v="2"/>
    <x v="0"/>
  </r>
  <r>
    <x v="2014"/>
    <x v="67"/>
    <x v="0"/>
    <x v="0"/>
    <x v="1"/>
    <s v="2025-01-09"/>
    <s v="2025-01-12"/>
    <n v="3"/>
    <n v="5953.83"/>
    <x v="0"/>
    <s v="Transferred"/>
    <x v="3"/>
    <x v="0"/>
  </r>
  <r>
    <x v="2015"/>
    <x v="63"/>
    <x v="1"/>
    <x v="1"/>
    <x v="1"/>
    <s v="2025-08-22"/>
    <s v="2025-08-29"/>
    <n v="7"/>
    <n v="7439.12"/>
    <x v="0"/>
    <s v="Discharged"/>
    <x v="3"/>
    <x v="0"/>
  </r>
  <r>
    <x v="2016"/>
    <x v="46"/>
    <x v="0"/>
    <x v="5"/>
    <x v="0"/>
    <s v="2025-06-25"/>
    <s v="2025-06-26"/>
    <n v="1"/>
    <n v="7581.14"/>
    <x v="0"/>
    <s v="Discharged"/>
    <x v="1"/>
    <x v="0"/>
  </r>
  <r>
    <x v="2017"/>
    <x v="29"/>
    <x v="1"/>
    <x v="0"/>
    <x v="2"/>
    <s v="2025-04-15"/>
    <m/>
    <n v="5"/>
    <n v="7046.8"/>
    <x v="0"/>
    <s v="Discharged"/>
    <x v="3"/>
    <x v="0"/>
  </r>
  <r>
    <x v="2018"/>
    <x v="67"/>
    <x v="0"/>
    <x v="5"/>
    <x v="2"/>
    <s v="2025-02-01"/>
    <s v="2025-02-05"/>
    <n v="4"/>
    <n v="5953.65"/>
    <x v="0"/>
    <s v="Discharged"/>
    <x v="3"/>
    <x v="0"/>
  </r>
  <r>
    <x v="2019"/>
    <x v="9"/>
    <x v="0"/>
    <x v="4"/>
    <x v="1"/>
    <s v="2025-11-07"/>
    <s v="2025-11-11"/>
    <n v="4"/>
    <n v="9791.58"/>
    <x v="0"/>
    <s v="Discharged"/>
    <x v="4"/>
    <x v="0"/>
  </r>
  <r>
    <x v="2020"/>
    <x v="59"/>
    <x v="1"/>
    <x v="1"/>
    <x v="2"/>
    <s v="2025-05-03"/>
    <s v="2025-05-07"/>
    <n v="4"/>
    <n v="8062.6"/>
    <x v="0"/>
    <s v="Discharged"/>
    <x v="3"/>
    <x v="0"/>
  </r>
  <r>
    <x v="2021"/>
    <x v="50"/>
    <x v="0"/>
    <x v="2"/>
    <x v="1"/>
    <s v="2025-03-12"/>
    <m/>
    <n v="5"/>
    <n v="9539.02"/>
    <x v="1"/>
    <s v="Discharged"/>
    <x v="0"/>
    <x v="0"/>
  </r>
  <r>
    <x v="2022"/>
    <x v="65"/>
    <x v="0"/>
    <x v="1"/>
    <x v="0"/>
    <s v="2025-09-02"/>
    <s v="2025-09-08"/>
    <n v="6"/>
    <n v="5975.32"/>
    <x v="0"/>
    <s v="Other"/>
    <x v="3"/>
    <x v="0"/>
  </r>
  <r>
    <x v="2023"/>
    <x v="5"/>
    <x v="0"/>
    <x v="1"/>
    <x v="2"/>
    <s v="2025-03-04"/>
    <s v="2025-03-09"/>
    <n v="5"/>
    <n v="6663.77"/>
    <x v="0"/>
    <s v="Discharged"/>
    <x v="0"/>
    <x v="0"/>
  </r>
  <r>
    <x v="2024"/>
    <x v="40"/>
    <x v="1"/>
    <x v="2"/>
    <x v="2"/>
    <s v="2025-06-27"/>
    <s v="2025-07-03"/>
    <n v="6"/>
    <n v="11784.71"/>
    <x v="0"/>
    <s v="Discharged"/>
    <x v="1"/>
    <x v="0"/>
  </r>
  <r>
    <x v="2025"/>
    <x v="70"/>
    <x v="0"/>
    <x v="5"/>
    <x v="0"/>
    <s v="2025-10-19"/>
    <s v="2025-10-24"/>
    <n v="5"/>
    <n v="8085.28"/>
    <x v="0"/>
    <s v="Discharged"/>
    <x v="1"/>
    <x v="0"/>
  </r>
  <r>
    <x v="2026"/>
    <x v="69"/>
    <x v="1"/>
    <x v="1"/>
    <x v="0"/>
    <s v="2025-12-03"/>
    <s v="2025-12-08"/>
    <n v="5"/>
    <n v="6008.62"/>
    <x v="0"/>
    <s v="Discharged"/>
    <x v="3"/>
    <x v="0"/>
  </r>
  <r>
    <x v="2027"/>
    <x v="48"/>
    <x v="1"/>
    <x v="3"/>
    <x v="0"/>
    <s v="2025-11-21"/>
    <s v="2025-11-25"/>
    <n v="4"/>
    <n v="12404.38"/>
    <x v="0"/>
    <s v="Discharged"/>
    <x v="0"/>
    <x v="0"/>
  </r>
  <r>
    <x v="2028"/>
    <x v="64"/>
    <x v="1"/>
    <x v="4"/>
    <x v="2"/>
    <s v="2025-12-03"/>
    <m/>
    <n v="10"/>
    <n v="13853.31"/>
    <x v="0"/>
    <s v="Discharged"/>
    <x v="4"/>
    <x v="1"/>
  </r>
  <r>
    <x v="2029"/>
    <x v="71"/>
    <x v="1"/>
    <x v="0"/>
    <x v="2"/>
    <s v="2025-04-13"/>
    <s v="2025-04-15"/>
    <n v="2"/>
    <n v="4803.08"/>
    <x v="0"/>
    <s v="Discharged"/>
    <x v="1"/>
    <x v="0"/>
  </r>
  <r>
    <x v="2030"/>
    <x v="53"/>
    <x v="1"/>
    <x v="3"/>
    <x v="1"/>
    <s v="2025-06-07"/>
    <s v="2025-06-16"/>
    <n v="9"/>
    <n v="14551.11"/>
    <x v="1"/>
    <s v="Discharged"/>
    <x v="4"/>
    <x v="1"/>
  </r>
  <r>
    <x v="2031"/>
    <x v="63"/>
    <x v="1"/>
    <x v="4"/>
    <x v="2"/>
    <s v="2025-08-24"/>
    <s v="2025-08-29"/>
    <n v="5"/>
    <n v="7774.45"/>
    <x v="0"/>
    <s v="Discharged"/>
    <x v="3"/>
    <x v="0"/>
  </r>
  <r>
    <x v="2032"/>
    <x v="23"/>
    <x v="0"/>
    <x v="5"/>
    <x v="2"/>
    <s v="2025-01-11"/>
    <s v="2025-01-17"/>
    <n v="6"/>
    <n v="8419.09"/>
    <x v="0"/>
    <s v="Discharged"/>
    <x v="3"/>
    <x v="0"/>
  </r>
  <r>
    <x v="2033"/>
    <x v="2"/>
    <x v="0"/>
    <x v="3"/>
    <x v="2"/>
    <s v="2025-11-30"/>
    <s v="2025-12-09"/>
    <n v="9"/>
    <n v="14336.35"/>
    <x v="1"/>
    <s v="Discharged"/>
    <x v="1"/>
    <x v="1"/>
  </r>
  <r>
    <x v="2034"/>
    <x v="35"/>
    <x v="0"/>
    <x v="5"/>
    <x v="2"/>
    <s v="2025-11-19"/>
    <s v="2025-11-23"/>
    <n v="4"/>
    <n v="7284.07"/>
    <x v="0"/>
    <s v="Discharged"/>
    <x v="4"/>
    <x v="0"/>
  </r>
  <r>
    <x v="2035"/>
    <x v="55"/>
    <x v="1"/>
    <x v="0"/>
    <x v="2"/>
    <s v="2025-02-01"/>
    <s v="2025-02-07"/>
    <n v="6"/>
    <n v="3738.66"/>
    <x v="0"/>
    <s v="Discharged"/>
    <x v="4"/>
    <x v="0"/>
  </r>
  <r>
    <x v="2036"/>
    <x v="0"/>
    <x v="1"/>
    <x v="0"/>
    <x v="2"/>
    <s v="2025-03-05"/>
    <s v="2025-03-10"/>
    <n v="5"/>
    <n v="6534.65"/>
    <x v="0"/>
    <s v="Discharged"/>
    <x v="0"/>
    <x v="0"/>
  </r>
  <r>
    <x v="2037"/>
    <x v="71"/>
    <x v="0"/>
    <x v="1"/>
    <x v="2"/>
    <s v="2025-05-30"/>
    <s v="2025-06-05"/>
    <n v="6"/>
    <n v="7777.17"/>
    <x v="0"/>
    <s v="Other"/>
    <x v="1"/>
    <x v="0"/>
  </r>
  <r>
    <x v="2038"/>
    <x v="54"/>
    <x v="0"/>
    <x v="2"/>
    <x v="1"/>
    <s v="2025-12-28"/>
    <s v="2025-12-30"/>
    <n v="2"/>
    <n v="6034.79"/>
    <x v="0"/>
    <s v="Discharged"/>
    <x v="2"/>
    <x v="0"/>
  </r>
  <r>
    <x v="2039"/>
    <x v="58"/>
    <x v="0"/>
    <x v="5"/>
    <x v="2"/>
    <s v="2025-05-15"/>
    <s v="2025-05-22"/>
    <n v="7"/>
    <n v="9913.99"/>
    <x v="1"/>
    <s v="Discharged"/>
    <x v="2"/>
    <x v="0"/>
  </r>
  <r>
    <x v="2040"/>
    <x v="15"/>
    <x v="1"/>
    <x v="1"/>
    <x v="2"/>
    <s v="2025-11-09"/>
    <s v="2025-11-17"/>
    <n v="8"/>
    <n v="4901.87"/>
    <x v="0"/>
    <s v="Discharged"/>
    <x v="1"/>
    <x v="1"/>
  </r>
  <r>
    <x v="2041"/>
    <x v="35"/>
    <x v="1"/>
    <x v="2"/>
    <x v="0"/>
    <s v="2025-03-26"/>
    <s v="2025-03-31"/>
    <n v="5"/>
    <n v="11058.08"/>
    <x v="0"/>
    <s v="Discharged"/>
    <x v="4"/>
    <x v="0"/>
  </r>
  <r>
    <x v="2042"/>
    <x v="52"/>
    <x v="1"/>
    <x v="1"/>
    <x v="0"/>
    <s v="2025-02-26"/>
    <s v="2025-03-04"/>
    <n v="6"/>
    <n v="5501.37"/>
    <x v="0"/>
    <s v="Discharged"/>
    <x v="4"/>
    <x v="0"/>
  </r>
  <r>
    <x v="2043"/>
    <x v="54"/>
    <x v="1"/>
    <x v="0"/>
    <x v="1"/>
    <s v="2025-11-23"/>
    <s v="2025-11-29"/>
    <n v="6"/>
    <n v="9416.66"/>
    <x v="0"/>
    <s v="Discharged"/>
    <x v="2"/>
    <x v="0"/>
  </r>
  <r>
    <x v="2044"/>
    <x v="38"/>
    <x v="0"/>
    <x v="3"/>
    <x v="1"/>
    <s v="2025-12-06"/>
    <s v="2025-12-16"/>
    <n v="10"/>
    <n v="17109.98"/>
    <x v="0"/>
    <s v="Discharged"/>
    <x v="0"/>
    <x v="1"/>
  </r>
  <r>
    <x v="2045"/>
    <x v="0"/>
    <x v="1"/>
    <x v="2"/>
    <x v="1"/>
    <s v="2025-12-21"/>
    <s v="2025-12-26"/>
    <n v="5"/>
    <n v="10649.87"/>
    <x v="0"/>
    <s v="Discharged"/>
    <x v="0"/>
    <x v="0"/>
  </r>
  <r>
    <x v="2046"/>
    <x v="63"/>
    <x v="0"/>
    <x v="1"/>
    <x v="1"/>
    <s v="2025-04-30"/>
    <s v="2025-05-07"/>
    <n v="7"/>
    <n v="7544.15"/>
    <x v="0"/>
    <s v="Discharged"/>
    <x v="3"/>
    <x v="0"/>
  </r>
  <r>
    <x v="2047"/>
    <x v="70"/>
    <x v="1"/>
    <x v="5"/>
    <x v="2"/>
    <s v="2025-12-24"/>
    <s v="2025-12-31"/>
    <n v="7"/>
    <n v="11181.88"/>
    <x v="0"/>
    <s v="Discharged"/>
    <x v="1"/>
    <x v="0"/>
  </r>
  <r>
    <x v="2048"/>
    <x v="30"/>
    <x v="1"/>
    <x v="0"/>
    <x v="2"/>
    <s v="2025-06-19"/>
    <s v="2025-06-20"/>
    <n v="1"/>
    <n v="3246.45"/>
    <x v="0"/>
    <s v="Discharged"/>
    <x v="0"/>
    <x v="0"/>
  </r>
  <r>
    <x v="2049"/>
    <x v="11"/>
    <x v="0"/>
    <x v="0"/>
    <x v="2"/>
    <s v="2025-10-31"/>
    <s v="2025-11-03"/>
    <n v="3"/>
    <n v="5539.22"/>
    <x v="0"/>
    <s v="Discharged"/>
    <x v="2"/>
    <x v="0"/>
  </r>
  <r>
    <x v="2050"/>
    <x v="64"/>
    <x v="1"/>
    <x v="0"/>
    <x v="2"/>
    <s v="2025-10-18"/>
    <s v="2025-10-25"/>
    <n v="7"/>
    <n v="7471.27"/>
    <x v="0"/>
    <s v="Discharged"/>
    <x v="4"/>
    <x v="0"/>
  </r>
  <r>
    <x v="2051"/>
    <x v="68"/>
    <x v="0"/>
    <x v="5"/>
    <x v="0"/>
    <s v="2025-03-08"/>
    <s v="2025-03-13"/>
    <n v="5"/>
    <n v="6542.65"/>
    <x v="0"/>
    <s v="Discharged"/>
    <x v="3"/>
    <x v="0"/>
  </r>
  <r>
    <x v="2052"/>
    <x v="69"/>
    <x v="1"/>
    <x v="5"/>
    <x v="0"/>
    <s v="2025-07-12"/>
    <s v="2025-07-19"/>
    <n v="7"/>
    <n v="10561.51"/>
    <x v="1"/>
    <s v="Discharged"/>
    <x v="3"/>
    <x v="0"/>
  </r>
  <r>
    <x v="2053"/>
    <x v="26"/>
    <x v="0"/>
    <x v="2"/>
    <x v="2"/>
    <s v="2025-06-02"/>
    <s v="2025-06-10"/>
    <n v="8"/>
    <n v="13540.08"/>
    <x v="0"/>
    <s v="Discharged"/>
    <x v="3"/>
    <x v="1"/>
  </r>
  <r>
    <x v="2054"/>
    <x v="8"/>
    <x v="1"/>
    <x v="4"/>
    <x v="2"/>
    <s v="2025-12-04"/>
    <s v="2025-12-10"/>
    <n v="6"/>
    <n v="10627.05"/>
    <x v="1"/>
    <s v="Discharged"/>
    <x v="3"/>
    <x v="0"/>
  </r>
  <r>
    <x v="2055"/>
    <x v="23"/>
    <x v="1"/>
    <x v="0"/>
    <x v="1"/>
    <s v="2025-07-16"/>
    <s v="2025-07-23"/>
    <n v="7"/>
    <n v="7717.41"/>
    <x v="1"/>
    <s v="Discharged"/>
    <x v="3"/>
    <x v="0"/>
  </r>
  <r>
    <x v="2056"/>
    <x v="69"/>
    <x v="0"/>
    <x v="3"/>
    <x v="1"/>
    <s v="2025-11-22"/>
    <m/>
    <n v="10"/>
    <n v="16928.240000000002"/>
    <x v="0"/>
    <s v="Discharged"/>
    <x v="3"/>
    <x v="1"/>
  </r>
  <r>
    <x v="2057"/>
    <x v="60"/>
    <x v="1"/>
    <x v="1"/>
    <x v="1"/>
    <s v="2025-03-19"/>
    <s v="2025-03-22"/>
    <n v="3"/>
    <n v="4176.99"/>
    <x v="0"/>
    <s v="Discharged"/>
    <x v="3"/>
    <x v="0"/>
  </r>
  <r>
    <x v="2058"/>
    <x v="42"/>
    <x v="0"/>
    <x v="1"/>
    <x v="2"/>
    <s v="2025-07-06"/>
    <s v="2025-07-08"/>
    <n v="2"/>
    <n v="3727.09"/>
    <x v="0"/>
    <s v="Discharged"/>
    <x v="4"/>
    <x v="0"/>
  </r>
  <r>
    <x v="2059"/>
    <x v="49"/>
    <x v="0"/>
    <x v="2"/>
    <x v="2"/>
    <s v="2025-06-07"/>
    <s v="2025-06-09"/>
    <n v="2"/>
    <n v="9488.86"/>
    <x v="1"/>
    <s v="Discharged"/>
    <x v="0"/>
    <x v="0"/>
  </r>
  <r>
    <x v="2060"/>
    <x v="40"/>
    <x v="1"/>
    <x v="0"/>
    <x v="2"/>
    <s v="2025-03-02"/>
    <s v="2025-03-06"/>
    <n v="4"/>
    <n v="4909.28"/>
    <x v="0"/>
    <s v="Discharged"/>
    <x v="1"/>
    <x v="0"/>
  </r>
  <r>
    <x v="2061"/>
    <x v="20"/>
    <x v="0"/>
    <x v="3"/>
    <x v="1"/>
    <s v="2025-04-18"/>
    <s v="2025-04-25"/>
    <n v="7"/>
    <n v="13032.93"/>
    <x v="0"/>
    <s v="Discharged"/>
    <x v="0"/>
    <x v="0"/>
  </r>
  <r>
    <x v="2062"/>
    <x v="49"/>
    <x v="0"/>
    <x v="3"/>
    <x v="2"/>
    <s v="2025-07-20"/>
    <s v="2025-07-28"/>
    <n v="8"/>
    <n v="15334.75"/>
    <x v="0"/>
    <s v="Discharged"/>
    <x v="0"/>
    <x v="1"/>
  </r>
  <r>
    <x v="2063"/>
    <x v="33"/>
    <x v="0"/>
    <x v="0"/>
    <x v="1"/>
    <s v="2025-05-25"/>
    <s v="2025-05-28"/>
    <n v="3"/>
    <n v="6182.03"/>
    <x v="0"/>
    <s v="Discharged"/>
    <x v="2"/>
    <x v="0"/>
  </r>
  <r>
    <x v="2064"/>
    <x v="65"/>
    <x v="2"/>
    <x v="3"/>
    <x v="1"/>
    <s v="2025-01-28"/>
    <s v="2025-02-05"/>
    <n v="8"/>
    <n v="14220.97"/>
    <x v="0"/>
    <s v="Discharged"/>
    <x v="3"/>
    <x v="1"/>
  </r>
  <r>
    <x v="2065"/>
    <x v="21"/>
    <x v="0"/>
    <x v="5"/>
    <x v="2"/>
    <s v="2025-07-17"/>
    <s v="2025-07-22"/>
    <n v="5"/>
    <n v="9586.2999999999993"/>
    <x v="0"/>
    <s v="Discharged"/>
    <x v="4"/>
    <x v="0"/>
  </r>
  <r>
    <x v="2066"/>
    <x v="9"/>
    <x v="0"/>
    <x v="0"/>
    <x v="0"/>
    <s v="2025-12-04"/>
    <s v="2025-12-09"/>
    <n v="5"/>
    <n v="8720.57"/>
    <x v="0"/>
    <s v="Discharged"/>
    <x v="4"/>
    <x v="0"/>
  </r>
  <r>
    <x v="2067"/>
    <x v="26"/>
    <x v="1"/>
    <x v="1"/>
    <x v="0"/>
    <s v="2025-10-07"/>
    <s v="2025-10-13"/>
    <n v="6"/>
    <n v="6530.53"/>
    <x v="0"/>
    <s v="Discharged"/>
    <x v="3"/>
    <x v="0"/>
  </r>
  <r>
    <x v="2068"/>
    <x v="46"/>
    <x v="1"/>
    <x v="1"/>
    <x v="1"/>
    <s v="2025-04-24"/>
    <s v="2025-04-29"/>
    <n v="5"/>
    <n v="4195.3599999999997"/>
    <x v="0"/>
    <s v="Discharged"/>
    <x v="1"/>
    <x v="0"/>
  </r>
  <r>
    <x v="2069"/>
    <x v="63"/>
    <x v="0"/>
    <x v="2"/>
    <x v="0"/>
    <s v="2025-10-07"/>
    <s v="2025-10-13"/>
    <n v="6"/>
    <n v="11540.73"/>
    <x v="1"/>
    <s v="Discharged"/>
    <x v="3"/>
    <x v="0"/>
  </r>
  <r>
    <x v="2070"/>
    <x v="9"/>
    <x v="0"/>
    <x v="3"/>
    <x v="2"/>
    <s v="2025-12-23"/>
    <s v="2025-12-30"/>
    <n v="7"/>
    <n v="14618.19"/>
    <x v="0"/>
    <s v="Discharged"/>
    <x v="4"/>
    <x v="0"/>
  </r>
  <r>
    <x v="2071"/>
    <x v="10"/>
    <x v="2"/>
    <x v="0"/>
    <x v="2"/>
    <s v="2025-06-19"/>
    <s v="2025-06-22"/>
    <n v="3"/>
    <n v="6115.85"/>
    <x v="0"/>
    <s v="Discharged"/>
    <x v="4"/>
    <x v="0"/>
  </r>
  <r>
    <x v="2072"/>
    <x v="52"/>
    <x v="1"/>
    <x v="1"/>
    <x v="1"/>
    <s v="2025-08-07"/>
    <s v="2025-08-11"/>
    <n v="4"/>
    <n v="5089.26"/>
    <x v="0"/>
    <s v="Discharged"/>
    <x v="4"/>
    <x v="0"/>
  </r>
  <r>
    <x v="2073"/>
    <x v="49"/>
    <x v="0"/>
    <x v="1"/>
    <x v="1"/>
    <s v="2025-03-29"/>
    <s v="2025-04-03"/>
    <n v="5"/>
    <n v="4172.26"/>
    <x v="0"/>
    <s v="Discharged"/>
    <x v="0"/>
    <x v="0"/>
  </r>
  <r>
    <x v="2074"/>
    <x v="62"/>
    <x v="2"/>
    <x v="4"/>
    <x v="0"/>
    <s v="2025-12-12"/>
    <s v="2025-12-19"/>
    <n v="7"/>
    <n v="11175.72"/>
    <x v="0"/>
    <s v="Discharged"/>
    <x v="2"/>
    <x v="0"/>
  </r>
  <r>
    <x v="2075"/>
    <x v="12"/>
    <x v="0"/>
    <x v="2"/>
    <x v="2"/>
    <s v="2025-02-16"/>
    <s v="2025-02-22"/>
    <n v="6"/>
    <n v="11204.81"/>
    <x v="0"/>
    <s v="Discharged"/>
    <x v="2"/>
    <x v="0"/>
  </r>
  <r>
    <x v="2076"/>
    <x v="27"/>
    <x v="1"/>
    <x v="5"/>
    <x v="2"/>
    <s v="2025-11-16"/>
    <s v="2025-11-21"/>
    <n v="5"/>
    <n v="7438.24"/>
    <x v="0"/>
    <s v="Other"/>
    <x v="1"/>
    <x v="0"/>
  </r>
  <r>
    <x v="2077"/>
    <x v="50"/>
    <x v="1"/>
    <x v="5"/>
    <x v="2"/>
    <s v="2025-10-16"/>
    <s v="2025-10-24"/>
    <n v="8"/>
    <n v="10466.25"/>
    <x v="0"/>
    <s v="Discharged"/>
    <x v="0"/>
    <x v="1"/>
  </r>
  <r>
    <x v="2078"/>
    <x v="41"/>
    <x v="1"/>
    <x v="1"/>
    <x v="0"/>
    <s v="2025-01-15"/>
    <s v="2025-01-18"/>
    <n v="3"/>
    <n v="4271.25"/>
    <x v="0"/>
    <s v="Discharged"/>
    <x v="1"/>
    <x v="0"/>
  </r>
  <r>
    <x v="2079"/>
    <x v="25"/>
    <x v="0"/>
    <x v="2"/>
    <x v="0"/>
    <s v="2025-01-22"/>
    <s v="2025-01-31"/>
    <n v="9"/>
    <n v="13468.12"/>
    <x v="0"/>
    <s v="Discharged"/>
    <x v="2"/>
    <x v="1"/>
  </r>
  <r>
    <x v="2080"/>
    <x v="62"/>
    <x v="0"/>
    <x v="1"/>
    <x v="0"/>
    <s v="2025-03-06"/>
    <s v="2025-03-11"/>
    <n v="5"/>
    <n v="4981.99"/>
    <x v="1"/>
    <s v="Discharged"/>
    <x v="2"/>
    <x v="0"/>
  </r>
  <r>
    <x v="2081"/>
    <x v="67"/>
    <x v="1"/>
    <x v="1"/>
    <x v="2"/>
    <s v="2025-05-10"/>
    <s v="2025-05-15"/>
    <n v="5"/>
    <n v="7721.66"/>
    <x v="1"/>
    <s v="Discharged"/>
    <x v="3"/>
    <x v="0"/>
  </r>
  <r>
    <x v="2082"/>
    <x v="7"/>
    <x v="1"/>
    <x v="0"/>
    <x v="0"/>
    <s v="2025-02-08"/>
    <m/>
    <n v="4"/>
    <n v="6515.56"/>
    <x v="0"/>
    <s v="Discharged"/>
    <x v="4"/>
    <x v="0"/>
  </r>
  <r>
    <x v="2083"/>
    <x v="10"/>
    <x v="1"/>
    <x v="2"/>
    <x v="0"/>
    <s v="2025-03-07"/>
    <s v="2025-03-11"/>
    <n v="4"/>
    <n v="11192.7"/>
    <x v="0"/>
    <s v="Discharged"/>
    <x v="4"/>
    <x v="0"/>
  </r>
  <r>
    <x v="2084"/>
    <x v="53"/>
    <x v="1"/>
    <x v="1"/>
    <x v="0"/>
    <s v="2025-08-02"/>
    <s v="2025-08-10"/>
    <n v="8"/>
    <n v="9235.5"/>
    <x v="0"/>
    <s v="Discharged"/>
    <x v="4"/>
    <x v="1"/>
  </r>
  <r>
    <x v="2085"/>
    <x v="25"/>
    <x v="1"/>
    <x v="5"/>
    <x v="1"/>
    <s v="2025-04-18"/>
    <s v="2025-04-22"/>
    <n v="4"/>
    <n v="8500.56"/>
    <x v="0"/>
    <s v="Discharged"/>
    <x v="2"/>
    <x v="0"/>
  </r>
  <r>
    <x v="2086"/>
    <x v="28"/>
    <x v="1"/>
    <x v="0"/>
    <x v="2"/>
    <s v="2025-12-18"/>
    <s v="2025-12-21"/>
    <n v="3"/>
    <n v="7173.05"/>
    <x v="1"/>
    <s v="Discharged"/>
    <x v="4"/>
    <x v="0"/>
  </r>
  <r>
    <x v="2087"/>
    <x v="64"/>
    <x v="0"/>
    <x v="1"/>
    <x v="2"/>
    <s v="2025-02-14"/>
    <s v="2025-02-19"/>
    <n v="5"/>
    <n v="8046.8"/>
    <x v="0"/>
    <s v="Discharged"/>
    <x v="4"/>
    <x v="0"/>
  </r>
  <r>
    <x v="2088"/>
    <x v="63"/>
    <x v="0"/>
    <x v="1"/>
    <x v="0"/>
    <s v="2025-11-23"/>
    <s v="2025-11-26"/>
    <n v="3"/>
    <n v="3970.74"/>
    <x v="1"/>
    <s v="Discharged"/>
    <x v="3"/>
    <x v="0"/>
  </r>
  <r>
    <x v="2089"/>
    <x v="61"/>
    <x v="0"/>
    <x v="3"/>
    <x v="2"/>
    <s v="2025-06-08"/>
    <s v="2025-06-13"/>
    <n v="5"/>
    <n v="11264.38"/>
    <x v="0"/>
    <s v="Discharged"/>
    <x v="4"/>
    <x v="0"/>
  </r>
  <r>
    <x v="2090"/>
    <x v="2"/>
    <x v="1"/>
    <x v="2"/>
    <x v="2"/>
    <s v="2025-11-14"/>
    <s v="2025-11-17"/>
    <n v="3"/>
    <n v="7068.53"/>
    <x v="0"/>
    <s v="Discharged"/>
    <x v="1"/>
    <x v="0"/>
  </r>
  <r>
    <x v="2091"/>
    <x v="56"/>
    <x v="0"/>
    <x v="5"/>
    <x v="0"/>
    <s v="2025-08-23"/>
    <s v="2025-08-28"/>
    <n v="5"/>
    <n v="10254.799999999999"/>
    <x v="0"/>
    <s v="Discharged"/>
    <x v="0"/>
    <x v="0"/>
  </r>
  <r>
    <x v="2092"/>
    <x v="47"/>
    <x v="0"/>
    <x v="3"/>
    <x v="0"/>
    <s v="2025-05-11"/>
    <s v="2025-05-17"/>
    <n v="6"/>
    <n v="13672.14"/>
    <x v="0"/>
    <s v="Discharged"/>
    <x v="4"/>
    <x v="0"/>
  </r>
  <r>
    <x v="2093"/>
    <x v="22"/>
    <x v="1"/>
    <x v="3"/>
    <x v="2"/>
    <s v="2025-02-04"/>
    <s v="2025-02-15"/>
    <n v="11"/>
    <n v="14975.36"/>
    <x v="0"/>
    <s v="Discharged"/>
    <x v="3"/>
    <x v="1"/>
  </r>
  <r>
    <x v="2094"/>
    <x v="16"/>
    <x v="0"/>
    <x v="1"/>
    <x v="2"/>
    <s v="2025-02-19"/>
    <s v="2025-02-23"/>
    <n v="4"/>
    <n v="3867.35"/>
    <x v="0"/>
    <s v="Discharged"/>
    <x v="4"/>
    <x v="0"/>
  </r>
  <r>
    <x v="2095"/>
    <x v="37"/>
    <x v="1"/>
    <x v="2"/>
    <x v="0"/>
    <s v="2025-04-14"/>
    <s v="2025-04-15"/>
    <n v="1"/>
    <n v="5635.19"/>
    <x v="0"/>
    <s v="Discharged"/>
    <x v="1"/>
    <x v="0"/>
  </r>
  <r>
    <x v="2096"/>
    <x v="14"/>
    <x v="0"/>
    <x v="4"/>
    <x v="2"/>
    <s v="2025-01-06"/>
    <s v="2025-01-11"/>
    <n v="5"/>
    <n v="10113.89"/>
    <x v="0"/>
    <s v="Discharged"/>
    <x v="0"/>
    <x v="0"/>
  </r>
  <r>
    <x v="2097"/>
    <x v="5"/>
    <x v="0"/>
    <x v="0"/>
    <x v="0"/>
    <s v="2025-09-14"/>
    <s v="2025-09-15"/>
    <n v="1"/>
    <n v="4173.8"/>
    <x v="0"/>
    <s v="Discharged"/>
    <x v="0"/>
    <x v="0"/>
  </r>
  <r>
    <x v="2098"/>
    <x v="48"/>
    <x v="1"/>
    <x v="0"/>
    <x v="2"/>
    <s v="2025-01-27"/>
    <s v="2025-01-31"/>
    <n v="4"/>
    <n v="7909.74"/>
    <x v="0"/>
    <s v="Discharged"/>
    <x v="0"/>
    <x v="0"/>
  </r>
  <r>
    <x v="2099"/>
    <x v="7"/>
    <x v="0"/>
    <x v="3"/>
    <x v="2"/>
    <s v="2025-08-18"/>
    <s v="2025-08-24"/>
    <n v="6"/>
    <n v="15184.54"/>
    <x v="0"/>
    <s v="Discharged"/>
    <x v="4"/>
    <x v="0"/>
  </r>
  <r>
    <x v="2100"/>
    <x v="3"/>
    <x v="1"/>
    <x v="0"/>
    <x v="0"/>
    <s v="2025-06-25"/>
    <s v="2025-07-03"/>
    <n v="8"/>
    <n v="8330.32"/>
    <x v="1"/>
    <s v="Discharged"/>
    <x v="0"/>
    <x v="1"/>
  </r>
  <r>
    <x v="2101"/>
    <x v="41"/>
    <x v="1"/>
    <x v="0"/>
    <x v="0"/>
    <s v="2025-12-22"/>
    <s v="2025-12-24"/>
    <n v="2"/>
    <n v="6433.38"/>
    <x v="1"/>
    <s v="Discharged"/>
    <x v="1"/>
    <x v="0"/>
  </r>
  <r>
    <x v="2102"/>
    <x v="52"/>
    <x v="0"/>
    <x v="0"/>
    <x v="2"/>
    <s v="2025-05-27"/>
    <s v="2025-06-04"/>
    <n v="8"/>
    <n v="10023.19"/>
    <x v="0"/>
    <s v="Discharged"/>
    <x v="4"/>
    <x v="1"/>
  </r>
  <r>
    <x v="2103"/>
    <x v="22"/>
    <x v="1"/>
    <x v="3"/>
    <x v="2"/>
    <s v="2025-01-02"/>
    <s v="2025-01-10"/>
    <n v="8"/>
    <n v="15019.29"/>
    <x v="0"/>
    <s v="Discharged"/>
    <x v="3"/>
    <x v="1"/>
  </r>
  <r>
    <x v="2104"/>
    <x v="68"/>
    <x v="0"/>
    <x v="1"/>
    <x v="0"/>
    <s v="2025-05-22"/>
    <s v="2025-05-25"/>
    <n v="3"/>
    <n v="4350.6099999999997"/>
    <x v="0"/>
    <s v="Discharged"/>
    <x v="3"/>
    <x v="0"/>
  </r>
  <r>
    <x v="2105"/>
    <x v="6"/>
    <x v="0"/>
    <x v="1"/>
    <x v="0"/>
    <s v="2025-11-11"/>
    <s v="2025-11-12"/>
    <n v="1"/>
    <n v="3099.17"/>
    <x v="0"/>
    <s v="Discharged"/>
    <x v="3"/>
    <x v="0"/>
  </r>
  <r>
    <x v="2106"/>
    <x v="47"/>
    <x v="0"/>
    <x v="5"/>
    <x v="2"/>
    <s v="2025-05-10"/>
    <s v="2025-05-13"/>
    <n v="3"/>
    <n v="8576.59"/>
    <x v="0"/>
    <s v="Discharged"/>
    <x v="4"/>
    <x v="0"/>
  </r>
  <r>
    <x v="2107"/>
    <x v="32"/>
    <x v="1"/>
    <x v="1"/>
    <x v="2"/>
    <s v="2025-09-28"/>
    <s v="2025-10-06"/>
    <n v="8"/>
    <n v="7017.05"/>
    <x v="1"/>
    <s v="Discharged"/>
    <x v="3"/>
    <x v="1"/>
  </r>
  <r>
    <x v="2108"/>
    <x v="1"/>
    <x v="0"/>
    <x v="1"/>
    <x v="0"/>
    <s v="2025-11-25"/>
    <s v="2025-11-27"/>
    <n v="2"/>
    <n v="4053.84"/>
    <x v="0"/>
    <s v="Discharged"/>
    <x v="0"/>
    <x v="0"/>
  </r>
  <r>
    <x v="2109"/>
    <x v="55"/>
    <x v="0"/>
    <x v="1"/>
    <x v="1"/>
    <s v="2025-10-29"/>
    <s v="2025-10-30"/>
    <n v="1"/>
    <n v="3830.42"/>
    <x v="0"/>
    <s v="Discharged"/>
    <x v="4"/>
    <x v="0"/>
  </r>
  <r>
    <x v="2110"/>
    <x v="3"/>
    <x v="2"/>
    <x v="2"/>
    <x v="1"/>
    <s v="2025-01-18"/>
    <s v="2025-01-24"/>
    <n v="6"/>
    <n v="9649.2999999999993"/>
    <x v="1"/>
    <s v="Other"/>
    <x v="0"/>
    <x v="0"/>
  </r>
  <r>
    <x v="2111"/>
    <x v="16"/>
    <x v="1"/>
    <x v="0"/>
    <x v="1"/>
    <s v="2025-11-03"/>
    <s v="2025-11-08"/>
    <n v="5"/>
    <n v="9094.56"/>
    <x v="1"/>
    <s v="Discharged"/>
    <x v="4"/>
    <x v="0"/>
  </r>
  <r>
    <x v="2112"/>
    <x v="69"/>
    <x v="2"/>
    <x v="5"/>
    <x v="2"/>
    <s v="2025-05-11"/>
    <s v="2025-05-17"/>
    <n v="6"/>
    <n v="7398.58"/>
    <x v="1"/>
    <s v="Discharged"/>
    <x v="3"/>
    <x v="0"/>
  </r>
  <r>
    <x v="2113"/>
    <x v="13"/>
    <x v="0"/>
    <x v="5"/>
    <x v="0"/>
    <s v="2025-10-19"/>
    <s v="2025-10-25"/>
    <n v="6"/>
    <n v="8793.24"/>
    <x v="0"/>
    <s v="Transferred"/>
    <x v="1"/>
    <x v="0"/>
  </r>
  <r>
    <x v="2114"/>
    <x v="61"/>
    <x v="1"/>
    <x v="0"/>
    <x v="0"/>
    <s v="2025-07-03"/>
    <s v="2025-07-04"/>
    <n v="1"/>
    <n v="3699.05"/>
    <x v="0"/>
    <s v="Transferred"/>
    <x v="4"/>
    <x v="0"/>
  </r>
  <r>
    <x v="2115"/>
    <x v="70"/>
    <x v="1"/>
    <x v="0"/>
    <x v="2"/>
    <s v="2025-01-05"/>
    <s v="2025-01-07"/>
    <n v="2"/>
    <n v="5379.21"/>
    <x v="0"/>
    <s v="Discharged"/>
    <x v="1"/>
    <x v="0"/>
  </r>
  <r>
    <x v="2116"/>
    <x v="65"/>
    <x v="1"/>
    <x v="4"/>
    <x v="0"/>
    <s v="2025-11-20"/>
    <s v="2025-11-28"/>
    <n v="8"/>
    <n v="12846.74"/>
    <x v="1"/>
    <s v="Discharged"/>
    <x v="3"/>
    <x v="1"/>
  </r>
  <r>
    <x v="2117"/>
    <x v="32"/>
    <x v="1"/>
    <x v="4"/>
    <x v="2"/>
    <s v="2025-11-26"/>
    <s v="2025-12-05"/>
    <n v="9"/>
    <n v="12167.63"/>
    <x v="0"/>
    <s v="Discharged"/>
    <x v="3"/>
    <x v="1"/>
  </r>
  <r>
    <x v="2118"/>
    <x v="51"/>
    <x v="0"/>
    <x v="3"/>
    <x v="0"/>
    <s v="2025-06-07"/>
    <s v="2025-06-13"/>
    <n v="6"/>
    <n v="14083.79"/>
    <x v="1"/>
    <s v="Discharged"/>
    <x v="1"/>
    <x v="0"/>
  </r>
  <r>
    <x v="2119"/>
    <x v="23"/>
    <x v="0"/>
    <x v="0"/>
    <x v="2"/>
    <s v="2025-09-25"/>
    <s v="2025-10-04"/>
    <n v="9"/>
    <n v="12247.61"/>
    <x v="0"/>
    <s v="Discharged"/>
    <x v="3"/>
    <x v="1"/>
  </r>
  <r>
    <x v="2120"/>
    <x v="15"/>
    <x v="0"/>
    <x v="1"/>
    <x v="2"/>
    <s v="2025-05-21"/>
    <s v="2025-05-22"/>
    <n v="1"/>
    <n v="4420.88"/>
    <x v="0"/>
    <s v="Discharged"/>
    <x v="1"/>
    <x v="0"/>
  </r>
  <r>
    <x v="2121"/>
    <x v="32"/>
    <x v="1"/>
    <x v="1"/>
    <x v="0"/>
    <s v="2025-06-07"/>
    <s v="2025-06-11"/>
    <n v="4"/>
    <n v="6355.58"/>
    <x v="1"/>
    <s v="Discharged"/>
    <x v="3"/>
    <x v="0"/>
  </r>
  <r>
    <x v="2122"/>
    <x v="60"/>
    <x v="0"/>
    <x v="5"/>
    <x v="2"/>
    <s v="2025-08-29"/>
    <s v="2025-09-08"/>
    <n v="10"/>
    <n v="12938.68"/>
    <x v="0"/>
    <s v="Discharged"/>
    <x v="3"/>
    <x v="1"/>
  </r>
  <r>
    <x v="2123"/>
    <x v="32"/>
    <x v="1"/>
    <x v="1"/>
    <x v="0"/>
    <s v="2025-03-02"/>
    <s v="2025-03-07"/>
    <n v="5"/>
    <n v="6160.86"/>
    <x v="0"/>
    <s v="Discharged"/>
    <x v="3"/>
    <x v="0"/>
  </r>
  <r>
    <x v="2124"/>
    <x v="43"/>
    <x v="0"/>
    <x v="1"/>
    <x v="1"/>
    <s v="2025-07-20"/>
    <s v="2025-07-23"/>
    <n v="3"/>
    <n v="4843.43"/>
    <x v="0"/>
    <s v="Discharged"/>
    <x v="2"/>
    <x v="0"/>
  </r>
  <r>
    <x v="2125"/>
    <x v="0"/>
    <x v="0"/>
    <x v="2"/>
    <x v="2"/>
    <s v="2025-08-04"/>
    <s v="2025-08-10"/>
    <n v="6"/>
    <n v="10355.73"/>
    <x v="0"/>
    <s v="Discharged"/>
    <x v="0"/>
    <x v="0"/>
  </r>
  <r>
    <x v="2126"/>
    <x v="24"/>
    <x v="1"/>
    <x v="0"/>
    <x v="0"/>
    <s v="2025-07-25"/>
    <s v="2025-07-26"/>
    <n v="1"/>
    <n v="6188.35"/>
    <x v="0"/>
    <s v="Discharged"/>
    <x v="2"/>
    <x v="0"/>
  </r>
  <r>
    <x v="2127"/>
    <x v="36"/>
    <x v="1"/>
    <x v="1"/>
    <x v="2"/>
    <s v="2025-01-12"/>
    <s v="2025-01-16"/>
    <n v="4"/>
    <n v="3217.79"/>
    <x v="0"/>
    <s v="Discharged"/>
    <x v="1"/>
    <x v="0"/>
  </r>
  <r>
    <x v="2128"/>
    <x v="56"/>
    <x v="1"/>
    <x v="1"/>
    <x v="0"/>
    <s v="2025-08-26"/>
    <s v="2025-08-28"/>
    <n v="2"/>
    <n v="4480.3"/>
    <x v="0"/>
    <s v="Other"/>
    <x v="0"/>
    <x v="0"/>
  </r>
  <r>
    <x v="2129"/>
    <x v="4"/>
    <x v="1"/>
    <x v="3"/>
    <x v="0"/>
    <s v="2025-06-08"/>
    <s v="2025-06-17"/>
    <n v="9"/>
    <n v="13996.24"/>
    <x v="0"/>
    <s v="Discharged"/>
    <x v="2"/>
    <x v="1"/>
  </r>
  <r>
    <x v="2130"/>
    <x v="6"/>
    <x v="1"/>
    <x v="5"/>
    <x v="2"/>
    <s v="2025-06-18"/>
    <s v="2025-06-28"/>
    <n v="10"/>
    <n v="12624.46"/>
    <x v="0"/>
    <s v="Discharged"/>
    <x v="3"/>
    <x v="1"/>
  </r>
  <r>
    <x v="2131"/>
    <x v="61"/>
    <x v="0"/>
    <x v="5"/>
    <x v="0"/>
    <s v="2025-01-20"/>
    <s v="2025-01-25"/>
    <n v="5"/>
    <n v="9299.4599999999991"/>
    <x v="0"/>
    <s v="Discharged"/>
    <x v="4"/>
    <x v="0"/>
  </r>
  <r>
    <x v="2132"/>
    <x v="15"/>
    <x v="1"/>
    <x v="5"/>
    <x v="2"/>
    <s v="2025-08-11"/>
    <s v="2025-08-18"/>
    <n v="7"/>
    <n v="11347.56"/>
    <x v="0"/>
    <s v="Discharged"/>
    <x v="1"/>
    <x v="0"/>
  </r>
  <r>
    <x v="2133"/>
    <x v="19"/>
    <x v="0"/>
    <x v="2"/>
    <x v="1"/>
    <s v="2025-03-20"/>
    <s v="2025-03-21"/>
    <n v="1"/>
    <n v="7210.8"/>
    <x v="0"/>
    <s v="Discharged"/>
    <x v="2"/>
    <x v="0"/>
  </r>
  <r>
    <x v="2134"/>
    <x v="13"/>
    <x v="0"/>
    <x v="0"/>
    <x v="2"/>
    <s v="2025-10-04"/>
    <s v="2025-10-11"/>
    <n v="7"/>
    <n v="7642.42"/>
    <x v="0"/>
    <s v="Discharged"/>
    <x v="1"/>
    <x v="0"/>
  </r>
  <r>
    <x v="2135"/>
    <x v="44"/>
    <x v="0"/>
    <x v="0"/>
    <x v="1"/>
    <s v="2025-02-17"/>
    <s v="2025-02-25"/>
    <n v="8"/>
    <n v="6249"/>
    <x v="0"/>
    <s v="Discharged"/>
    <x v="1"/>
    <x v="1"/>
  </r>
  <r>
    <x v="2136"/>
    <x v="1"/>
    <x v="1"/>
    <x v="5"/>
    <x v="0"/>
    <s v="2025-06-29"/>
    <s v="2025-07-03"/>
    <n v="4"/>
    <n v="10958.28"/>
    <x v="0"/>
    <s v="Discharged"/>
    <x v="0"/>
    <x v="0"/>
  </r>
  <r>
    <x v="2137"/>
    <x v="61"/>
    <x v="1"/>
    <x v="2"/>
    <x v="2"/>
    <s v="2025-12-06"/>
    <s v="2025-12-15"/>
    <n v="9"/>
    <n v="13608.61"/>
    <x v="0"/>
    <s v="Discharged"/>
    <x v="4"/>
    <x v="1"/>
  </r>
  <r>
    <x v="2138"/>
    <x v="10"/>
    <x v="1"/>
    <x v="0"/>
    <x v="2"/>
    <s v="2025-03-30"/>
    <s v="2025-04-04"/>
    <n v="5"/>
    <n v="7908.64"/>
    <x v="0"/>
    <s v="Discharged"/>
    <x v="4"/>
    <x v="0"/>
  </r>
  <r>
    <x v="2139"/>
    <x v="28"/>
    <x v="0"/>
    <x v="5"/>
    <x v="2"/>
    <s v="2025-02-11"/>
    <s v="2025-02-15"/>
    <n v="4"/>
    <n v="9693.09"/>
    <x v="0"/>
    <s v="Discharged"/>
    <x v="4"/>
    <x v="0"/>
  </r>
  <r>
    <x v="2140"/>
    <x v="69"/>
    <x v="1"/>
    <x v="0"/>
    <x v="0"/>
    <s v="2025-07-21"/>
    <s v="2025-07-27"/>
    <n v="6"/>
    <n v="6760.33"/>
    <x v="0"/>
    <s v="Discharged"/>
    <x v="3"/>
    <x v="0"/>
  </r>
  <r>
    <x v="2141"/>
    <x v="60"/>
    <x v="1"/>
    <x v="1"/>
    <x v="2"/>
    <s v="2025-03-13"/>
    <s v="2025-03-16"/>
    <n v="3"/>
    <n v="3832.01"/>
    <x v="0"/>
    <s v="Discharged"/>
    <x v="3"/>
    <x v="0"/>
  </r>
  <r>
    <x v="2142"/>
    <x v="67"/>
    <x v="1"/>
    <x v="0"/>
    <x v="0"/>
    <s v="2025-12-22"/>
    <s v="2025-12-24"/>
    <n v="2"/>
    <n v="5836.46"/>
    <x v="0"/>
    <s v="Discharged"/>
    <x v="3"/>
    <x v="0"/>
  </r>
  <r>
    <x v="2143"/>
    <x v="51"/>
    <x v="0"/>
    <x v="1"/>
    <x v="1"/>
    <s v="2025-03-24"/>
    <s v="2025-03-31"/>
    <n v="7"/>
    <n v="7799.82"/>
    <x v="0"/>
    <s v="Discharged"/>
    <x v="1"/>
    <x v="0"/>
  </r>
  <r>
    <x v="2144"/>
    <x v="49"/>
    <x v="1"/>
    <x v="2"/>
    <x v="2"/>
    <s v="2025-11-29"/>
    <s v="2025-12-05"/>
    <n v="6"/>
    <n v="10576.89"/>
    <x v="0"/>
    <s v="Discharged"/>
    <x v="0"/>
    <x v="0"/>
  </r>
  <r>
    <x v="2145"/>
    <x v="50"/>
    <x v="0"/>
    <x v="1"/>
    <x v="2"/>
    <s v="2025-12-26"/>
    <s v="2026-01-01"/>
    <n v="6"/>
    <n v="8032.31"/>
    <x v="0"/>
    <s v="Discharged"/>
    <x v="0"/>
    <x v="0"/>
  </r>
  <r>
    <x v="2146"/>
    <x v="58"/>
    <x v="0"/>
    <x v="0"/>
    <x v="1"/>
    <s v="2025-06-13"/>
    <s v="2025-06-19"/>
    <n v="6"/>
    <n v="7311.48"/>
    <x v="0"/>
    <s v="Discharged"/>
    <x v="2"/>
    <x v="0"/>
  </r>
  <r>
    <x v="2147"/>
    <x v="42"/>
    <x v="1"/>
    <x v="4"/>
    <x v="0"/>
    <s v="2025-07-02"/>
    <s v="2025-07-09"/>
    <n v="7"/>
    <n v="11318.83"/>
    <x v="0"/>
    <s v="Discharged"/>
    <x v="4"/>
    <x v="0"/>
  </r>
  <r>
    <x v="2148"/>
    <x v="39"/>
    <x v="0"/>
    <x v="1"/>
    <x v="0"/>
    <s v="2025-11-02"/>
    <s v="2025-11-07"/>
    <n v="5"/>
    <n v="6615.23"/>
    <x v="0"/>
    <s v="Discharged"/>
    <x v="4"/>
    <x v="0"/>
  </r>
  <r>
    <x v="2149"/>
    <x v="44"/>
    <x v="1"/>
    <x v="1"/>
    <x v="2"/>
    <s v="2025-12-11"/>
    <s v="2025-12-16"/>
    <n v="5"/>
    <n v="5580.78"/>
    <x v="0"/>
    <s v="Transferred"/>
    <x v="1"/>
    <x v="0"/>
  </r>
  <r>
    <x v="2150"/>
    <x v="8"/>
    <x v="1"/>
    <x v="2"/>
    <x v="0"/>
    <s v="2025-09-02"/>
    <s v="2025-09-08"/>
    <n v="6"/>
    <n v="9161.67"/>
    <x v="0"/>
    <s v="Discharged"/>
    <x v="3"/>
    <x v="0"/>
  </r>
  <r>
    <x v="2151"/>
    <x v="29"/>
    <x v="1"/>
    <x v="2"/>
    <x v="2"/>
    <s v="2025-12-15"/>
    <s v="2025-12-20"/>
    <n v="5"/>
    <n v="9847.25"/>
    <x v="1"/>
    <s v="Transferred"/>
    <x v="3"/>
    <x v="0"/>
  </r>
  <r>
    <x v="2152"/>
    <x v="9"/>
    <x v="1"/>
    <x v="5"/>
    <x v="2"/>
    <s v="2025-12-16"/>
    <s v="2025-12-22"/>
    <n v="6"/>
    <n v="11211.9"/>
    <x v="0"/>
    <s v="Discharged"/>
    <x v="4"/>
    <x v="0"/>
  </r>
  <r>
    <x v="2153"/>
    <x v="10"/>
    <x v="0"/>
    <x v="5"/>
    <x v="1"/>
    <s v="2025-03-26"/>
    <s v="2025-03-27"/>
    <n v="1"/>
    <n v="4634.51"/>
    <x v="0"/>
    <s v="Discharged"/>
    <x v="4"/>
    <x v="0"/>
  </r>
  <r>
    <x v="2154"/>
    <x v="21"/>
    <x v="1"/>
    <x v="2"/>
    <x v="2"/>
    <s v="2025-12-11"/>
    <s v="2025-12-18"/>
    <n v="7"/>
    <n v="11845.23"/>
    <x v="0"/>
    <s v="Discharged"/>
    <x v="4"/>
    <x v="0"/>
  </r>
  <r>
    <x v="2155"/>
    <x v="27"/>
    <x v="1"/>
    <x v="0"/>
    <x v="0"/>
    <s v="2025-08-21"/>
    <s v="2025-08-25"/>
    <n v="4"/>
    <n v="3751.67"/>
    <x v="0"/>
    <s v="Discharged"/>
    <x v="1"/>
    <x v="0"/>
  </r>
  <r>
    <x v="2156"/>
    <x v="47"/>
    <x v="1"/>
    <x v="1"/>
    <x v="2"/>
    <s v="2025-11-29"/>
    <s v="2025-11-30"/>
    <n v="1"/>
    <n v="3702.78"/>
    <x v="0"/>
    <s v="Discharged"/>
    <x v="4"/>
    <x v="0"/>
  </r>
  <r>
    <x v="2157"/>
    <x v="12"/>
    <x v="1"/>
    <x v="1"/>
    <x v="0"/>
    <s v="2025-07-29"/>
    <s v="2025-08-05"/>
    <n v="7"/>
    <n v="6628.96"/>
    <x v="1"/>
    <s v="Discharged"/>
    <x v="2"/>
    <x v="0"/>
  </r>
  <r>
    <x v="2158"/>
    <x v="9"/>
    <x v="0"/>
    <x v="5"/>
    <x v="2"/>
    <s v="2025-07-22"/>
    <s v="2025-07-25"/>
    <n v="3"/>
    <n v="6160.32"/>
    <x v="0"/>
    <s v="Discharged"/>
    <x v="4"/>
    <x v="0"/>
  </r>
  <r>
    <x v="2159"/>
    <x v="31"/>
    <x v="1"/>
    <x v="5"/>
    <x v="2"/>
    <s v="2025-08-18"/>
    <s v="2025-08-24"/>
    <n v="6"/>
    <n v="9920.7099999999991"/>
    <x v="0"/>
    <s v="Transferred"/>
    <x v="2"/>
    <x v="0"/>
  </r>
  <r>
    <x v="2160"/>
    <x v="7"/>
    <x v="0"/>
    <x v="1"/>
    <x v="0"/>
    <s v="2025-02-21"/>
    <s v="2025-02-22"/>
    <n v="1"/>
    <n v="4522.71"/>
    <x v="0"/>
    <s v="Discharged"/>
    <x v="4"/>
    <x v="0"/>
  </r>
  <r>
    <x v="2161"/>
    <x v="20"/>
    <x v="0"/>
    <x v="1"/>
    <x v="2"/>
    <s v="2025-12-29"/>
    <s v="2026-01-05"/>
    <n v="7"/>
    <n v="9756.5400000000009"/>
    <x v="0"/>
    <s v="Discharged"/>
    <x v="0"/>
    <x v="0"/>
  </r>
  <r>
    <x v="2162"/>
    <x v="0"/>
    <x v="1"/>
    <x v="0"/>
    <x v="0"/>
    <s v="2025-12-12"/>
    <s v="2025-12-20"/>
    <n v="8"/>
    <n v="8792.14"/>
    <x v="0"/>
    <s v="Discharged"/>
    <x v="0"/>
    <x v="1"/>
  </r>
  <r>
    <x v="2163"/>
    <x v="17"/>
    <x v="0"/>
    <x v="1"/>
    <x v="2"/>
    <s v="2025-03-02"/>
    <s v="2025-03-07"/>
    <n v="5"/>
    <n v="3170.54"/>
    <x v="0"/>
    <s v="Discharged"/>
    <x v="2"/>
    <x v="0"/>
  </r>
  <r>
    <x v="2164"/>
    <x v="0"/>
    <x v="0"/>
    <x v="2"/>
    <x v="2"/>
    <s v="2025-07-22"/>
    <s v="2025-07-30"/>
    <n v="8"/>
    <n v="13234.25"/>
    <x v="0"/>
    <s v="Discharged"/>
    <x v="0"/>
    <x v="1"/>
  </r>
  <r>
    <x v="2165"/>
    <x v="52"/>
    <x v="0"/>
    <x v="1"/>
    <x v="2"/>
    <s v="2025-07-02"/>
    <s v="2025-07-08"/>
    <n v="6"/>
    <n v="6182.63"/>
    <x v="0"/>
    <s v="Discharged"/>
    <x v="4"/>
    <x v="0"/>
  </r>
  <r>
    <x v="2166"/>
    <x v="28"/>
    <x v="1"/>
    <x v="2"/>
    <x v="0"/>
    <s v="2025-09-27"/>
    <s v="2025-10-01"/>
    <n v="4"/>
    <n v="6117.18"/>
    <x v="0"/>
    <s v="Discharged"/>
    <x v="4"/>
    <x v="0"/>
  </r>
  <r>
    <x v="2167"/>
    <x v="55"/>
    <x v="1"/>
    <x v="5"/>
    <x v="0"/>
    <s v="2025-07-30"/>
    <s v="2025-08-02"/>
    <n v="3"/>
    <n v="8484.5499999999993"/>
    <x v="0"/>
    <s v="Discharged"/>
    <x v="4"/>
    <x v="0"/>
  </r>
  <r>
    <x v="2168"/>
    <x v="56"/>
    <x v="1"/>
    <x v="1"/>
    <x v="0"/>
    <s v="2025-12-31"/>
    <s v="2026-01-01"/>
    <n v="1"/>
    <n v="2610.81"/>
    <x v="0"/>
    <s v="Discharged"/>
    <x v="0"/>
    <x v="0"/>
  </r>
  <r>
    <x v="2169"/>
    <x v="61"/>
    <x v="1"/>
    <x v="0"/>
    <x v="1"/>
    <s v="2025-09-13"/>
    <s v="2025-09-19"/>
    <n v="6"/>
    <n v="6305.31"/>
    <x v="0"/>
    <s v="Discharged"/>
    <x v="4"/>
    <x v="0"/>
  </r>
  <r>
    <x v="2170"/>
    <x v="47"/>
    <x v="1"/>
    <x v="5"/>
    <x v="2"/>
    <s v="2025-11-02"/>
    <s v="2025-11-09"/>
    <n v="7"/>
    <n v="10361.93"/>
    <x v="1"/>
    <s v="Transferred"/>
    <x v="4"/>
    <x v="0"/>
  </r>
  <r>
    <x v="2171"/>
    <x v="11"/>
    <x v="0"/>
    <x v="4"/>
    <x v="0"/>
    <s v="2025-01-08"/>
    <s v="2025-01-15"/>
    <n v="7"/>
    <n v="12498.93"/>
    <x v="1"/>
    <s v="Discharged"/>
    <x v="2"/>
    <x v="0"/>
  </r>
  <r>
    <x v="2172"/>
    <x v="46"/>
    <x v="0"/>
    <x v="2"/>
    <x v="2"/>
    <s v="2025-02-23"/>
    <s v="2025-03-02"/>
    <n v="7"/>
    <n v="10720.51"/>
    <x v="0"/>
    <s v="Discharged"/>
    <x v="1"/>
    <x v="0"/>
  </r>
  <r>
    <x v="2173"/>
    <x v="61"/>
    <x v="1"/>
    <x v="4"/>
    <x v="0"/>
    <s v="2025-12-08"/>
    <s v="2025-12-13"/>
    <n v="5"/>
    <n v="10990.84"/>
    <x v="1"/>
    <s v="Discharged"/>
    <x v="4"/>
    <x v="0"/>
  </r>
  <r>
    <x v="2174"/>
    <x v="38"/>
    <x v="1"/>
    <x v="5"/>
    <x v="0"/>
    <s v="2025-01-23"/>
    <s v="2025-02-01"/>
    <n v="9"/>
    <n v="11453.39"/>
    <x v="0"/>
    <s v="Discharged"/>
    <x v="0"/>
    <x v="1"/>
  </r>
  <r>
    <x v="2175"/>
    <x v="8"/>
    <x v="2"/>
    <x v="1"/>
    <x v="2"/>
    <s v="2025-02-24"/>
    <s v="2025-03-01"/>
    <n v="5"/>
    <n v="8575.36"/>
    <x v="0"/>
    <s v="Discharged"/>
    <x v="3"/>
    <x v="0"/>
  </r>
  <r>
    <x v="2176"/>
    <x v="40"/>
    <x v="2"/>
    <x v="1"/>
    <x v="2"/>
    <s v="2025-05-20"/>
    <s v="2025-05-26"/>
    <n v="6"/>
    <n v="5170.7700000000004"/>
    <x v="0"/>
    <s v="Discharged"/>
    <x v="1"/>
    <x v="0"/>
  </r>
  <r>
    <x v="2177"/>
    <x v="3"/>
    <x v="1"/>
    <x v="4"/>
    <x v="0"/>
    <s v="2025-01-12"/>
    <s v="2025-01-15"/>
    <n v="3"/>
    <n v="8801.1"/>
    <x v="0"/>
    <s v="Discharged"/>
    <x v="0"/>
    <x v="0"/>
  </r>
  <r>
    <x v="2178"/>
    <x v="34"/>
    <x v="0"/>
    <x v="1"/>
    <x v="0"/>
    <s v="2025-01-25"/>
    <s v="2025-01-28"/>
    <n v="3"/>
    <n v="2891.25"/>
    <x v="0"/>
    <s v="Discharged"/>
    <x v="2"/>
    <x v="0"/>
  </r>
  <r>
    <x v="2179"/>
    <x v="47"/>
    <x v="1"/>
    <x v="2"/>
    <x v="2"/>
    <s v="2025-06-07"/>
    <s v="2025-06-14"/>
    <n v="7"/>
    <n v="10623.89"/>
    <x v="0"/>
    <s v="Discharged"/>
    <x v="4"/>
    <x v="0"/>
  </r>
  <r>
    <x v="2180"/>
    <x v="5"/>
    <x v="1"/>
    <x v="0"/>
    <x v="2"/>
    <s v="2025-05-25"/>
    <s v="2025-05-30"/>
    <n v="5"/>
    <n v="3330.84"/>
    <x v="0"/>
    <s v="Discharged"/>
    <x v="0"/>
    <x v="0"/>
  </r>
  <r>
    <x v="2181"/>
    <x v="62"/>
    <x v="1"/>
    <x v="2"/>
    <x v="0"/>
    <s v="2025-12-31"/>
    <s v="2026-01-09"/>
    <n v="9"/>
    <n v="13242.59"/>
    <x v="0"/>
    <s v="Discharged"/>
    <x v="2"/>
    <x v="1"/>
  </r>
  <r>
    <x v="2182"/>
    <x v="24"/>
    <x v="1"/>
    <x v="1"/>
    <x v="0"/>
    <s v="2025-07-21"/>
    <s v="2025-07-26"/>
    <n v="5"/>
    <n v="4921.76"/>
    <x v="1"/>
    <s v="Discharged"/>
    <x v="2"/>
    <x v="0"/>
  </r>
  <r>
    <x v="2183"/>
    <x v="23"/>
    <x v="1"/>
    <x v="1"/>
    <x v="0"/>
    <s v="2025-01-26"/>
    <s v="2025-01-31"/>
    <n v="5"/>
    <n v="5440.86"/>
    <x v="1"/>
    <s v="Discharged"/>
    <x v="3"/>
    <x v="0"/>
  </r>
  <r>
    <x v="2184"/>
    <x v="2"/>
    <x v="0"/>
    <x v="1"/>
    <x v="0"/>
    <s v="2025-07-11"/>
    <s v="2025-07-12"/>
    <n v="1"/>
    <n v="3450.2"/>
    <x v="0"/>
    <s v="Discharged"/>
    <x v="1"/>
    <x v="0"/>
  </r>
  <r>
    <x v="2185"/>
    <x v="65"/>
    <x v="0"/>
    <x v="3"/>
    <x v="0"/>
    <s v="2025-12-07"/>
    <s v="2025-12-15"/>
    <n v="8"/>
    <n v="12801.12"/>
    <x v="0"/>
    <s v="Discharged"/>
    <x v="3"/>
    <x v="1"/>
  </r>
  <r>
    <x v="2186"/>
    <x v="39"/>
    <x v="1"/>
    <x v="1"/>
    <x v="2"/>
    <s v="2025-03-24"/>
    <s v="2025-03-25"/>
    <n v="1"/>
    <n v="3492.41"/>
    <x v="0"/>
    <s v="Discharged"/>
    <x v="4"/>
    <x v="0"/>
  </r>
  <r>
    <x v="2187"/>
    <x v="47"/>
    <x v="1"/>
    <x v="1"/>
    <x v="2"/>
    <s v="2025-05-06"/>
    <s v="2025-05-12"/>
    <n v="6"/>
    <n v="6256.59"/>
    <x v="0"/>
    <s v="Discharged"/>
    <x v="4"/>
    <x v="0"/>
  </r>
  <r>
    <x v="2188"/>
    <x v="9"/>
    <x v="1"/>
    <x v="0"/>
    <x v="2"/>
    <s v="2025-10-08"/>
    <s v="2025-10-12"/>
    <n v="4"/>
    <n v="7864.67"/>
    <x v="0"/>
    <s v="Transferred"/>
    <x v="4"/>
    <x v="0"/>
  </r>
  <r>
    <x v="2189"/>
    <x v="65"/>
    <x v="1"/>
    <x v="4"/>
    <x v="0"/>
    <s v="2025-08-24"/>
    <s v="2025-08-30"/>
    <n v="6"/>
    <n v="12419.28"/>
    <x v="0"/>
    <s v="Discharged"/>
    <x v="3"/>
    <x v="0"/>
  </r>
  <r>
    <x v="2190"/>
    <x v="71"/>
    <x v="0"/>
    <x v="5"/>
    <x v="2"/>
    <s v="2025-01-31"/>
    <s v="2025-02-04"/>
    <n v="4"/>
    <n v="9275.36"/>
    <x v="0"/>
    <s v="Transferred"/>
    <x v="1"/>
    <x v="0"/>
  </r>
  <r>
    <x v="2191"/>
    <x v="17"/>
    <x v="0"/>
    <x v="5"/>
    <x v="0"/>
    <s v="2025-12-14"/>
    <s v="2025-12-17"/>
    <n v="3"/>
    <n v="6258.57"/>
    <x v="0"/>
    <s v="Discharged"/>
    <x v="2"/>
    <x v="0"/>
  </r>
  <r>
    <x v="2192"/>
    <x v="4"/>
    <x v="1"/>
    <x v="0"/>
    <x v="2"/>
    <s v="2025-01-25"/>
    <s v="2025-02-05"/>
    <n v="11"/>
    <n v="9305.17"/>
    <x v="1"/>
    <s v="Discharged"/>
    <x v="2"/>
    <x v="1"/>
  </r>
  <r>
    <x v="2193"/>
    <x v="66"/>
    <x v="0"/>
    <x v="3"/>
    <x v="2"/>
    <s v="2025-02-10"/>
    <s v="2025-02-15"/>
    <n v="5"/>
    <n v="12997.94"/>
    <x v="0"/>
    <s v="Discharged"/>
    <x v="1"/>
    <x v="0"/>
  </r>
  <r>
    <x v="2194"/>
    <x v="51"/>
    <x v="1"/>
    <x v="1"/>
    <x v="1"/>
    <s v="2025-04-30"/>
    <s v="2025-05-02"/>
    <n v="2"/>
    <n v="4597.01"/>
    <x v="0"/>
    <s v="Discharged"/>
    <x v="1"/>
    <x v="0"/>
  </r>
  <r>
    <x v="2195"/>
    <x v="23"/>
    <x v="0"/>
    <x v="3"/>
    <x v="1"/>
    <s v="2025-03-23"/>
    <s v="2025-03-30"/>
    <n v="7"/>
    <n v="12803.78"/>
    <x v="0"/>
    <s v="Discharged"/>
    <x v="3"/>
    <x v="0"/>
  </r>
  <r>
    <x v="2196"/>
    <x v="10"/>
    <x v="2"/>
    <x v="0"/>
    <x v="2"/>
    <s v="2025-06-10"/>
    <s v="2025-06-17"/>
    <n v="7"/>
    <n v="10648.21"/>
    <x v="0"/>
    <s v="Discharged"/>
    <x v="4"/>
    <x v="0"/>
  </r>
  <r>
    <x v="2197"/>
    <x v="7"/>
    <x v="1"/>
    <x v="1"/>
    <x v="0"/>
    <s v="2025-03-25"/>
    <s v="2025-03-29"/>
    <n v="4"/>
    <n v="7300.58"/>
    <x v="0"/>
    <s v="Discharged"/>
    <x v="4"/>
    <x v="0"/>
  </r>
  <r>
    <x v="2198"/>
    <x v="29"/>
    <x v="1"/>
    <x v="5"/>
    <x v="2"/>
    <s v="2025-03-28"/>
    <s v="2025-04-03"/>
    <n v="6"/>
    <n v="11684.57"/>
    <x v="0"/>
    <s v="Discharged"/>
    <x v="3"/>
    <x v="0"/>
  </r>
  <r>
    <x v="2199"/>
    <x v="11"/>
    <x v="0"/>
    <x v="0"/>
    <x v="0"/>
    <s v="2025-08-17"/>
    <s v="2025-08-21"/>
    <n v="4"/>
    <n v="7222.56"/>
    <x v="0"/>
    <s v="Discharged"/>
    <x v="2"/>
    <x v="0"/>
  </r>
  <r>
    <x v="2200"/>
    <x v="38"/>
    <x v="1"/>
    <x v="0"/>
    <x v="0"/>
    <s v="2025-06-23"/>
    <s v="2025-06-27"/>
    <n v="4"/>
    <n v="5891.15"/>
    <x v="0"/>
    <s v="Discharged"/>
    <x v="0"/>
    <x v="0"/>
  </r>
  <r>
    <x v="2201"/>
    <x v="71"/>
    <x v="1"/>
    <x v="0"/>
    <x v="0"/>
    <s v="2025-11-15"/>
    <s v="2025-11-16"/>
    <n v="1"/>
    <n v="6056.5"/>
    <x v="1"/>
    <s v="Discharged"/>
    <x v="1"/>
    <x v="0"/>
  </r>
  <r>
    <x v="2202"/>
    <x v="32"/>
    <x v="0"/>
    <x v="1"/>
    <x v="1"/>
    <s v="2025-04-04"/>
    <s v="2025-04-12"/>
    <n v="8"/>
    <n v="6778.4"/>
    <x v="0"/>
    <s v="Discharged"/>
    <x v="3"/>
    <x v="1"/>
  </r>
  <r>
    <x v="2203"/>
    <x v="50"/>
    <x v="1"/>
    <x v="4"/>
    <x v="1"/>
    <s v="2025-03-09"/>
    <s v="2025-03-19"/>
    <n v="10"/>
    <n v="14894.15"/>
    <x v="0"/>
    <s v="Discharged"/>
    <x v="0"/>
    <x v="1"/>
  </r>
  <r>
    <x v="2204"/>
    <x v="3"/>
    <x v="1"/>
    <x v="3"/>
    <x v="2"/>
    <s v="2025-04-09"/>
    <s v="2025-04-13"/>
    <n v="4"/>
    <n v="10902.46"/>
    <x v="1"/>
    <s v="Discharged"/>
    <x v="0"/>
    <x v="0"/>
  </r>
  <r>
    <x v="2205"/>
    <x v="49"/>
    <x v="0"/>
    <x v="0"/>
    <x v="2"/>
    <s v="2025-09-19"/>
    <s v="2025-09-26"/>
    <n v="7"/>
    <n v="8531.43"/>
    <x v="0"/>
    <s v="Discharged"/>
    <x v="0"/>
    <x v="0"/>
  </r>
  <r>
    <x v="2206"/>
    <x v="50"/>
    <x v="0"/>
    <x v="1"/>
    <x v="0"/>
    <s v="2025-02-02"/>
    <s v="2025-02-05"/>
    <n v="3"/>
    <n v="5649.61"/>
    <x v="1"/>
    <s v="Discharged"/>
    <x v="0"/>
    <x v="0"/>
  </r>
  <r>
    <x v="2207"/>
    <x v="60"/>
    <x v="0"/>
    <x v="0"/>
    <x v="1"/>
    <s v="2025-01-20"/>
    <s v="2025-01-26"/>
    <n v="6"/>
    <n v="10775.58"/>
    <x v="0"/>
    <s v="Discharged"/>
    <x v="3"/>
    <x v="0"/>
  </r>
  <r>
    <x v="2208"/>
    <x v="48"/>
    <x v="0"/>
    <x v="5"/>
    <x v="2"/>
    <s v="2025-08-31"/>
    <s v="2025-09-05"/>
    <n v="5"/>
    <n v="10137.879999999999"/>
    <x v="0"/>
    <s v="Discharged"/>
    <x v="0"/>
    <x v="0"/>
  </r>
  <r>
    <x v="2209"/>
    <x v="7"/>
    <x v="0"/>
    <x v="1"/>
    <x v="0"/>
    <s v="2025-05-16"/>
    <s v="2025-05-19"/>
    <n v="3"/>
    <n v="6377.98"/>
    <x v="0"/>
    <s v="Discharged"/>
    <x v="4"/>
    <x v="0"/>
  </r>
  <r>
    <x v="2210"/>
    <x v="69"/>
    <x v="0"/>
    <x v="5"/>
    <x v="0"/>
    <s v="2025-12-08"/>
    <s v="2025-12-14"/>
    <n v="6"/>
    <n v="9920.1299999999992"/>
    <x v="0"/>
    <s v="Discharged"/>
    <x v="3"/>
    <x v="0"/>
  </r>
  <r>
    <x v="2211"/>
    <x v="17"/>
    <x v="1"/>
    <x v="2"/>
    <x v="2"/>
    <s v="2025-12-16"/>
    <s v="2025-12-24"/>
    <n v="8"/>
    <n v="13871.49"/>
    <x v="0"/>
    <s v="Discharged"/>
    <x v="2"/>
    <x v="1"/>
  </r>
  <r>
    <x v="2212"/>
    <x v="62"/>
    <x v="1"/>
    <x v="0"/>
    <x v="2"/>
    <s v="2025-12-28"/>
    <s v="2026-01-04"/>
    <n v="7"/>
    <n v="8976.17"/>
    <x v="0"/>
    <s v="Discharged"/>
    <x v="2"/>
    <x v="0"/>
  </r>
  <r>
    <x v="2213"/>
    <x v="39"/>
    <x v="1"/>
    <x v="3"/>
    <x v="2"/>
    <s v="2025-10-23"/>
    <s v="2025-10-30"/>
    <n v="7"/>
    <n v="12674.74"/>
    <x v="0"/>
    <s v="Discharged"/>
    <x v="4"/>
    <x v="0"/>
  </r>
  <r>
    <x v="2214"/>
    <x v="25"/>
    <x v="1"/>
    <x v="1"/>
    <x v="1"/>
    <s v="2025-08-30"/>
    <s v="2025-09-01"/>
    <n v="2"/>
    <n v="3674.75"/>
    <x v="0"/>
    <s v="Discharged"/>
    <x v="2"/>
    <x v="0"/>
  </r>
  <r>
    <x v="2215"/>
    <x v="67"/>
    <x v="1"/>
    <x v="1"/>
    <x v="2"/>
    <s v="2025-03-09"/>
    <s v="2025-03-17"/>
    <n v="8"/>
    <n v="7351.86"/>
    <x v="1"/>
    <s v="Discharged"/>
    <x v="3"/>
    <x v="1"/>
  </r>
  <r>
    <x v="2216"/>
    <x v="32"/>
    <x v="0"/>
    <x v="1"/>
    <x v="0"/>
    <s v="2025-10-18"/>
    <s v="2025-10-22"/>
    <n v="4"/>
    <n v="6574.69"/>
    <x v="1"/>
    <s v="Discharged"/>
    <x v="3"/>
    <x v="0"/>
  </r>
  <r>
    <x v="2217"/>
    <x v="10"/>
    <x v="1"/>
    <x v="1"/>
    <x v="1"/>
    <s v="2025-05-22"/>
    <s v="2025-05-29"/>
    <n v="7"/>
    <n v="6756.67"/>
    <x v="0"/>
    <s v="Discharged"/>
    <x v="4"/>
    <x v="0"/>
  </r>
  <r>
    <x v="2218"/>
    <x v="27"/>
    <x v="1"/>
    <x v="0"/>
    <x v="2"/>
    <s v="2025-07-09"/>
    <s v="2025-07-15"/>
    <n v="6"/>
    <n v="9602.19"/>
    <x v="0"/>
    <s v="Discharged"/>
    <x v="1"/>
    <x v="0"/>
  </r>
  <r>
    <x v="2219"/>
    <x v="69"/>
    <x v="0"/>
    <x v="2"/>
    <x v="0"/>
    <s v="2025-04-24"/>
    <s v="2025-05-01"/>
    <n v="7"/>
    <n v="12228.57"/>
    <x v="0"/>
    <s v="Discharged"/>
    <x v="3"/>
    <x v="0"/>
  </r>
  <r>
    <x v="2220"/>
    <x v="20"/>
    <x v="0"/>
    <x v="4"/>
    <x v="2"/>
    <s v="2025-12-03"/>
    <s v="2025-12-11"/>
    <n v="8"/>
    <n v="12668.48"/>
    <x v="0"/>
    <s v="Discharged"/>
    <x v="0"/>
    <x v="1"/>
  </r>
  <r>
    <x v="2221"/>
    <x v="28"/>
    <x v="1"/>
    <x v="4"/>
    <x v="2"/>
    <s v="2025-02-09"/>
    <s v="2025-02-15"/>
    <n v="6"/>
    <n v="8563.9500000000007"/>
    <x v="1"/>
    <s v="Discharged"/>
    <x v="4"/>
    <x v="0"/>
  </r>
  <r>
    <x v="2222"/>
    <x v="27"/>
    <x v="1"/>
    <x v="1"/>
    <x v="1"/>
    <s v="2025-11-27"/>
    <s v="2025-12-03"/>
    <n v="6"/>
    <n v="7446.5"/>
    <x v="1"/>
    <s v="Discharged"/>
    <x v="1"/>
    <x v="0"/>
  </r>
  <r>
    <x v="2223"/>
    <x v="37"/>
    <x v="1"/>
    <x v="1"/>
    <x v="2"/>
    <s v="2025-04-16"/>
    <s v="2025-04-24"/>
    <n v="8"/>
    <n v="6472.16"/>
    <x v="0"/>
    <s v="Discharged"/>
    <x v="1"/>
    <x v="1"/>
  </r>
  <r>
    <x v="2224"/>
    <x v="29"/>
    <x v="0"/>
    <x v="1"/>
    <x v="2"/>
    <s v="2025-10-25"/>
    <m/>
    <n v="3"/>
    <n v="6254.41"/>
    <x v="0"/>
    <s v="Discharged"/>
    <x v="3"/>
    <x v="0"/>
  </r>
  <r>
    <x v="2225"/>
    <x v="8"/>
    <x v="1"/>
    <x v="1"/>
    <x v="2"/>
    <s v="2025-10-10"/>
    <s v="2025-10-15"/>
    <n v="5"/>
    <n v="6466.8"/>
    <x v="0"/>
    <s v="Transferred"/>
    <x v="3"/>
    <x v="0"/>
  </r>
  <r>
    <x v="2226"/>
    <x v="3"/>
    <x v="1"/>
    <x v="3"/>
    <x v="2"/>
    <s v="2025-11-02"/>
    <s v="2025-11-10"/>
    <n v="8"/>
    <n v="14876.21"/>
    <x v="0"/>
    <s v="Discharged"/>
    <x v="0"/>
    <x v="1"/>
  </r>
  <r>
    <x v="2227"/>
    <x v="5"/>
    <x v="0"/>
    <x v="2"/>
    <x v="1"/>
    <s v="2025-04-08"/>
    <s v="2025-04-13"/>
    <n v="5"/>
    <n v="12669"/>
    <x v="1"/>
    <s v="Discharged"/>
    <x v="0"/>
    <x v="0"/>
  </r>
  <r>
    <x v="2228"/>
    <x v="2"/>
    <x v="0"/>
    <x v="0"/>
    <x v="0"/>
    <s v="2025-03-12"/>
    <s v="2025-03-13"/>
    <n v="1"/>
    <n v="7530.12"/>
    <x v="0"/>
    <s v="Discharged"/>
    <x v="1"/>
    <x v="0"/>
  </r>
  <r>
    <x v="2229"/>
    <x v="44"/>
    <x v="1"/>
    <x v="2"/>
    <x v="2"/>
    <s v="2025-12-23"/>
    <s v="2025-12-31"/>
    <n v="8"/>
    <n v="11245.21"/>
    <x v="0"/>
    <s v="Discharged"/>
    <x v="1"/>
    <x v="1"/>
  </r>
  <r>
    <x v="2230"/>
    <x v="68"/>
    <x v="1"/>
    <x v="1"/>
    <x v="2"/>
    <s v="2025-10-17"/>
    <s v="2025-10-21"/>
    <n v="4"/>
    <n v="4575.51"/>
    <x v="1"/>
    <s v="Discharged"/>
    <x v="3"/>
    <x v="0"/>
  </r>
  <r>
    <x v="2231"/>
    <x v="72"/>
    <x v="0"/>
    <x v="5"/>
    <x v="0"/>
    <s v="2025-04-13"/>
    <s v="2025-04-17"/>
    <n v="4"/>
    <n v="7908.82"/>
    <x v="0"/>
    <s v="Discharged"/>
    <x v="2"/>
    <x v="0"/>
  </r>
  <r>
    <x v="2232"/>
    <x v="7"/>
    <x v="1"/>
    <x v="4"/>
    <x v="2"/>
    <s v="2025-02-21"/>
    <s v="2025-02-27"/>
    <n v="6"/>
    <n v="11286.88"/>
    <x v="0"/>
    <s v="Discharged"/>
    <x v="4"/>
    <x v="0"/>
  </r>
  <r>
    <x v="2233"/>
    <x v="49"/>
    <x v="1"/>
    <x v="5"/>
    <x v="0"/>
    <s v="2025-10-08"/>
    <s v="2025-10-11"/>
    <n v="3"/>
    <n v="8137.83"/>
    <x v="0"/>
    <s v="Transferred"/>
    <x v="0"/>
    <x v="0"/>
  </r>
  <r>
    <x v="2234"/>
    <x v="15"/>
    <x v="1"/>
    <x v="2"/>
    <x v="2"/>
    <s v="2025-11-22"/>
    <s v="2025-11-27"/>
    <n v="5"/>
    <n v="12085.72"/>
    <x v="0"/>
    <s v="Discharged"/>
    <x v="1"/>
    <x v="0"/>
  </r>
  <r>
    <x v="2235"/>
    <x v="1"/>
    <x v="0"/>
    <x v="4"/>
    <x v="2"/>
    <s v="2025-03-06"/>
    <s v="2025-03-13"/>
    <n v="7"/>
    <n v="10452.540000000001"/>
    <x v="0"/>
    <s v="Discharged"/>
    <x v="0"/>
    <x v="0"/>
  </r>
  <r>
    <x v="2236"/>
    <x v="43"/>
    <x v="1"/>
    <x v="1"/>
    <x v="2"/>
    <s v="2025-09-14"/>
    <s v="2025-09-19"/>
    <n v="5"/>
    <n v="6575.5"/>
    <x v="0"/>
    <s v="Discharged"/>
    <x v="2"/>
    <x v="0"/>
  </r>
  <r>
    <x v="2237"/>
    <x v="25"/>
    <x v="0"/>
    <x v="0"/>
    <x v="0"/>
    <s v="2025-05-29"/>
    <s v="2025-06-03"/>
    <n v="5"/>
    <n v="6411.47"/>
    <x v="0"/>
    <s v="Discharged"/>
    <x v="2"/>
    <x v="0"/>
  </r>
  <r>
    <x v="2238"/>
    <x v="36"/>
    <x v="1"/>
    <x v="5"/>
    <x v="2"/>
    <s v="2025-06-23"/>
    <s v="2025-06-30"/>
    <n v="7"/>
    <n v="11157.88"/>
    <x v="0"/>
    <s v="Discharged"/>
    <x v="1"/>
    <x v="0"/>
  </r>
  <r>
    <x v="2239"/>
    <x v="17"/>
    <x v="0"/>
    <x v="5"/>
    <x v="2"/>
    <s v="2025-09-06"/>
    <s v="2025-09-14"/>
    <n v="8"/>
    <n v="11134.02"/>
    <x v="0"/>
    <s v="Discharged"/>
    <x v="2"/>
    <x v="1"/>
  </r>
  <r>
    <x v="2240"/>
    <x v="65"/>
    <x v="0"/>
    <x v="3"/>
    <x v="1"/>
    <s v="2025-11-02"/>
    <s v="2025-11-07"/>
    <n v="5"/>
    <n v="11913.98"/>
    <x v="0"/>
    <s v="Discharged"/>
    <x v="3"/>
    <x v="0"/>
  </r>
  <r>
    <x v="2241"/>
    <x v="5"/>
    <x v="1"/>
    <x v="2"/>
    <x v="2"/>
    <s v="2025-09-16"/>
    <s v="2025-09-21"/>
    <n v="5"/>
    <n v="12335.96"/>
    <x v="0"/>
    <s v="Discharged"/>
    <x v="0"/>
    <x v="0"/>
  </r>
  <r>
    <x v="2242"/>
    <x v="35"/>
    <x v="1"/>
    <x v="1"/>
    <x v="0"/>
    <s v="2025-04-24"/>
    <s v="2025-04-25"/>
    <n v="1"/>
    <n v="3402.68"/>
    <x v="0"/>
    <s v="Discharged"/>
    <x v="4"/>
    <x v="0"/>
  </r>
  <r>
    <x v="2243"/>
    <x v="46"/>
    <x v="1"/>
    <x v="4"/>
    <x v="2"/>
    <s v="2025-03-15"/>
    <s v="2025-03-21"/>
    <n v="6"/>
    <n v="10759.35"/>
    <x v="0"/>
    <s v="Discharged"/>
    <x v="1"/>
    <x v="0"/>
  </r>
  <r>
    <x v="2244"/>
    <x v="32"/>
    <x v="1"/>
    <x v="1"/>
    <x v="0"/>
    <s v="2025-06-18"/>
    <s v="2025-06-23"/>
    <n v="5"/>
    <n v="4570.1899999999996"/>
    <x v="0"/>
    <s v="Discharged"/>
    <x v="3"/>
    <x v="0"/>
  </r>
  <r>
    <x v="2245"/>
    <x v="56"/>
    <x v="0"/>
    <x v="1"/>
    <x v="1"/>
    <s v="2025-11-14"/>
    <s v="2025-11-15"/>
    <n v="1"/>
    <n v="1216.49"/>
    <x v="0"/>
    <s v="Discharged"/>
    <x v="0"/>
    <x v="0"/>
  </r>
  <r>
    <x v="2246"/>
    <x v="59"/>
    <x v="0"/>
    <x v="0"/>
    <x v="2"/>
    <s v="2025-02-15"/>
    <s v="2025-02-20"/>
    <n v="5"/>
    <n v="6601.57"/>
    <x v="0"/>
    <s v="Discharged"/>
    <x v="3"/>
    <x v="0"/>
  </r>
  <r>
    <x v="2247"/>
    <x v="65"/>
    <x v="0"/>
    <x v="1"/>
    <x v="0"/>
    <s v="2025-09-28"/>
    <s v="2025-10-02"/>
    <n v="4"/>
    <n v="3375.82"/>
    <x v="0"/>
    <s v="Discharged"/>
    <x v="3"/>
    <x v="0"/>
  </r>
  <r>
    <x v="2248"/>
    <x v="57"/>
    <x v="1"/>
    <x v="5"/>
    <x v="0"/>
    <s v="2025-03-20"/>
    <s v="2025-03-26"/>
    <n v="6"/>
    <n v="10701.84"/>
    <x v="1"/>
    <s v="Discharged"/>
    <x v="3"/>
    <x v="0"/>
  </r>
  <r>
    <x v="2249"/>
    <x v="69"/>
    <x v="1"/>
    <x v="0"/>
    <x v="1"/>
    <s v="2025-10-01"/>
    <s v="2025-10-06"/>
    <n v="5"/>
    <n v="5429.56"/>
    <x v="0"/>
    <s v="Discharged"/>
    <x v="3"/>
    <x v="0"/>
  </r>
  <r>
    <x v="2250"/>
    <x v="30"/>
    <x v="1"/>
    <x v="2"/>
    <x v="0"/>
    <s v="2025-03-19"/>
    <s v="2025-03-23"/>
    <n v="4"/>
    <n v="11084.23"/>
    <x v="0"/>
    <s v="Discharged"/>
    <x v="0"/>
    <x v="0"/>
  </r>
  <r>
    <x v="2251"/>
    <x v="26"/>
    <x v="0"/>
    <x v="1"/>
    <x v="1"/>
    <s v="2025-06-07"/>
    <s v="2025-06-14"/>
    <n v="7"/>
    <n v="8395.5"/>
    <x v="1"/>
    <s v="Discharged"/>
    <x v="3"/>
    <x v="0"/>
  </r>
  <r>
    <x v="2252"/>
    <x v="33"/>
    <x v="0"/>
    <x v="1"/>
    <x v="1"/>
    <s v="2025-05-30"/>
    <s v="2025-06-01"/>
    <n v="2"/>
    <n v="2762.36"/>
    <x v="0"/>
    <s v="Discharged"/>
    <x v="2"/>
    <x v="0"/>
  </r>
  <r>
    <x v="2253"/>
    <x v="31"/>
    <x v="0"/>
    <x v="2"/>
    <x v="2"/>
    <s v="2025-11-25"/>
    <s v="2025-12-03"/>
    <n v="8"/>
    <n v="13327.97"/>
    <x v="0"/>
    <s v="Discharged"/>
    <x v="2"/>
    <x v="1"/>
  </r>
  <r>
    <x v="2254"/>
    <x v="37"/>
    <x v="1"/>
    <x v="0"/>
    <x v="0"/>
    <s v="2025-01-24"/>
    <s v="2025-01-28"/>
    <n v="4"/>
    <n v="5029.8999999999996"/>
    <x v="0"/>
    <s v="Discharged"/>
    <x v="1"/>
    <x v="0"/>
  </r>
  <r>
    <x v="2255"/>
    <x v="30"/>
    <x v="1"/>
    <x v="1"/>
    <x v="0"/>
    <s v="2025-10-16"/>
    <s v="2025-10-20"/>
    <n v="4"/>
    <n v="5703.34"/>
    <x v="0"/>
    <s v="Discharged"/>
    <x v="0"/>
    <x v="0"/>
  </r>
  <r>
    <x v="2256"/>
    <x v="39"/>
    <x v="1"/>
    <x v="2"/>
    <x v="0"/>
    <s v="2025-02-25"/>
    <s v="2025-03-02"/>
    <n v="5"/>
    <n v="11857.31"/>
    <x v="0"/>
    <s v="Discharged"/>
    <x v="4"/>
    <x v="0"/>
  </r>
  <r>
    <x v="2257"/>
    <x v="40"/>
    <x v="0"/>
    <x v="1"/>
    <x v="1"/>
    <s v="2025-01-13"/>
    <s v="2025-01-15"/>
    <n v="2"/>
    <n v="4370.58"/>
    <x v="0"/>
    <s v="Discharged"/>
    <x v="1"/>
    <x v="0"/>
  </r>
  <r>
    <x v="2258"/>
    <x v="36"/>
    <x v="1"/>
    <x v="1"/>
    <x v="1"/>
    <s v="2025-05-11"/>
    <s v="2025-05-16"/>
    <n v="5"/>
    <n v="6533.86"/>
    <x v="0"/>
    <s v="Discharged"/>
    <x v="1"/>
    <x v="0"/>
  </r>
  <r>
    <x v="2259"/>
    <x v="17"/>
    <x v="0"/>
    <x v="0"/>
    <x v="2"/>
    <s v="2025-03-05"/>
    <s v="2025-03-10"/>
    <n v="5"/>
    <n v="8178.88"/>
    <x v="0"/>
    <s v="Discharged"/>
    <x v="2"/>
    <x v="0"/>
  </r>
  <r>
    <x v="2260"/>
    <x v="27"/>
    <x v="0"/>
    <x v="5"/>
    <x v="0"/>
    <s v="2025-04-07"/>
    <s v="2025-04-12"/>
    <n v="5"/>
    <n v="11037.39"/>
    <x v="0"/>
    <s v="Discharged"/>
    <x v="1"/>
    <x v="0"/>
  </r>
  <r>
    <x v="2261"/>
    <x v="22"/>
    <x v="1"/>
    <x v="0"/>
    <x v="2"/>
    <s v="2025-02-15"/>
    <s v="2025-02-20"/>
    <n v="5"/>
    <n v="7095.76"/>
    <x v="0"/>
    <s v="Discharged"/>
    <x v="3"/>
    <x v="0"/>
  </r>
  <r>
    <x v="2262"/>
    <x v="71"/>
    <x v="0"/>
    <x v="2"/>
    <x v="1"/>
    <s v="2025-04-12"/>
    <s v="2025-04-20"/>
    <n v="8"/>
    <n v="14904.31"/>
    <x v="0"/>
    <s v="Discharged"/>
    <x v="1"/>
    <x v="1"/>
  </r>
  <r>
    <x v="2263"/>
    <x v="30"/>
    <x v="1"/>
    <x v="1"/>
    <x v="2"/>
    <s v="2025-01-18"/>
    <s v="2025-01-21"/>
    <n v="3"/>
    <n v="2762.56"/>
    <x v="0"/>
    <s v="Discharged"/>
    <x v="0"/>
    <x v="0"/>
  </r>
  <r>
    <x v="2264"/>
    <x v="61"/>
    <x v="1"/>
    <x v="5"/>
    <x v="2"/>
    <s v="2025-06-13"/>
    <s v="2025-06-22"/>
    <n v="9"/>
    <n v="14219.76"/>
    <x v="0"/>
    <s v="Discharged"/>
    <x v="4"/>
    <x v="1"/>
  </r>
  <r>
    <x v="2265"/>
    <x v="56"/>
    <x v="0"/>
    <x v="3"/>
    <x v="2"/>
    <s v="2025-07-11"/>
    <s v="2025-07-17"/>
    <n v="6"/>
    <n v="14598.33"/>
    <x v="1"/>
    <s v="Discharged"/>
    <x v="0"/>
    <x v="0"/>
  </r>
  <r>
    <x v="2266"/>
    <x v="72"/>
    <x v="0"/>
    <x v="1"/>
    <x v="2"/>
    <s v="2025-07-17"/>
    <s v="2025-07-21"/>
    <n v="4"/>
    <n v="4887.97"/>
    <x v="0"/>
    <s v="Discharged"/>
    <x v="2"/>
    <x v="0"/>
  </r>
  <r>
    <x v="2267"/>
    <x v="28"/>
    <x v="0"/>
    <x v="0"/>
    <x v="1"/>
    <s v="2025-10-11"/>
    <s v="2025-10-17"/>
    <n v="6"/>
    <n v="7762.82"/>
    <x v="0"/>
    <s v="Discharged"/>
    <x v="4"/>
    <x v="0"/>
  </r>
  <r>
    <x v="2268"/>
    <x v="6"/>
    <x v="0"/>
    <x v="1"/>
    <x v="2"/>
    <s v="2025-10-08"/>
    <s v="2025-10-12"/>
    <n v="4"/>
    <n v="6293.07"/>
    <x v="0"/>
    <s v="Discharged"/>
    <x v="3"/>
    <x v="0"/>
  </r>
  <r>
    <x v="2269"/>
    <x v="51"/>
    <x v="1"/>
    <x v="0"/>
    <x v="2"/>
    <s v="2025-07-28"/>
    <s v="2025-08-03"/>
    <n v="6"/>
    <n v="7110.62"/>
    <x v="0"/>
    <s v="Discharged"/>
    <x v="1"/>
    <x v="0"/>
  </r>
  <r>
    <x v="2270"/>
    <x v="12"/>
    <x v="1"/>
    <x v="1"/>
    <x v="2"/>
    <s v="2025-05-23"/>
    <s v="2025-05-30"/>
    <n v="7"/>
    <n v="9401.0499999999993"/>
    <x v="0"/>
    <s v="Discharged"/>
    <x v="2"/>
    <x v="0"/>
  </r>
  <r>
    <x v="2271"/>
    <x v="14"/>
    <x v="1"/>
    <x v="5"/>
    <x v="0"/>
    <s v="2025-09-22"/>
    <s v="2025-09-29"/>
    <n v="7"/>
    <n v="11793.68"/>
    <x v="0"/>
    <s v="Discharged"/>
    <x v="0"/>
    <x v="0"/>
  </r>
  <r>
    <x v="2272"/>
    <x v="1"/>
    <x v="0"/>
    <x v="0"/>
    <x v="0"/>
    <s v="2025-11-23"/>
    <s v="2025-11-26"/>
    <n v="3"/>
    <n v="7782.28"/>
    <x v="0"/>
    <s v="Transferred"/>
    <x v="0"/>
    <x v="0"/>
  </r>
  <r>
    <x v="2273"/>
    <x v="46"/>
    <x v="0"/>
    <x v="0"/>
    <x v="1"/>
    <s v="2025-12-09"/>
    <s v="2025-12-13"/>
    <n v="4"/>
    <n v="8318.3700000000008"/>
    <x v="1"/>
    <s v="Discharged"/>
    <x v="1"/>
    <x v="0"/>
  </r>
  <r>
    <x v="2274"/>
    <x v="68"/>
    <x v="1"/>
    <x v="1"/>
    <x v="1"/>
    <s v="2025-11-27"/>
    <s v="2025-12-02"/>
    <n v="5"/>
    <n v="5515.07"/>
    <x v="0"/>
    <s v="Discharged"/>
    <x v="3"/>
    <x v="0"/>
  </r>
  <r>
    <x v="2275"/>
    <x v="13"/>
    <x v="0"/>
    <x v="4"/>
    <x v="0"/>
    <s v="2025-09-07"/>
    <s v="2025-09-09"/>
    <n v="2"/>
    <n v="8066.87"/>
    <x v="0"/>
    <s v="Discharged"/>
    <x v="1"/>
    <x v="0"/>
  </r>
  <r>
    <x v="2276"/>
    <x v="66"/>
    <x v="1"/>
    <x v="0"/>
    <x v="2"/>
    <s v="2025-01-13"/>
    <s v="2025-01-16"/>
    <n v="3"/>
    <n v="4936.07"/>
    <x v="1"/>
    <s v="Discharged"/>
    <x v="1"/>
    <x v="0"/>
  </r>
  <r>
    <x v="2277"/>
    <x v="10"/>
    <x v="0"/>
    <x v="1"/>
    <x v="1"/>
    <s v="2025-10-27"/>
    <s v="2025-10-29"/>
    <n v="2"/>
    <n v="5086.6899999999996"/>
    <x v="0"/>
    <s v="Discharged"/>
    <x v="4"/>
    <x v="0"/>
  </r>
  <r>
    <x v="2278"/>
    <x v="3"/>
    <x v="0"/>
    <x v="0"/>
    <x v="0"/>
    <s v="2025-06-05"/>
    <s v="2025-06-10"/>
    <n v="5"/>
    <n v="7602.7"/>
    <x v="0"/>
    <s v="Discharged"/>
    <x v="0"/>
    <x v="0"/>
  </r>
  <r>
    <x v="2279"/>
    <x v="31"/>
    <x v="1"/>
    <x v="0"/>
    <x v="1"/>
    <s v="2025-02-08"/>
    <s v="2025-02-14"/>
    <n v="6"/>
    <n v="9837.81"/>
    <x v="0"/>
    <s v="Transferred"/>
    <x v="2"/>
    <x v="0"/>
  </r>
  <r>
    <x v="2280"/>
    <x v="37"/>
    <x v="1"/>
    <x v="2"/>
    <x v="2"/>
    <s v="2025-12-13"/>
    <s v="2025-12-16"/>
    <n v="3"/>
    <n v="10302.49"/>
    <x v="0"/>
    <s v="Discharged"/>
    <x v="1"/>
    <x v="0"/>
  </r>
  <r>
    <x v="2281"/>
    <x v="40"/>
    <x v="1"/>
    <x v="4"/>
    <x v="0"/>
    <s v="2025-05-13"/>
    <s v="2025-05-16"/>
    <n v="3"/>
    <n v="7035.45"/>
    <x v="0"/>
    <s v="Discharged"/>
    <x v="1"/>
    <x v="0"/>
  </r>
  <r>
    <x v="2282"/>
    <x v="4"/>
    <x v="0"/>
    <x v="1"/>
    <x v="0"/>
    <s v="2025-01-10"/>
    <s v="2025-01-13"/>
    <n v="3"/>
    <n v="4759.71"/>
    <x v="0"/>
    <s v="Discharged"/>
    <x v="2"/>
    <x v="0"/>
  </r>
  <r>
    <x v="2283"/>
    <x v="62"/>
    <x v="0"/>
    <x v="3"/>
    <x v="2"/>
    <s v="2025-01-10"/>
    <s v="2025-01-17"/>
    <n v="7"/>
    <n v="12971.79"/>
    <x v="0"/>
    <s v="Discharged"/>
    <x v="2"/>
    <x v="0"/>
  </r>
  <r>
    <x v="2284"/>
    <x v="58"/>
    <x v="1"/>
    <x v="0"/>
    <x v="1"/>
    <s v="2025-03-05"/>
    <s v="2025-03-07"/>
    <n v="2"/>
    <n v="3274.15"/>
    <x v="1"/>
    <s v="Discharged"/>
    <x v="2"/>
    <x v="0"/>
  </r>
  <r>
    <x v="2285"/>
    <x v="38"/>
    <x v="1"/>
    <x v="3"/>
    <x v="2"/>
    <s v="2025-10-31"/>
    <s v="2025-11-08"/>
    <n v="8"/>
    <n v="14170.45"/>
    <x v="1"/>
    <s v="Discharged"/>
    <x v="0"/>
    <x v="1"/>
  </r>
  <r>
    <x v="2286"/>
    <x v="22"/>
    <x v="0"/>
    <x v="2"/>
    <x v="0"/>
    <s v="2025-06-07"/>
    <s v="2025-06-13"/>
    <n v="6"/>
    <n v="11966.31"/>
    <x v="0"/>
    <s v="Discharged"/>
    <x v="3"/>
    <x v="0"/>
  </r>
  <r>
    <x v="2287"/>
    <x v="22"/>
    <x v="0"/>
    <x v="1"/>
    <x v="0"/>
    <s v="2025-07-17"/>
    <s v="2025-07-24"/>
    <n v="7"/>
    <n v="8436.93"/>
    <x v="0"/>
    <s v="Discharged"/>
    <x v="3"/>
    <x v="0"/>
  </r>
  <r>
    <x v="2288"/>
    <x v="42"/>
    <x v="1"/>
    <x v="1"/>
    <x v="2"/>
    <s v="2025-04-24"/>
    <s v="2025-04-30"/>
    <n v="6"/>
    <n v="7438.6"/>
    <x v="0"/>
    <s v="Discharged"/>
    <x v="4"/>
    <x v="0"/>
  </r>
  <r>
    <x v="2289"/>
    <x v="15"/>
    <x v="0"/>
    <x v="5"/>
    <x v="0"/>
    <s v="2025-12-31"/>
    <s v="2026-01-09"/>
    <n v="9"/>
    <n v="11375.24"/>
    <x v="0"/>
    <s v="Discharged"/>
    <x v="1"/>
    <x v="1"/>
  </r>
  <r>
    <x v="2290"/>
    <x v="9"/>
    <x v="1"/>
    <x v="1"/>
    <x v="0"/>
    <s v="2025-12-26"/>
    <s v="2025-12-28"/>
    <n v="2"/>
    <n v="3210.96"/>
    <x v="0"/>
    <s v="Discharged"/>
    <x v="4"/>
    <x v="0"/>
  </r>
  <r>
    <x v="2291"/>
    <x v="50"/>
    <x v="1"/>
    <x v="3"/>
    <x v="2"/>
    <s v="2025-06-30"/>
    <s v="2025-07-08"/>
    <n v="8"/>
    <n v="14338.3"/>
    <x v="0"/>
    <s v="Transferred"/>
    <x v="0"/>
    <x v="1"/>
  </r>
  <r>
    <x v="2292"/>
    <x v="36"/>
    <x v="0"/>
    <x v="0"/>
    <x v="2"/>
    <s v="2025-07-28"/>
    <s v="2025-08-02"/>
    <n v="5"/>
    <n v="6372.27"/>
    <x v="0"/>
    <s v="Discharged"/>
    <x v="1"/>
    <x v="0"/>
  </r>
  <r>
    <x v="2293"/>
    <x v="31"/>
    <x v="0"/>
    <x v="2"/>
    <x v="0"/>
    <s v="2025-05-18"/>
    <s v="2025-05-23"/>
    <n v="5"/>
    <n v="9510.94"/>
    <x v="0"/>
    <s v="Discharged"/>
    <x v="2"/>
    <x v="0"/>
  </r>
  <r>
    <x v="2294"/>
    <x v="64"/>
    <x v="2"/>
    <x v="1"/>
    <x v="0"/>
    <s v="2025-02-05"/>
    <s v="2025-02-06"/>
    <n v="1"/>
    <n v="350"/>
    <x v="1"/>
    <s v="Discharged"/>
    <x v="4"/>
    <x v="0"/>
  </r>
  <r>
    <x v="2295"/>
    <x v="6"/>
    <x v="1"/>
    <x v="0"/>
    <x v="2"/>
    <s v="2025-12-18"/>
    <s v="2025-12-23"/>
    <n v="5"/>
    <n v="7261.02"/>
    <x v="0"/>
    <s v="Discharged"/>
    <x v="3"/>
    <x v="0"/>
  </r>
  <r>
    <x v="2296"/>
    <x v="48"/>
    <x v="1"/>
    <x v="0"/>
    <x v="2"/>
    <s v="2025-05-12"/>
    <s v="2025-05-20"/>
    <n v="8"/>
    <n v="6556.61"/>
    <x v="1"/>
    <s v="Discharged"/>
    <x v="0"/>
    <x v="1"/>
  </r>
  <r>
    <x v="2297"/>
    <x v="13"/>
    <x v="0"/>
    <x v="0"/>
    <x v="2"/>
    <s v="2025-05-15"/>
    <s v="2025-05-16"/>
    <n v="1"/>
    <n v="2446.9699999999998"/>
    <x v="0"/>
    <s v="Discharged"/>
    <x v="1"/>
    <x v="0"/>
  </r>
  <r>
    <x v="2298"/>
    <x v="50"/>
    <x v="0"/>
    <x v="4"/>
    <x v="2"/>
    <s v="2025-09-24"/>
    <s v="2025-10-02"/>
    <n v="8"/>
    <n v="12624.16"/>
    <x v="0"/>
    <s v="Discharged"/>
    <x v="0"/>
    <x v="1"/>
  </r>
  <r>
    <x v="2299"/>
    <x v="5"/>
    <x v="0"/>
    <x v="3"/>
    <x v="2"/>
    <s v="2025-02-03"/>
    <s v="2025-02-09"/>
    <n v="6"/>
    <n v="12548.55"/>
    <x v="0"/>
    <s v="Discharged"/>
    <x v="0"/>
    <x v="0"/>
  </r>
  <r>
    <x v="2300"/>
    <x v="38"/>
    <x v="1"/>
    <x v="3"/>
    <x v="1"/>
    <s v="2025-07-06"/>
    <s v="2025-07-14"/>
    <n v="8"/>
    <n v="13484.94"/>
    <x v="0"/>
    <s v="Discharged"/>
    <x v="0"/>
    <x v="1"/>
  </r>
  <r>
    <x v="2301"/>
    <x v="19"/>
    <x v="0"/>
    <x v="4"/>
    <x v="2"/>
    <s v="2025-03-14"/>
    <s v="2025-03-19"/>
    <n v="5"/>
    <n v="11055.31"/>
    <x v="0"/>
    <s v="Discharged"/>
    <x v="2"/>
    <x v="0"/>
  </r>
  <r>
    <x v="2302"/>
    <x v="55"/>
    <x v="1"/>
    <x v="0"/>
    <x v="0"/>
    <s v="2025-08-22"/>
    <s v="2025-08-27"/>
    <n v="5"/>
    <n v="8244.8799999999992"/>
    <x v="0"/>
    <s v="Discharged"/>
    <x v="4"/>
    <x v="0"/>
  </r>
  <r>
    <x v="2303"/>
    <x v="16"/>
    <x v="0"/>
    <x v="0"/>
    <x v="1"/>
    <s v="2025-06-25"/>
    <s v="2025-07-02"/>
    <n v="7"/>
    <n v="8945.74"/>
    <x v="0"/>
    <s v="Other"/>
    <x v="4"/>
    <x v="0"/>
  </r>
  <r>
    <x v="2304"/>
    <x v="71"/>
    <x v="0"/>
    <x v="1"/>
    <x v="0"/>
    <s v="2025-03-07"/>
    <s v="2025-03-08"/>
    <n v="1"/>
    <n v="4744.59"/>
    <x v="0"/>
    <s v="Discharged"/>
    <x v="1"/>
    <x v="0"/>
  </r>
  <r>
    <x v="2305"/>
    <x v="13"/>
    <x v="0"/>
    <x v="4"/>
    <x v="0"/>
    <s v="2025-01-17"/>
    <s v="2025-01-24"/>
    <n v="7"/>
    <n v="8607.2199999999993"/>
    <x v="0"/>
    <s v="Discharged"/>
    <x v="1"/>
    <x v="0"/>
  </r>
  <r>
    <x v="2306"/>
    <x v="57"/>
    <x v="0"/>
    <x v="4"/>
    <x v="2"/>
    <s v="2025-06-15"/>
    <s v="2025-06-24"/>
    <n v="9"/>
    <n v="12275.82"/>
    <x v="1"/>
    <s v="Discharged"/>
    <x v="3"/>
    <x v="1"/>
  </r>
  <r>
    <x v="2307"/>
    <x v="39"/>
    <x v="1"/>
    <x v="1"/>
    <x v="0"/>
    <s v="2025-01-20"/>
    <s v="2025-01-25"/>
    <n v="5"/>
    <n v="4832.5"/>
    <x v="1"/>
    <s v="Discharged"/>
    <x v="4"/>
    <x v="0"/>
  </r>
  <r>
    <x v="2308"/>
    <x v="32"/>
    <x v="1"/>
    <x v="1"/>
    <x v="2"/>
    <s v="2025-02-23"/>
    <s v="2025-02-28"/>
    <n v="5"/>
    <n v="4971.1899999999996"/>
    <x v="0"/>
    <s v="Discharged"/>
    <x v="3"/>
    <x v="0"/>
  </r>
  <r>
    <x v="2309"/>
    <x v="15"/>
    <x v="0"/>
    <x v="2"/>
    <x v="1"/>
    <s v="2025-12-09"/>
    <s v="2025-12-17"/>
    <n v="8"/>
    <n v="13176.89"/>
    <x v="0"/>
    <s v="Discharged"/>
    <x v="1"/>
    <x v="1"/>
  </r>
  <r>
    <x v="2310"/>
    <x v="70"/>
    <x v="0"/>
    <x v="0"/>
    <x v="0"/>
    <s v="2025-10-14"/>
    <s v="2025-10-16"/>
    <n v="2"/>
    <n v="4599.09"/>
    <x v="0"/>
    <s v="Discharged"/>
    <x v="1"/>
    <x v="0"/>
  </r>
  <r>
    <x v="2311"/>
    <x v="40"/>
    <x v="1"/>
    <x v="4"/>
    <x v="1"/>
    <s v="2025-07-11"/>
    <s v="2025-07-21"/>
    <n v="10"/>
    <n v="14853.68"/>
    <x v="0"/>
    <s v="Discharged"/>
    <x v="1"/>
    <x v="1"/>
  </r>
  <r>
    <x v="2312"/>
    <x v="8"/>
    <x v="1"/>
    <x v="5"/>
    <x v="2"/>
    <s v="2025-03-10"/>
    <s v="2025-03-18"/>
    <n v="8"/>
    <n v="10862.69"/>
    <x v="0"/>
    <s v="Discharged"/>
    <x v="3"/>
    <x v="1"/>
  </r>
  <r>
    <x v="2313"/>
    <x v="50"/>
    <x v="0"/>
    <x v="5"/>
    <x v="1"/>
    <s v="2025-03-10"/>
    <s v="2025-03-14"/>
    <n v="4"/>
    <n v="7704.71"/>
    <x v="0"/>
    <s v="Discharged"/>
    <x v="0"/>
    <x v="0"/>
  </r>
  <r>
    <x v="2314"/>
    <x v="7"/>
    <x v="0"/>
    <x v="1"/>
    <x v="2"/>
    <s v="2025-06-21"/>
    <s v="2025-06-28"/>
    <n v="7"/>
    <n v="8293.1200000000008"/>
    <x v="0"/>
    <s v="Discharged"/>
    <x v="4"/>
    <x v="0"/>
  </r>
  <r>
    <x v="2315"/>
    <x v="58"/>
    <x v="0"/>
    <x v="4"/>
    <x v="0"/>
    <s v="2025-11-15"/>
    <s v="2025-11-20"/>
    <n v="5"/>
    <n v="10458.379999999999"/>
    <x v="1"/>
    <s v="Discharged"/>
    <x v="2"/>
    <x v="0"/>
  </r>
  <r>
    <x v="2316"/>
    <x v="65"/>
    <x v="1"/>
    <x v="0"/>
    <x v="0"/>
    <s v="2025-11-22"/>
    <s v="2025-11-27"/>
    <n v="5"/>
    <n v="5627.82"/>
    <x v="0"/>
    <s v="Discharged"/>
    <x v="3"/>
    <x v="0"/>
  </r>
  <r>
    <x v="2317"/>
    <x v="64"/>
    <x v="0"/>
    <x v="4"/>
    <x v="2"/>
    <s v="2025-07-05"/>
    <s v="2025-07-11"/>
    <n v="6"/>
    <n v="9353.16"/>
    <x v="0"/>
    <s v="Discharged"/>
    <x v="4"/>
    <x v="0"/>
  </r>
  <r>
    <x v="2318"/>
    <x v="48"/>
    <x v="0"/>
    <x v="3"/>
    <x v="2"/>
    <s v="2025-02-04"/>
    <s v="2025-02-13"/>
    <n v="9"/>
    <n v="15424.67"/>
    <x v="1"/>
    <s v="Discharged"/>
    <x v="0"/>
    <x v="1"/>
  </r>
  <r>
    <x v="2319"/>
    <x v="71"/>
    <x v="1"/>
    <x v="1"/>
    <x v="2"/>
    <s v="2025-09-22"/>
    <s v="2025-09-27"/>
    <n v="5"/>
    <n v="7478.06"/>
    <x v="0"/>
    <s v="Discharged"/>
    <x v="1"/>
    <x v="0"/>
  </r>
  <r>
    <x v="2320"/>
    <x v="11"/>
    <x v="1"/>
    <x v="1"/>
    <x v="1"/>
    <s v="2025-09-16"/>
    <s v="2025-09-23"/>
    <n v="7"/>
    <n v="6568.28"/>
    <x v="0"/>
    <s v="Discharged"/>
    <x v="2"/>
    <x v="0"/>
  </r>
  <r>
    <x v="2321"/>
    <x v="25"/>
    <x v="1"/>
    <x v="2"/>
    <x v="0"/>
    <s v="2025-04-29"/>
    <s v="2025-05-04"/>
    <n v="5"/>
    <n v="10517.45"/>
    <x v="0"/>
    <s v="Discharged"/>
    <x v="2"/>
    <x v="0"/>
  </r>
  <r>
    <x v="2322"/>
    <x v="61"/>
    <x v="1"/>
    <x v="3"/>
    <x v="2"/>
    <s v="2025-04-23"/>
    <s v="2025-04-27"/>
    <n v="4"/>
    <n v="10646.08"/>
    <x v="0"/>
    <s v="Discharged"/>
    <x v="4"/>
    <x v="0"/>
  </r>
  <r>
    <x v="2323"/>
    <x v="41"/>
    <x v="1"/>
    <x v="0"/>
    <x v="2"/>
    <s v="2025-04-09"/>
    <s v="2025-04-11"/>
    <n v="2"/>
    <n v="4430.09"/>
    <x v="0"/>
    <s v="Other"/>
    <x v="1"/>
    <x v="0"/>
  </r>
  <r>
    <x v="2324"/>
    <x v="49"/>
    <x v="1"/>
    <x v="4"/>
    <x v="2"/>
    <s v="2025-06-19"/>
    <s v="2025-06-28"/>
    <n v="9"/>
    <n v="12476.23"/>
    <x v="0"/>
    <s v="Discharged"/>
    <x v="0"/>
    <x v="1"/>
  </r>
  <r>
    <x v="2325"/>
    <x v="23"/>
    <x v="1"/>
    <x v="1"/>
    <x v="1"/>
    <s v="2025-03-22"/>
    <s v="2025-03-28"/>
    <n v="6"/>
    <n v="7940.35"/>
    <x v="0"/>
    <s v="Discharged"/>
    <x v="3"/>
    <x v="0"/>
  </r>
  <r>
    <x v="2326"/>
    <x v="65"/>
    <x v="0"/>
    <x v="0"/>
    <x v="0"/>
    <s v="2025-02-13"/>
    <s v="2025-02-20"/>
    <n v="7"/>
    <n v="8290.7900000000009"/>
    <x v="0"/>
    <s v="Discharged"/>
    <x v="3"/>
    <x v="0"/>
  </r>
  <r>
    <x v="2327"/>
    <x v="51"/>
    <x v="0"/>
    <x v="1"/>
    <x v="2"/>
    <s v="2025-03-21"/>
    <s v="2025-03-25"/>
    <n v="4"/>
    <n v="5243.04"/>
    <x v="0"/>
    <s v="Discharged"/>
    <x v="1"/>
    <x v="0"/>
  </r>
  <r>
    <x v="2328"/>
    <x v="68"/>
    <x v="0"/>
    <x v="0"/>
    <x v="0"/>
    <s v="2025-03-11"/>
    <s v="2025-03-12"/>
    <n v="1"/>
    <n v="4929.09"/>
    <x v="0"/>
    <s v="Discharged"/>
    <x v="3"/>
    <x v="0"/>
  </r>
  <r>
    <x v="2329"/>
    <x v="68"/>
    <x v="0"/>
    <x v="2"/>
    <x v="0"/>
    <s v="2025-04-02"/>
    <s v="2025-04-09"/>
    <n v="7"/>
    <n v="14471.58"/>
    <x v="0"/>
    <s v="Discharged"/>
    <x v="3"/>
    <x v="0"/>
  </r>
  <r>
    <x v="2330"/>
    <x v="49"/>
    <x v="1"/>
    <x v="4"/>
    <x v="0"/>
    <s v="2025-08-26"/>
    <s v="2025-08-31"/>
    <n v="5"/>
    <n v="12889.31"/>
    <x v="0"/>
    <s v="Other"/>
    <x v="0"/>
    <x v="0"/>
  </r>
  <r>
    <x v="2331"/>
    <x v="46"/>
    <x v="1"/>
    <x v="1"/>
    <x v="2"/>
    <s v="2025-07-28"/>
    <s v="2025-08-03"/>
    <n v="6"/>
    <n v="8093.11"/>
    <x v="0"/>
    <s v="Discharged"/>
    <x v="1"/>
    <x v="0"/>
  </r>
  <r>
    <x v="2332"/>
    <x v="46"/>
    <x v="1"/>
    <x v="3"/>
    <x v="0"/>
    <s v="2025-11-05"/>
    <s v="2025-11-15"/>
    <n v="10"/>
    <n v="15206.8"/>
    <x v="0"/>
    <s v="Discharged"/>
    <x v="1"/>
    <x v="1"/>
  </r>
  <r>
    <x v="2333"/>
    <x v="42"/>
    <x v="1"/>
    <x v="0"/>
    <x v="0"/>
    <s v="2025-07-06"/>
    <s v="2025-07-09"/>
    <n v="3"/>
    <n v="6275.76"/>
    <x v="0"/>
    <s v="Transferred"/>
    <x v="4"/>
    <x v="0"/>
  </r>
  <r>
    <x v="2334"/>
    <x v="0"/>
    <x v="1"/>
    <x v="3"/>
    <x v="2"/>
    <s v="2025-03-08"/>
    <s v="2025-03-13"/>
    <n v="5"/>
    <n v="13671.91"/>
    <x v="0"/>
    <s v="Discharged"/>
    <x v="0"/>
    <x v="0"/>
  </r>
  <r>
    <x v="2335"/>
    <x v="67"/>
    <x v="1"/>
    <x v="0"/>
    <x v="2"/>
    <s v="2025-08-01"/>
    <s v="2025-08-08"/>
    <n v="7"/>
    <n v="8384.75"/>
    <x v="0"/>
    <s v="Discharged"/>
    <x v="3"/>
    <x v="0"/>
  </r>
  <r>
    <x v="2336"/>
    <x v="50"/>
    <x v="1"/>
    <x v="1"/>
    <x v="2"/>
    <s v="2025-06-10"/>
    <s v="2025-06-13"/>
    <n v="3"/>
    <n v="3913.47"/>
    <x v="0"/>
    <s v="Discharged"/>
    <x v="0"/>
    <x v="0"/>
  </r>
  <r>
    <x v="2337"/>
    <x v="33"/>
    <x v="0"/>
    <x v="2"/>
    <x v="2"/>
    <s v="2025-09-04"/>
    <s v="2025-09-15"/>
    <n v="11"/>
    <n v="15613.18"/>
    <x v="1"/>
    <s v="Discharged"/>
    <x v="2"/>
    <x v="1"/>
  </r>
  <r>
    <x v="2338"/>
    <x v="47"/>
    <x v="0"/>
    <x v="5"/>
    <x v="2"/>
    <s v="2025-12-31"/>
    <s v="2026-01-06"/>
    <n v="6"/>
    <n v="8744.1299999999992"/>
    <x v="0"/>
    <s v="Discharged"/>
    <x v="4"/>
    <x v="0"/>
  </r>
  <r>
    <x v="2339"/>
    <x v="14"/>
    <x v="0"/>
    <x v="2"/>
    <x v="2"/>
    <s v="2025-07-07"/>
    <s v="2025-07-14"/>
    <n v="7"/>
    <n v="12857"/>
    <x v="1"/>
    <s v="Other"/>
    <x v="0"/>
    <x v="0"/>
  </r>
  <r>
    <x v="2340"/>
    <x v="11"/>
    <x v="0"/>
    <x v="5"/>
    <x v="1"/>
    <s v="2025-10-31"/>
    <s v="2025-11-02"/>
    <n v="2"/>
    <n v="4742.46"/>
    <x v="0"/>
    <s v="Discharged"/>
    <x v="2"/>
    <x v="0"/>
  </r>
  <r>
    <x v="2341"/>
    <x v="28"/>
    <x v="1"/>
    <x v="1"/>
    <x v="2"/>
    <s v="2025-02-02"/>
    <s v="2025-02-08"/>
    <n v="6"/>
    <n v="8510.17"/>
    <x v="0"/>
    <s v="Discharged"/>
    <x v="4"/>
    <x v="0"/>
  </r>
  <r>
    <x v="2342"/>
    <x v="52"/>
    <x v="1"/>
    <x v="4"/>
    <x v="0"/>
    <s v="2025-08-29"/>
    <s v="2025-09-04"/>
    <n v="6"/>
    <n v="11382.74"/>
    <x v="0"/>
    <s v="Discharged"/>
    <x v="4"/>
    <x v="0"/>
  </r>
  <r>
    <x v="2343"/>
    <x v="28"/>
    <x v="0"/>
    <x v="5"/>
    <x v="1"/>
    <s v="2025-07-29"/>
    <s v="2025-07-31"/>
    <n v="2"/>
    <n v="6780.69"/>
    <x v="0"/>
    <s v="Discharged"/>
    <x v="4"/>
    <x v="0"/>
  </r>
  <r>
    <x v="2344"/>
    <x v="61"/>
    <x v="0"/>
    <x v="0"/>
    <x v="0"/>
    <s v="2025-12-19"/>
    <s v="2025-12-22"/>
    <n v="3"/>
    <n v="4288.1400000000003"/>
    <x v="0"/>
    <s v="Transferred"/>
    <x v="4"/>
    <x v="0"/>
  </r>
  <r>
    <x v="2345"/>
    <x v="38"/>
    <x v="1"/>
    <x v="0"/>
    <x v="0"/>
    <s v="2025-12-03"/>
    <s v="2025-12-07"/>
    <n v="4"/>
    <n v="8425.85"/>
    <x v="0"/>
    <s v="Discharged"/>
    <x v="0"/>
    <x v="0"/>
  </r>
  <r>
    <x v="2346"/>
    <x v="8"/>
    <x v="2"/>
    <x v="5"/>
    <x v="2"/>
    <s v="2025-12-26"/>
    <s v="2026-01-03"/>
    <n v="8"/>
    <n v="13166.39"/>
    <x v="0"/>
    <s v="Discharged"/>
    <x v="3"/>
    <x v="1"/>
  </r>
  <r>
    <x v="2347"/>
    <x v="50"/>
    <x v="0"/>
    <x v="5"/>
    <x v="2"/>
    <s v="2025-01-22"/>
    <s v="2025-01-29"/>
    <n v="7"/>
    <n v="13244.7"/>
    <x v="0"/>
    <s v="Discharged"/>
    <x v="0"/>
    <x v="0"/>
  </r>
  <r>
    <x v="2348"/>
    <x v="60"/>
    <x v="1"/>
    <x v="4"/>
    <x v="0"/>
    <s v="2025-02-16"/>
    <s v="2025-02-21"/>
    <n v="5"/>
    <n v="10204.17"/>
    <x v="1"/>
    <s v="Discharged"/>
    <x v="3"/>
    <x v="0"/>
  </r>
  <r>
    <x v="2349"/>
    <x v="14"/>
    <x v="0"/>
    <x v="0"/>
    <x v="1"/>
    <s v="2025-01-19"/>
    <s v="2025-01-28"/>
    <n v="9"/>
    <n v="10303.049999999999"/>
    <x v="0"/>
    <s v="Discharged"/>
    <x v="0"/>
    <x v="1"/>
  </r>
  <r>
    <x v="2350"/>
    <x v="15"/>
    <x v="1"/>
    <x v="3"/>
    <x v="2"/>
    <s v="2025-04-04"/>
    <s v="2025-04-11"/>
    <n v="7"/>
    <n v="15255.85"/>
    <x v="1"/>
    <s v="Discharged"/>
    <x v="1"/>
    <x v="0"/>
  </r>
  <r>
    <x v="2351"/>
    <x v="6"/>
    <x v="0"/>
    <x v="0"/>
    <x v="2"/>
    <s v="2025-03-14"/>
    <s v="2025-03-18"/>
    <n v="4"/>
    <n v="3303.53"/>
    <x v="0"/>
    <s v="Discharged"/>
    <x v="3"/>
    <x v="0"/>
  </r>
  <r>
    <x v="2352"/>
    <x v="17"/>
    <x v="1"/>
    <x v="1"/>
    <x v="0"/>
    <s v="2025-09-07"/>
    <s v="2025-09-10"/>
    <n v="3"/>
    <n v="5065.03"/>
    <x v="0"/>
    <s v="Discharged"/>
    <x v="2"/>
    <x v="0"/>
  </r>
  <r>
    <x v="2353"/>
    <x v="50"/>
    <x v="0"/>
    <x v="3"/>
    <x v="0"/>
    <s v="2025-01-14"/>
    <s v="2025-01-21"/>
    <n v="7"/>
    <n v="13613.86"/>
    <x v="0"/>
    <s v="Discharged"/>
    <x v="0"/>
    <x v="0"/>
  </r>
  <r>
    <x v="2354"/>
    <x v="49"/>
    <x v="0"/>
    <x v="4"/>
    <x v="2"/>
    <s v="2025-12-02"/>
    <s v="2025-12-09"/>
    <n v="7"/>
    <n v="10203.4"/>
    <x v="0"/>
    <s v="Transferred"/>
    <x v="0"/>
    <x v="0"/>
  </r>
  <r>
    <x v="2355"/>
    <x v="0"/>
    <x v="0"/>
    <x v="2"/>
    <x v="2"/>
    <s v="2025-09-15"/>
    <s v="2025-09-20"/>
    <n v="5"/>
    <n v="10133.959999999999"/>
    <x v="0"/>
    <s v="Discharged"/>
    <x v="0"/>
    <x v="0"/>
  </r>
  <r>
    <x v="2356"/>
    <x v="11"/>
    <x v="1"/>
    <x v="3"/>
    <x v="1"/>
    <s v="2025-07-12"/>
    <s v="2025-07-21"/>
    <n v="9"/>
    <n v="15678.09"/>
    <x v="1"/>
    <s v="Discharged"/>
    <x v="2"/>
    <x v="1"/>
  </r>
  <r>
    <x v="2357"/>
    <x v="60"/>
    <x v="1"/>
    <x v="5"/>
    <x v="0"/>
    <s v="2025-02-26"/>
    <s v="2025-03-02"/>
    <n v="4"/>
    <n v="8620.5400000000009"/>
    <x v="0"/>
    <s v="Discharged"/>
    <x v="3"/>
    <x v="0"/>
  </r>
  <r>
    <x v="2358"/>
    <x v="1"/>
    <x v="0"/>
    <x v="5"/>
    <x v="0"/>
    <s v="2025-03-28"/>
    <s v="2025-04-01"/>
    <n v="4"/>
    <n v="9588.0400000000009"/>
    <x v="0"/>
    <s v="Discharged"/>
    <x v="0"/>
    <x v="0"/>
  </r>
  <r>
    <x v="2359"/>
    <x v="27"/>
    <x v="0"/>
    <x v="3"/>
    <x v="2"/>
    <s v="2025-07-14"/>
    <s v="2025-07-23"/>
    <n v="9"/>
    <n v="13071.27"/>
    <x v="0"/>
    <s v="Discharged"/>
    <x v="1"/>
    <x v="1"/>
  </r>
  <r>
    <x v="2360"/>
    <x v="4"/>
    <x v="1"/>
    <x v="0"/>
    <x v="0"/>
    <s v="2025-08-29"/>
    <s v="2025-09-05"/>
    <n v="7"/>
    <n v="8132.86"/>
    <x v="0"/>
    <s v="Discharged"/>
    <x v="2"/>
    <x v="0"/>
  </r>
  <r>
    <x v="2361"/>
    <x v="32"/>
    <x v="1"/>
    <x v="1"/>
    <x v="0"/>
    <s v="2025-10-29"/>
    <s v="2025-10-30"/>
    <n v="1"/>
    <n v="5142.12"/>
    <x v="0"/>
    <s v="Discharged"/>
    <x v="3"/>
    <x v="0"/>
  </r>
  <r>
    <x v="2362"/>
    <x v="55"/>
    <x v="1"/>
    <x v="2"/>
    <x v="0"/>
    <s v="2025-05-31"/>
    <s v="2025-06-05"/>
    <n v="5"/>
    <n v="12468.78"/>
    <x v="0"/>
    <s v="Discharged"/>
    <x v="4"/>
    <x v="0"/>
  </r>
  <r>
    <x v="2363"/>
    <x v="70"/>
    <x v="1"/>
    <x v="5"/>
    <x v="2"/>
    <s v="2025-06-06"/>
    <s v="2025-06-11"/>
    <n v="5"/>
    <n v="9990.75"/>
    <x v="0"/>
    <s v="Discharged"/>
    <x v="1"/>
    <x v="0"/>
  </r>
  <r>
    <x v="2364"/>
    <x v="48"/>
    <x v="0"/>
    <x v="3"/>
    <x v="2"/>
    <s v="2025-02-25"/>
    <s v="2025-03-03"/>
    <n v="6"/>
    <n v="12224.39"/>
    <x v="0"/>
    <s v="Discharged"/>
    <x v="0"/>
    <x v="0"/>
  </r>
  <r>
    <x v="2365"/>
    <x v="64"/>
    <x v="0"/>
    <x v="0"/>
    <x v="2"/>
    <s v="2025-08-29"/>
    <s v="2025-09-05"/>
    <n v="7"/>
    <n v="8819.65"/>
    <x v="0"/>
    <s v="Discharged"/>
    <x v="4"/>
    <x v="0"/>
  </r>
  <r>
    <x v="2366"/>
    <x v="10"/>
    <x v="0"/>
    <x v="1"/>
    <x v="1"/>
    <s v="2025-07-29"/>
    <s v="2025-07-30"/>
    <n v="1"/>
    <n v="3547.91"/>
    <x v="0"/>
    <s v="Discharged"/>
    <x v="4"/>
    <x v="0"/>
  </r>
  <r>
    <x v="2367"/>
    <x v="25"/>
    <x v="2"/>
    <x v="4"/>
    <x v="2"/>
    <s v="2025-05-21"/>
    <m/>
    <n v="6"/>
    <n v="13287.44"/>
    <x v="0"/>
    <s v="Discharged"/>
    <x v="2"/>
    <x v="0"/>
  </r>
  <r>
    <x v="2368"/>
    <x v="59"/>
    <x v="1"/>
    <x v="3"/>
    <x v="2"/>
    <s v="2025-05-05"/>
    <s v="2025-05-12"/>
    <n v="7"/>
    <n v="16375.58"/>
    <x v="0"/>
    <s v="Discharged"/>
    <x v="3"/>
    <x v="0"/>
  </r>
  <r>
    <x v="2369"/>
    <x v="55"/>
    <x v="0"/>
    <x v="0"/>
    <x v="2"/>
    <s v="2025-04-19"/>
    <s v="2025-04-21"/>
    <n v="2"/>
    <n v="3956.14"/>
    <x v="0"/>
    <s v="Discharged"/>
    <x v="4"/>
    <x v="0"/>
  </r>
  <r>
    <x v="2370"/>
    <x v="19"/>
    <x v="1"/>
    <x v="1"/>
    <x v="1"/>
    <s v="2025-04-04"/>
    <s v="2025-04-10"/>
    <n v="6"/>
    <n v="8310.4500000000007"/>
    <x v="0"/>
    <s v="Discharged"/>
    <x v="2"/>
    <x v="0"/>
  </r>
  <r>
    <x v="2371"/>
    <x v="39"/>
    <x v="0"/>
    <x v="2"/>
    <x v="0"/>
    <s v="2025-12-07"/>
    <s v="2025-12-13"/>
    <n v="6"/>
    <n v="10394.06"/>
    <x v="1"/>
    <s v="Discharged"/>
    <x v="4"/>
    <x v="0"/>
  </r>
  <r>
    <x v="2372"/>
    <x v="31"/>
    <x v="0"/>
    <x v="1"/>
    <x v="1"/>
    <s v="2025-11-07"/>
    <s v="2025-11-11"/>
    <n v="4"/>
    <n v="6387.6"/>
    <x v="1"/>
    <s v="Discharged"/>
    <x v="2"/>
    <x v="0"/>
  </r>
  <r>
    <x v="2373"/>
    <x v="13"/>
    <x v="1"/>
    <x v="5"/>
    <x v="2"/>
    <s v="2025-06-03"/>
    <s v="2025-06-08"/>
    <n v="5"/>
    <n v="6225.97"/>
    <x v="0"/>
    <s v="Discharged"/>
    <x v="1"/>
    <x v="0"/>
  </r>
  <r>
    <x v="2374"/>
    <x v="72"/>
    <x v="1"/>
    <x v="1"/>
    <x v="0"/>
    <s v="2025-07-30"/>
    <s v="2025-07-31"/>
    <n v="1"/>
    <n v="5235.24"/>
    <x v="0"/>
    <s v="Discharged"/>
    <x v="2"/>
    <x v="0"/>
  </r>
  <r>
    <x v="2375"/>
    <x v="43"/>
    <x v="1"/>
    <x v="5"/>
    <x v="0"/>
    <s v="2025-06-08"/>
    <s v="2025-06-12"/>
    <n v="4"/>
    <n v="8473.31"/>
    <x v="0"/>
    <s v="Discharged"/>
    <x v="2"/>
    <x v="0"/>
  </r>
  <r>
    <x v="2376"/>
    <x v="30"/>
    <x v="0"/>
    <x v="0"/>
    <x v="0"/>
    <s v="2025-04-18"/>
    <s v="2025-04-21"/>
    <n v="3"/>
    <n v="3862.78"/>
    <x v="1"/>
    <s v="Discharged"/>
    <x v="0"/>
    <x v="0"/>
  </r>
  <r>
    <x v="2377"/>
    <x v="57"/>
    <x v="0"/>
    <x v="4"/>
    <x v="2"/>
    <s v="2025-08-11"/>
    <s v="2025-08-20"/>
    <n v="9"/>
    <n v="11312.57"/>
    <x v="0"/>
    <s v="Other"/>
    <x v="3"/>
    <x v="1"/>
  </r>
  <r>
    <x v="2378"/>
    <x v="58"/>
    <x v="0"/>
    <x v="0"/>
    <x v="1"/>
    <s v="2025-01-10"/>
    <s v="2025-01-17"/>
    <n v="7"/>
    <n v="8736.7999999999993"/>
    <x v="1"/>
    <s v="Discharged"/>
    <x v="2"/>
    <x v="0"/>
  </r>
  <r>
    <x v="2379"/>
    <x v="45"/>
    <x v="0"/>
    <x v="4"/>
    <x v="2"/>
    <s v="2025-03-21"/>
    <s v="2025-03-24"/>
    <n v="3"/>
    <n v="10051.129999999999"/>
    <x v="1"/>
    <s v="Discharged"/>
    <x v="1"/>
    <x v="0"/>
  </r>
  <r>
    <x v="2380"/>
    <x v="16"/>
    <x v="0"/>
    <x v="5"/>
    <x v="0"/>
    <s v="2025-08-18"/>
    <s v="2025-08-22"/>
    <n v="4"/>
    <n v="10594.73"/>
    <x v="0"/>
    <s v="Discharged"/>
    <x v="4"/>
    <x v="0"/>
  </r>
  <r>
    <x v="2381"/>
    <x v="9"/>
    <x v="1"/>
    <x v="1"/>
    <x v="1"/>
    <s v="2025-02-07"/>
    <s v="2025-02-10"/>
    <n v="3"/>
    <n v="1427.33"/>
    <x v="1"/>
    <s v="Discharged"/>
    <x v="4"/>
    <x v="0"/>
  </r>
  <r>
    <x v="2382"/>
    <x v="52"/>
    <x v="0"/>
    <x v="0"/>
    <x v="0"/>
    <s v="2025-11-08"/>
    <s v="2025-11-13"/>
    <n v="5"/>
    <n v="8133.04"/>
    <x v="0"/>
    <s v="Discharged"/>
    <x v="4"/>
    <x v="0"/>
  </r>
  <r>
    <x v="2383"/>
    <x v="20"/>
    <x v="0"/>
    <x v="3"/>
    <x v="1"/>
    <s v="2025-06-18"/>
    <s v="2025-06-24"/>
    <n v="6"/>
    <n v="12318.1"/>
    <x v="0"/>
    <s v="Discharged"/>
    <x v="0"/>
    <x v="0"/>
  </r>
  <r>
    <x v="2384"/>
    <x v="17"/>
    <x v="1"/>
    <x v="2"/>
    <x v="2"/>
    <s v="2025-12-07"/>
    <s v="2025-12-15"/>
    <n v="8"/>
    <n v="9013.6"/>
    <x v="1"/>
    <s v="Discharged"/>
    <x v="2"/>
    <x v="1"/>
  </r>
  <r>
    <x v="2385"/>
    <x v="67"/>
    <x v="1"/>
    <x v="1"/>
    <x v="2"/>
    <s v="2025-10-28"/>
    <s v="2025-11-01"/>
    <n v="4"/>
    <n v="5938.71"/>
    <x v="0"/>
    <s v="Discharged"/>
    <x v="3"/>
    <x v="0"/>
  </r>
  <r>
    <x v="2386"/>
    <x v="24"/>
    <x v="1"/>
    <x v="0"/>
    <x v="0"/>
    <s v="2025-10-08"/>
    <s v="2025-10-12"/>
    <n v="4"/>
    <n v="4587.7700000000004"/>
    <x v="0"/>
    <s v="Transferred"/>
    <x v="2"/>
    <x v="0"/>
  </r>
  <r>
    <x v="2387"/>
    <x v="57"/>
    <x v="1"/>
    <x v="0"/>
    <x v="2"/>
    <s v="2025-01-06"/>
    <s v="2025-01-12"/>
    <n v="6"/>
    <n v="5198.18"/>
    <x v="1"/>
    <s v="Discharged"/>
    <x v="3"/>
    <x v="0"/>
  </r>
  <r>
    <x v="2388"/>
    <x v="43"/>
    <x v="0"/>
    <x v="0"/>
    <x v="2"/>
    <s v="2025-11-07"/>
    <s v="2025-11-13"/>
    <n v="6"/>
    <n v="8333.8700000000008"/>
    <x v="0"/>
    <s v="Discharged"/>
    <x v="2"/>
    <x v="0"/>
  </r>
  <r>
    <x v="2389"/>
    <x v="9"/>
    <x v="1"/>
    <x v="1"/>
    <x v="0"/>
    <s v="2025-04-11"/>
    <s v="2025-04-12"/>
    <n v="1"/>
    <n v="3320.12"/>
    <x v="0"/>
    <s v="Discharged"/>
    <x v="4"/>
    <x v="0"/>
  </r>
  <r>
    <x v="2390"/>
    <x v="0"/>
    <x v="0"/>
    <x v="1"/>
    <x v="1"/>
    <s v="2025-10-19"/>
    <s v="2025-10-23"/>
    <n v="4"/>
    <n v="5827.77"/>
    <x v="0"/>
    <s v="Discharged"/>
    <x v="0"/>
    <x v="0"/>
  </r>
  <r>
    <x v="2391"/>
    <x v="23"/>
    <x v="1"/>
    <x v="2"/>
    <x v="2"/>
    <s v="2025-05-29"/>
    <s v="2025-06-06"/>
    <n v="8"/>
    <n v="12987.84"/>
    <x v="0"/>
    <s v="Discharged"/>
    <x v="3"/>
    <x v="1"/>
  </r>
  <r>
    <x v="2392"/>
    <x v="37"/>
    <x v="1"/>
    <x v="1"/>
    <x v="2"/>
    <s v="2025-04-18"/>
    <s v="2025-04-24"/>
    <n v="6"/>
    <n v="7166.89"/>
    <x v="0"/>
    <s v="Discharged"/>
    <x v="1"/>
    <x v="0"/>
  </r>
  <r>
    <x v="2393"/>
    <x v="21"/>
    <x v="1"/>
    <x v="0"/>
    <x v="2"/>
    <s v="2025-03-23"/>
    <s v="2025-03-28"/>
    <n v="5"/>
    <n v="7434.33"/>
    <x v="0"/>
    <s v="Discharged"/>
    <x v="4"/>
    <x v="0"/>
  </r>
  <r>
    <x v="2394"/>
    <x v="11"/>
    <x v="0"/>
    <x v="4"/>
    <x v="2"/>
    <s v="2025-12-08"/>
    <s v="2025-12-15"/>
    <n v="7"/>
    <n v="13929.2"/>
    <x v="1"/>
    <s v="Discharged"/>
    <x v="2"/>
    <x v="0"/>
  </r>
  <r>
    <x v="2395"/>
    <x v="60"/>
    <x v="0"/>
    <x v="0"/>
    <x v="2"/>
    <s v="2025-10-24"/>
    <s v="2025-11-02"/>
    <n v="9"/>
    <n v="9314.58"/>
    <x v="0"/>
    <s v="Discharged"/>
    <x v="3"/>
    <x v="1"/>
  </r>
  <r>
    <x v="2396"/>
    <x v="16"/>
    <x v="0"/>
    <x v="0"/>
    <x v="2"/>
    <s v="2025-06-18"/>
    <s v="2025-06-26"/>
    <n v="8"/>
    <n v="9169.25"/>
    <x v="1"/>
    <s v="Discharged"/>
    <x v="4"/>
    <x v="1"/>
  </r>
  <r>
    <x v="2397"/>
    <x v="33"/>
    <x v="1"/>
    <x v="4"/>
    <x v="2"/>
    <s v="2025-02-10"/>
    <s v="2025-02-20"/>
    <n v="10"/>
    <n v="13701.41"/>
    <x v="0"/>
    <s v="Discharged"/>
    <x v="2"/>
    <x v="1"/>
  </r>
  <r>
    <x v="2398"/>
    <x v="2"/>
    <x v="1"/>
    <x v="2"/>
    <x v="2"/>
    <s v="2025-04-29"/>
    <s v="2025-05-06"/>
    <n v="7"/>
    <n v="10746.54"/>
    <x v="1"/>
    <s v="Discharged"/>
    <x v="1"/>
    <x v="0"/>
  </r>
  <r>
    <x v="2399"/>
    <x v="11"/>
    <x v="1"/>
    <x v="1"/>
    <x v="2"/>
    <s v="2025-09-27"/>
    <s v="2025-09-30"/>
    <n v="3"/>
    <n v="6752.36"/>
    <x v="0"/>
    <s v="Discharged"/>
    <x v="2"/>
    <x v="0"/>
  </r>
  <r>
    <x v="2400"/>
    <x v="38"/>
    <x v="0"/>
    <x v="2"/>
    <x v="1"/>
    <s v="2025-01-11"/>
    <s v="2025-01-16"/>
    <n v="5"/>
    <n v="10294.27"/>
    <x v="0"/>
    <s v="Discharged"/>
    <x v="0"/>
    <x v="0"/>
  </r>
  <r>
    <x v="2401"/>
    <x v="33"/>
    <x v="0"/>
    <x v="4"/>
    <x v="2"/>
    <s v="2025-05-02"/>
    <s v="2025-05-08"/>
    <n v="6"/>
    <n v="11439.16"/>
    <x v="0"/>
    <s v="Discharged"/>
    <x v="2"/>
    <x v="0"/>
  </r>
  <r>
    <x v="2402"/>
    <x v="41"/>
    <x v="1"/>
    <x v="1"/>
    <x v="2"/>
    <s v="2025-07-09"/>
    <s v="2025-07-13"/>
    <n v="4"/>
    <n v="1955.36"/>
    <x v="1"/>
    <s v="Discharged"/>
    <x v="1"/>
    <x v="0"/>
  </r>
  <r>
    <x v="2403"/>
    <x v="20"/>
    <x v="0"/>
    <x v="1"/>
    <x v="1"/>
    <s v="2025-11-30"/>
    <s v="2025-12-04"/>
    <n v="4"/>
    <n v="6815.15"/>
    <x v="0"/>
    <s v="Discharged"/>
    <x v="0"/>
    <x v="0"/>
  </r>
  <r>
    <x v="2404"/>
    <x v="45"/>
    <x v="1"/>
    <x v="0"/>
    <x v="1"/>
    <s v="2025-07-16"/>
    <s v="2025-07-24"/>
    <n v="8"/>
    <n v="8763.0400000000009"/>
    <x v="0"/>
    <s v="Discharged"/>
    <x v="1"/>
    <x v="1"/>
  </r>
  <r>
    <x v="2405"/>
    <x v="59"/>
    <x v="1"/>
    <x v="5"/>
    <x v="1"/>
    <s v="2025-09-15"/>
    <s v="2025-09-22"/>
    <n v="7"/>
    <n v="10869.93"/>
    <x v="1"/>
    <s v="Discharged"/>
    <x v="3"/>
    <x v="0"/>
  </r>
  <r>
    <x v="2406"/>
    <x v="68"/>
    <x v="0"/>
    <x v="0"/>
    <x v="2"/>
    <s v="2025-05-07"/>
    <s v="2025-05-11"/>
    <n v="4"/>
    <n v="5378.38"/>
    <x v="0"/>
    <s v="Discharged"/>
    <x v="3"/>
    <x v="0"/>
  </r>
  <r>
    <x v="2407"/>
    <x v="72"/>
    <x v="1"/>
    <x v="1"/>
    <x v="0"/>
    <s v="2025-11-26"/>
    <s v="2025-11-30"/>
    <n v="4"/>
    <n v="6292.2"/>
    <x v="0"/>
    <s v="Discharged"/>
    <x v="2"/>
    <x v="0"/>
  </r>
  <r>
    <x v="2408"/>
    <x v="1"/>
    <x v="0"/>
    <x v="1"/>
    <x v="1"/>
    <s v="2025-10-17"/>
    <s v="2025-10-20"/>
    <n v="3"/>
    <n v="3108.35"/>
    <x v="0"/>
    <s v="Discharged"/>
    <x v="0"/>
    <x v="0"/>
  </r>
  <r>
    <x v="2409"/>
    <x v="18"/>
    <x v="1"/>
    <x v="1"/>
    <x v="2"/>
    <s v="2025-06-09"/>
    <s v="2025-06-16"/>
    <n v="7"/>
    <n v="8710.6200000000008"/>
    <x v="1"/>
    <s v="Discharged"/>
    <x v="3"/>
    <x v="0"/>
  </r>
  <r>
    <x v="2410"/>
    <x v="33"/>
    <x v="1"/>
    <x v="0"/>
    <x v="2"/>
    <s v="2025-09-19"/>
    <s v="2025-09-21"/>
    <n v="2"/>
    <n v="3467.5"/>
    <x v="0"/>
    <s v="Discharged"/>
    <x v="2"/>
    <x v="0"/>
  </r>
  <r>
    <x v="2411"/>
    <x v="30"/>
    <x v="1"/>
    <x v="5"/>
    <x v="0"/>
    <s v="2025-07-17"/>
    <s v="2025-07-21"/>
    <n v="4"/>
    <n v="8243.4699999999993"/>
    <x v="0"/>
    <s v="Discharged"/>
    <x v="0"/>
    <x v="0"/>
  </r>
  <r>
    <x v="2412"/>
    <x v="68"/>
    <x v="0"/>
    <x v="4"/>
    <x v="2"/>
    <s v="2025-02-25"/>
    <s v="2025-03-06"/>
    <n v="9"/>
    <n v="14920.67"/>
    <x v="0"/>
    <s v="Discharged"/>
    <x v="3"/>
    <x v="1"/>
  </r>
  <r>
    <x v="2413"/>
    <x v="68"/>
    <x v="0"/>
    <x v="1"/>
    <x v="2"/>
    <s v="2025-04-14"/>
    <s v="2025-04-24"/>
    <n v="10"/>
    <n v="7400.59"/>
    <x v="0"/>
    <s v="Discharged"/>
    <x v="3"/>
    <x v="1"/>
  </r>
  <r>
    <x v="2414"/>
    <x v="47"/>
    <x v="1"/>
    <x v="5"/>
    <x v="2"/>
    <s v="2025-10-31"/>
    <s v="2025-11-08"/>
    <n v="8"/>
    <n v="10774.04"/>
    <x v="0"/>
    <s v="Discharged"/>
    <x v="4"/>
    <x v="1"/>
  </r>
  <r>
    <x v="2415"/>
    <x v="22"/>
    <x v="0"/>
    <x v="5"/>
    <x v="2"/>
    <s v="2025-12-09"/>
    <s v="2025-12-14"/>
    <n v="5"/>
    <n v="6812.09"/>
    <x v="0"/>
    <s v="Discharged"/>
    <x v="3"/>
    <x v="0"/>
  </r>
  <r>
    <x v="2416"/>
    <x v="41"/>
    <x v="1"/>
    <x v="1"/>
    <x v="0"/>
    <s v="2025-10-16"/>
    <s v="2025-10-22"/>
    <n v="6"/>
    <n v="7168.64"/>
    <x v="0"/>
    <s v="Discharged"/>
    <x v="1"/>
    <x v="0"/>
  </r>
  <r>
    <x v="2417"/>
    <x v="36"/>
    <x v="0"/>
    <x v="1"/>
    <x v="1"/>
    <s v="2025-12-17"/>
    <s v="2025-12-21"/>
    <n v="4"/>
    <n v="3709.01"/>
    <x v="0"/>
    <s v="Discharged"/>
    <x v="1"/>
    <x v="0"/>
  </r>
  <r>
    <x v="2418"/>
    <x v="67"/>
    <x v="1"/>
    <x v="1"/>
    <x v="1"/>
    <s v="2025-03-10"/>
    <s v="2025-03-11"/>
    <n v="1"/>
    <n v="2344.71"/>
    <x v="0"/>
    <s v="Discharged"/>
    <x v="3"/>
    <x v="0"/>
  </r>
  <r>
    <x v="2419"/>
    <x v="3"/>
    <x v="0"/>
    <x v="5"/>
    <x v="1"/>
    <s v="2025-05-21"/>
    <s v="2025-05-29"/>
    <n v="8"/>
    <n v="10331.040000000001"/>
    <x v="0"/>
    <s v="Discharged"/>
    <x v="0"/>
    <x v="1"/>
  </r>
  <r>
    <x v="2420"/>
    <x v="64"/>
    <x v="1"/>
    <x v="1"/>
    <x v="1"/>
    <s v="2025-05-08"/>
    <s v="2025-05-10"/>
    <n v="2"/>
    <n v="3577.82"/>
    <x v="1"/>
    <s v="Discharged"/>
    <x v="4"/>
    <x v="0"/>
  </r>
  <r>
    <x v="2421"/>
    <x v="5"/>
    <x v="0"/>
    <x v="5"/>
    <x v="2"/>
    <s v="2025-08-25"/>
    <s v="2025-09-01"/>
    <n v="7"/>
    <n v="13487.71"/>
    <x v="0"/>
    <s v="Discharged"/>
    <x v="0"/>
    <x v="0"/>
  </r>
  <r>
    <x v="2422"/>
    <x v="38"/>
    <x v="1"/>
    <x v="1"/>
    <x v="2"/>
    <s v="2025-03-26"/>
    <s v="2025-03-31"/>
    <n v="5"/>
    <n v="7499.9"/>
    <x v="1"/>
    <s v="Discharged"/>
    <x v="0"/>
    <x v="0"/>
  </r>
  <r>
    <x v="2423"/>
    <x v="71"/>
    <x v="0"/>
    <x v="2"/>
    <x v="2"/>
    <s v="2025-04-16"/>
    <s v="2025-04-23"/>
    <n v="7"/>
    <n v="9690.5499999999993"/>
    <x v="1"/>
    <s v="Discharged"/>
    <x v="1"/>
    <x v="0"/>
  </r>
  <r>
    <x v="2424"/>
    <x v="15"/>
    <x v="0"/>
    <x v="2"/>
    <x v="1"/>
    <s v="2025-11-03"/>
    <s v="2025-11-09"/>
    <n v="6"/>
    <n v="12415.14"/>
    <x v="0"/>
    <s v="Discharged"/>
    <x v="1"/>
    <x v="0"/>
  </r>
  <r>
    <x v="2425"/>
    <x v="26"/>
    <x v="1"/>
    <x v="0"/>
    <x v="0"/>
    <s v="2025-05-13"/>
    <s v="2025-05-17"/>
    <n v="4"/>
    <n v="7266.63"/>
    <x v="0"/>
    <s v="Discharged"/>
    <x v="3"/>
    <x v="0"/>
  </r>
  <r>
    <x v="2426"/>
    <x v="29"/>
    <x v="1"/>
    <x v="5"/>
    <x v="1"/>
    <s v="2025-08-02"/>
    <s v="2025-08-10"/>
    <n v="8"/>
    <n v="8940"/>
    <x v="0"/>
    <s v="Discharged"/>
    <x v="3"/>
    <x v="1"/>
  </r>
  <r>
    <x v="2427"/>
    <x v="15"/>
    <x v="1"/>
    <x v="2"/>
    <x v="0"/>
    <s v="2025-12-10"/>
    <s v="2025-12-14"/>
    <n v="4"/>
    <n v="11005.36"/>
    <x v="0"/>
    <s v="Discharged"/>
    <x v="1"/>
    <x v="0"/>
  </r>
  <r>
    <x v="2428"/>
    <x v="68"/>
    <x v="1"/>
    <x v="0"/>
    <x v="2"/>
    <s v="2025-01-15"/>
    <s v="2025-01-20"/>
    <n v="5"/>
    <n v="6687.19"/>
    <x v="0"/>
    <s v="Discharged"/>
    <x v="3"/>
    <x v="0"/>
  </r>
  <r>
    <x v="2429"/>
    <x v="3"/>
    <x v="1"/>
    <x v="1"/>
    <x v="0"/>
    <s v="2025-12-01"/>
    <s v="2025-12-02"/>
    <n v="1"/>
    <n v="5255.65"/>
    <x v="1"/>
    <s v="Discharged"/>
    <x v="0"/>
    <x v="0"/>
  </r>
  <r>
    <x v="2430"/>
    <x v="12"/>
    <x v="1"/>
    <x v="1"/>
    <x v="1"/>
    <s v="2025-04-20"/>
    <s v="2025-04-27"/>
    <n v="7"/>
    <n v="9075.44"/>
    <x v="0"/>
    <s v="Discharged"/>
    <x v="2"/>
    <x v="0"/>
  </r>
  <r>
    <x v="2431"/>
    <x v="57"/>
    <x v="0"/>
    <x v="0"/>
    <x v="1"/>
    <s v="2025-10-31"/>
    <s v="2025-11-03"/>
    <n v="3"/>
    <n v="6922.81"/>
    <x v="0"/>
    <s v="Discharged"/>
    <x v="3"/>
    <x v="0"/>
  </r>
  <r>
    <x v="2432"/>
    <x v="23"/>
    <x v="1"/>
    <x v="3"/>
    <x v="2"/>
    <s v="2025-07-24"/>
    <s v="2025-07-31"/>
    <n v="7"/>
    <n v="13812.34"/>
    <x v="0"/>
    <s v="Discharged"/>
    <x v="3"/>
    <x v="0"/>
  </r>
  <r>
    <x v="2433"/>
    <x v="55"/>
    <x v="0"/>
    <x v="5"/>
    <x v="1"/>
    <s v="2025-05-26"/>
    <s v="2025-06-02"/>
    <n v="7"/>
    <n v="8440.8700000000008"/>
    <x v="1"/>
    <s v="Discharged"/>
    <x v="4"/>
    <x v="0"/>
  </r>
  <r>
    <x v="2434"/>
    <x v="61"/>
    <x v="0"/>
    <x v="2"/>
    <x v="2"/>
    <s v="2025-01-09"/>
    <s v="2025-01-17"/>
    <n v="8"/>
    <n v="13559.5"/>
    <x v="0"/>
    <s v="Discharged"/>
    <x v="4"/>
    <x v="1"/>
  </r>
  <r>
    <x v="2435"/>
    <x v="3"/>
    <x v="1"/>
    <x v="5"/>
    <x v="2"/>
    <s v="2025-11-12"/>
    <s v="2025-11-17"/>
    <n v="5"/>
    <n v="9086.8700000000008"/>
    <x v="0"/>
    <s v="Discharged"/>
    <x v="0"/>
    <x v="0"/>
  </r>
  <r>
    <x v="2436"/>
    <x v="36"/>
    <x v="0"/>
    <x v="1"/>
    <x v="2"/>
    <s v="2025-04-12"/>
    <s v="2025-04-14"/>
    <n v="2"/>
    <n v="3455.85"/>
    <x v="1"/>
    <s v="Discharged"/>
    <x v="1"/>
    <x v="0"/>
  </r>
  <r>
    <x v="2437"/>
    <x v="0"/>
    <x v="1"/>
    <x v="4"/>
    <x v="2"/>
    <s v="2025-11-27"/>
    <s v="2025-12-06"/>
    <n v="9"/>
    <n v="14823.72"/>
    <x v="0"/>
    <s v="Discharged"/>
    <x v="0"/>
    <x v="1"/>
  </r>
  <r>
    <x v="2438"/>
    <x v="47"/>
    <x v="0"/>
    <x v="0"/>
    <x v="0"/>
    <s v="2025-04-04"/>
    <s v="2025-04-08"/>
    <n v="4"/>
    <n v="4268.47"/>
    <x v="0"/>
    <s v="Transferred"/>
    <x v="4"/>
    <x v="0"/>
  </r>
  <r>
    <x v="2439"/>
    <x v="49"/>
    <x v="0"/>
    <x v="3"/>
    <x v="1"/>
    <s v="2025-08-02"/>
    <s v="2025-08-07"/>
    <n v="5"/>
    <n v="13327.22"/>
    <x v="0"/>
    <s v="Discharged"/>
    <x v="0"/>
    <x v="0"/>
  </r>
  <r>
    <x v="2440"/>
    <x v="16"/>
    <x v="1"/>
    <x v="2"/>
    <x v="0"/>
    <s v="2025-11-01"/>
    <s v="2025-11-07"/>
    <n v="6"/>
    <n v="11224.66"/>
    <x v="0"/>
    <s v="Discharged"/>
    <x v="4"/>
    <x v="0"/>
  </r>
  <r>
    <x v="2441"/>
    <x v="60"/>
    <x v="0"/>
    <x v="0"/>
    <x v="0"/>
    <s v="2025-08-15"/>
    <s v="2025-08-19"/>
    <n v="4"/>
    <n v="5262.18"/>
    <x v="0"/>
    <s v="Discharged"/>
    <x v="3"/>
    <x v="0"/>
  </r>
  <r>
    <x v="2442"/>
    <x v="1"/>
    <x v="1"/>
    <x v="0"/>
    <x v="1"/>
    <s v="2025-05-05"/>
    <s v="2025-05-10"/>
    <n v="5"/>
    <n v="4760.18"/>
    <x v="0"/>
    <s v="Discharged"/>
    <x v="0"/>
    <x v="0"/>
  </r>
  <r>
    <x v="2443"/>
    <x v="21"/>
    <x v="0"/>
    <x v="3"/>
    <x v="1"/>
    <s v="2025-07-29"/>
    <s v="2025-08-04"/>
    <n v="6"/>
    <n v="13090.42"/>
    <x v="0"/>
    <s v="Discharged"/>
    <x v="4"/>
    <x v="0"/>
  </r>
  <r>
    <x v="2444"/>
    <x v="10"/>
    <x v="2"/>
    <x v="1"/>
    <x v="2"/>
    <s v="2025-01-17"/>
    <s v="2025-01-24"/>
    <n v="7"/>
    <n v="7228.7"/>
    <x v="0"/>
    <s v="Discharged"/>
    <x v="4"/>
    <x v="0"/>
  </r>
  <r>
    <x v="2445"/>
    <x v="16"/>
    <x v="1"/>
    <x v="3"/>
    <x v="2"/>
    <s v="2025-07-27"/>
    <s v="2025-08-02"/>
    <n v="6"/>
    <n v="12102.51"/>
    <x v="0"/>
    <s v="Discharged"/>
    <x v="4"/>
    <x v="0"/>
  </r>
  <r>
    <x v="2446"/>
    <x v="12"/>
    <x v="1"/>
    <x v="2"/>
    <x v="1"/>
    <s v="2025-08-03"/>
    <s v="2025-08-10"/>
    <n v="7"/>
    <n v="11563.38"/>
    <x v="0"/>
    <s v="Discharged"/>
    <x v="2"/>
    <x v="0"/>
  </r>
  <r>
    <x v="2447"/>
    <x v="32"/>
    <x v="0"/>
    <x v="2"/>
    <x v="1"/>
    <s v="2025-01-20"/>
    <s v="2025-01-27"/>
    <n v="7"/>
    <n v="10095.81"/>
    <x v="0"/>
    <s v="Discharged"/>
    <x v="3"/>
    <x v="0"/>
  </r>
  <r>
    <x v="2448"/>
    <x v="48"/>
    <x v="0"/>
    <x v="5"/>
    <x v="2"/>
    <s v="2025-05-22"/>
    <s v="2025-05-29"/>
    <n v="7"/>
    <n v="12549.87"/>
    <x v="0"/>
    <s v="Discharged"/>
    <x v="0"/>
    <x v="0"/>
  </r>
  <r>
    <x v="2449"/>
    <x v="59"/>
    <x v="1"/>
    <x v="1"/>
    <x v="2"/>
    <s v="2025-05-17"/>
    <s v="2025-05-25"/>
    <n v="8"/>
    <n v="6444.48"/>
    <x v="1"/>
    <s v="Discharged"/>
    <x v="3"/>
    <x v="1"/>
  </r>
  <r>
    <x v="2450"/>
    <x v="51"/>
    <x v="1"/>
    <x v="0"/>
    <x v="1"/>
    <s v="2025-10-06"/>
    <s v="2025-10-14"/>
    <n v="8"/>
    <n v="9381.0499999999993"/>
    <x v="0"/>
    <s v="Discharged"/>
    <x v="1"/>
    <x v="1"/>
  </r>
  <r>
    <x v="2451"/>
    <x v="30"/>
    <x v="0"/>
    <x v="0"/>
    <x v="0"/>
    <s v="2025-11-25"/>
    <s v="2025-11-27"/>
    <n v="2"/>
    <n v="6905.9"/>
    <x v="0"/>
    <s v="Discharged"/>
    <x v="0"/>
    <x v="0"/>
  </r>
  <r>
    <x v="2452"/>
    <x v="19"/>
    <x v="0"/>
    <x v="2"/>
    <x v="1"/>
    <s v="2025-02-08"/>
    <s v="2025-02-15"/>
    <n v="7"/>
    <n v="10563.48"/>
    <x v="1"/>
    <s v="Discharged"/>
    <x v="2"/>
    <x v="0"/>
  </r>
  <r>
    <x v="2453"/>
    <x v="12"/>
    <x v="1"/>
    <x v="1"/>
    <x v="2"/>
    <s v="2025-04-26"/>
    <s v="2025-05-01"/>
    <n v="5"/>
    <n v="6533.34"/>
    <x v="1"/>
    <s v="Discharged"/>
    <x v="2"/>
    <x v="0"/>
  </r>
  <r>
    <x v="2454"/>
    <x v="45"/>
    <x v="0"/>
    <x v="5"/>
    <x v="0"/>
    <s v="2025-10-29"/>
    <s v="2025-11-02"/>
    <n v="4"/>
    <n v="5382.45"/>
    <x v="1"/>
    <s v="Discharged"/>
    <x v="1"/>
    <x v="0"/>
  </r>
  <r>
    <x v="2455"/>
    <x v="45"/>
    <x v="0"/>
    <x v="5"/>
    <x v="2"/>
    <s v="2025-03-25"/>
    <s v="2025-04-01"/>
    <n v="7"/>
    <n v="11843.33"/>
    <x v="1"/>
    <s v="Discharged"/>
    <x v="1"/>
    <x v="0"/>
  </r>
  <r>
    <x v="2456"/>
    <x v="70"/>
    <x v="1"/>
    <x v="1"/>
    <x v="0"/>
    <s v="2025-06-06"/>
    <s v="2025-06-10"/>
    <n v="4"/>
    <n v="5896.62"/>
    <x v="0"/>
    <s v="Discharged"/>
    <x v="1"/>
    <x v="0"/>
  </r>
  <r>
    <x v="2457"/>
    <x v="35"/>
    <x v="1"/>
    <x v="5"/>
    <x v="2"/>
    <s v="2025-01-17"/>
    <s v="2025-01-24"/>
    <n v="7"/>
    <n v="12169.96"/>
    <x v="0"/>
    <s v="Discharged"/>
    <x v="4"/>
    <x v="0"/>
  </r>
  <r>
    <x v="2458"/>
    <x v="61"/>
    <x v="1"/>
    <x v="2"/>
    <x v="2"/>
    <s v="2025-10-31"/>
    <s v="2025-11-09"/>
    <n v="9"/>
    <n v="13655.35"/>
    <x v="0"/>
    <s v="Discharged"/>
    <x v="4"/>
    <x v="1"/>
  </r>
  <r>
    <x v="2459"/>
    <x v="52"/>
    <x v="0"/>
    <x v="0"/>
    <x v="2"/>
    <s v="2025-12-04"/>
    <s v="2025-12-12"/>
    <n v="8"/>
    <n v="8538.1"/>
    <x v="0"/>
    <s v="Discharged"/>
    <x v="4"/>
    <x v="1"/>
  </r>
  <r>
    <x v="2460"/>
    <x v="0"/>
    <x v="1"/>
    <x v="4"/>
    <x v="2"/>
    <s v="2025-01-09"/>
    <s v="2025-01-13"/>
    <n v="4"/>
    <n v="11619.27"/>
    <x v="0"/>
    <s v="Discharged"/>
    <x v="0"/>
    <x v="0"/>
  </r>
  <r>
    <x v="2461"/>
    <x v="15"/>
    <x v="0"/>
    <x v="5"/>
    <x v="2"/>
    <s v="2025-01-08"/>
    <s v="2025-01-14"/>
    <n v="6"/>
    <n v="8596.58"/>
    <x v="0"/>
    <s v="Other"/>
    <x v="1"/>
    <x v="0"/>
  </r>
  <r>
    <x v="2462"/>
    <x v="8"/>
    <x v="1"/>
    <x v="5"/>
    <x v="2"/>
    <s v="2025-01-29"/>
    <s v="2025-01-30"/>
    <n v="1"/>
    <n v="6527.45"/>
    <x v="0"/>
    <s v="Discharged"/>
    <x v="3"/>
    <x v="0"/>
  </r>
  <r>
    <x v="2463"/>
    <x v="44"/>
    <x v="0"/>
    <x v="2"/>
    <x v="2"/>
    <s v="2025-11-05"/>
    <s v="2025-11-13"/>
    <n v="8"/>
    <n v="15024.57"/>
    <x v="0"/>
    <s v="Discharged"/>
    <x v="1"/>
    <x v="1"/>
  </r>
  <r>
    <x v="2464"/>
    <x v="5"/>
    <x v="0"/>
    <x v="2"/>
    <x v="0"/>
    <s v="2025-01-28"/>
    <s v="2025-02-02"/>
    <n v="5"/>
    <n v="13464.96"/>
    <x v="0"/>
    <s v="Discharged"/>
    <x v="0"/>
    <x v="0"/>
  </r>
  <r>
    <x v="2465"/>
    <x v="14"/>
    <x v="0"/>
    <x v="2"/>
    <x v="1"/>
    <s v="2025-12-13"/>
    <s v="2025-12-19"/>
    <n v="6"/>
    <n v="8887.23"/>
    <x v="0"/>
    <s v="Discharged"/>
    <x v="0"/>
    <x v="0"/>
  </r>
  <r>
    <x v="2466"/>
    <x v="30"/>
    <x v="0"/>
    <x v="3"/>
    <x v="1"/>
    <s v="2025-05-13"/>
    <s v="2025-05-18"/>
    <n v="5"/>
    <n v="11378.75"/>
    <x v="0"/>
    <s v="Discharged"/>
    <x v="0"/>
    <x v="0"/>
  </r>
  <r>
    <x v="2467"/>
    <x v="52"/>
    <x v="1"/>
    <x v="2"/>
    <x v="0"/>
    <s v="2025-05-12"/>
    <s v="2025-05-18"/>
    <n v="6"/>
    <n v="13054.59"/>
    <x v="0"/>
    <s v="Discharged"/>
    <x v="4"/>
    <x v="0"/>
  </r>
  <r>
    <x v="2468"/>
    <x v="64"/>
    <x v="1"/>
    <x v="1"/>
    <x v="2"/>
    <s v="2025-05-24"/>
    <s v="2025-05-28"/>
    <n v="4"/>
    <n v="4674.59"/>
    <x v="0"/>
    <s v="Discharged"/>
    <x v="4"/>
    <x v="0"/>
  </r>
  <r>
    <x v="2469"/>
    <x v="38"/>
    <x v="1"/>
    <x v="1"/>
    <x v="1"/>
    <s v="2025-08-31"/>
    <s v="2025-09-03"/>
    <n v="3"/>
    <n v="7047.55"/>
    <x v="0"/>
    <s v="Discharged"/>
    <x v="0"/>
    <x v="0"/>
  </r>
  <r>
    <x v="2470"/>
    <x v="11"/>
    <x v="0"/>
    <x v="2"/>
    <x v="0"/>
    <s v="2025-01-24"/>
    <s v="2025-01-31"/>
    <n v="7"/>
    <n v="12822.28"/>
    <x v="0"/>
    <s v="Discharged"/>
    <x v="2"/>
    <x v="0"/>
  </r>
  <r>
    <x v="2471"/>
    <x v="16"/>
    <x v="0"/>
    <x v="1"/>
    <x v="0"/>
    <s v="2025-03-07"/>
    <s v="2025-03-12"/>
    <n v="5"/>
    <n v="5348.69"/>
    <x v="0"/>
    <s v="Discharged"/>
    <x v="4"/>
    <x v="0"/>
  </r>
  <r>
    <x v="2472"/>
    <x v="42"/>
    <x v="0"/>
    <x v="1"/>
    <x v="2"/>
    <s v="2025-04-11"/>
    <s v="2025-04-15"/>
    <n v="4"/>
    <n v="4759.72"/>
    <x v="0"/>
    <s v="Other"/>
    <x v="4"/>
    <x v="0"/>
  </r>
  <r>
    <x v="2473"/>
    <x v="7"/>
    <x v="0"/>
    <x v="4"/>
    <x v="2"/>
    <s v="2025-11-26"/>
    <s v="2025-12-04"/>
    <n v="8"/>
    <n v="11478.6"/>
    <x v="1"/>
    <s v="Discharged"/>
    <x v="4"/>
    <x v="1"/>
  </r>
  <r>
    <x v="2474"/>
    <x v="59"/>
    <x v="1"/>
    <x v="5"/>
    <x v="0"/>
    <s v="2025-11-10"/>
    <s v="2025-11-17"/>
    <n v="7"/>
    <n v="12664.55"/>
    <x v="1"/>
    <s v="Discharged"/>
    <x v="3"/>
    <x v="0"/>
  </r>
  <r>
    <x v="2475"/>
    <x v="28"/>
    <x v="1"/>
    <x v="2"/>
    <x v="2"/>
    <s v="2025-09-06"/>
    <s v="2025-09-10"/>
    <n v="4"/>
    <n v="12086.36"/>
    <x v="0"/>
    <s v="Other"/>
    <x v="4"/>
    <x v="0"/>
  </r>
  <r>
    <x v="2476"/>
    <x v="30"/>
    <x v="0"/>
    <x v="0"/>
    <x v="0"/>
    <s v="2025-02-13"/>
    <s v="2025-02-16"/>
    <n v="3"/>
    <n v="7116.15"/>
    <x v="0"/>
    <s v="Discharged"/>
    <x v="0"/>
    <x v="0"/>
  </r>
  <r>
    <x v="2477"/>
    <x v="22"/>
    <x v="1"/>
    <x v="0"/>
    <x v="1"/>
    <s v="2025-06-06"/>
    <s v="2025-06-15"/>
    <n v="9"/>
    <n v="5984.85"/>
    <x v="1"/>
    <s v="Discharged"/>
    <x v="3"/>
    <x v="1"/>
  </r>
  <r>
    <x v="2478"/>
    <x v="27"/>
    <x v="1"/>
    <x v="2"/>
    <x v="1"/>
    <s v="2025-03-04"/>
    <s v="2025-03-12"/>
    <n v="8"/>
    <n v="12472.33"/>
    <x v="0"/>
    <s v="Transferred"/>
    <x v="1"/>
    <x v="1"/>
  </r>
  <r>
    <x v="2479"/>
    <x v="14"/>
    <x v="1"/>
    <x v="0"/>
    <x v="2"/>
    <s v="2025-06-08"/>
    <s v="2025-06-12"/>
    <n v="4"/>
    <n v="5570.31"/>
    <x v="1"/>
    <s v="Discharged"/>
    <x v="0"/>
    <x v="0"/>
  </r>
  <r>
    <x v="2480"/>
    <x v="66"/>
    <x v="0"/>
    <x v="2"/>
    <x v="2"/>
    <s v="2025-01-27"/>
    <s v="2025-02-03"/>
    <n v="7"/>
    <n v="11214.18"/>
    <x v="1"/>
    <s v="Discharged"/>
    <x v="1"/>
    <x v="0"/>
  </r>
  <r>
    <x v="2481"/>
    <x v="12"/>
    <x v="1"/>
    <x v="0"/>
    <x v="2"/>
    <s v="2025-03-20"/>
    <s v="2025-03-28"/>
    <n v="8"/>
    <n v="8159.45"/>
    <x v="0"/>
    <s v="Discharged"/>
    <x v="2"/>
    <x v="1"/>
  </r>
  <r>
    <x v="2482"/>
    <x v="9"/>
    <x v="2"/>
    <x v="2"/>
    <x v="2"/>
    <s v="2025-08-03"/>
    <s v="2025-08-07"/>
    <n v="4"/>
    <n v="10674.06"/>
    <x v="0"/>
    <s v="Discharged"/>
    <x v="4"/>
    <x v="0"/>
  </r>
  <r>
    <x v="2483"/>
    <x v="30"/>
    <x v="1"/>
    <x v="2"/>
    <x v="0"/>
    <s v="2025-02-28"/>
    <s v="2025-03-04"/>
    <n v="4"/>
    <n v="11950.36"/>
    <x v="0"/>
    <s v="Discharged"/>
    <x v="0"/>
    <x v="0"/>
  </r>
  <r>
    <x v="2484"/>
    <x v="61"/>
    <x v="0"/>
    <x v="2"/>
    <x v="2"/>
    <s v="2025-11-25"/>
    <s v="2025-11-27"/>
    <n v="2"/>
    <n v="5565.74"/>
    <x v="0"/>
    <s v="Discharged"/>
    <x v="4"/>
    <x v="0"/>
  </r>
  <r>
    <x v="2485"/>
    <x v="55"/>
    <x v="1"/>
    <x v="5"/>
    <x v="2"/>
    <s v="2025-10-14"/>
    <s v="2025-10-19"/>
    <n v="5"/>
    <n v="9699.73"/>
    <x v="0"/>
    <s v="Discharged"/>
    <x v="4"/>
    <x v="0"/>
  </r>
  <r>
    <x v="2486"/>
    <x v="21"/>
    <x v="1"/>
    <x v="5"/>
    <x v="2"/>
    <s v="2025-08-29"/>
    <s v="2025-09-03"/>
    <n v="5"/>
    <n v="9304.6200000000008"/>
    <x v="0"/>
    <s v="Discharged"/>
    <x v="4"/>
    <x v="0"/>
  </r>
  <r>
    <x v="2487"/>
    <x v="71"/>
    <x v="0"/>
    <x v="1"/>
    <x v="1"/>
    <s v="2025-09-18"/>
    <s v="2025-09-21"/>
    <n v="3"/>
    <n v="3920.91"/>
    <x v="0"/>
    <s v="Discharged"/>
    <x v="1"/>
    <x v="0"/>
  </r>
  <r>
    <x v="2488"/>
    <x v="40"/>
    <x v="1"/>
    <x v="4"/>
    <x v="0"/>
    <s v="2025-01-10"/>
    <s v="2025-01-16"/>
    <n v="6"/>
    <n v="13048.6"/>
    <x v="0"/>
    <s v="Discharged"/>
    <x v="1"/>
    <x v="0"/>
  </r>
  <r>
    <x v="2489"/>
    <x v="27"/>
    <x v="1"/>
    <x v="0"/>
    <x v="1"/>
    <s v="2025-11-24"/>
    <s v="2025-11-30"/>
    <n v="6"/>
    <n v="4641.38"/>
    <x v="0"/>
    <s v="Discharged"/>
    <x v="1"/>
    <x v="0"/>
  </r>
  <r>
    <x v="2490"/>
    <x v="34"/>
    <x v="1"/>
    <x v="1"/>
    <x v="2"/>
    <s v="2025-06-23"/>
    <s v="2025-06-28"/>
    <n v="5"/>
    <n v="8606.73"/>
    <x v="1"/>
    <s v="Discharged"/>
    <x v="2"/>
    <x v="0"/>
  </r>
  <r>
    <x v="2491"/>
    <x v="24"/>
    <x v="0"/>
    <x v="2"/>
    <x v="2"/>
    <s v="2025-12-03"/>
    <s v="2025-12-10"/>
    <n v="7"/>
    <n v="11005.82"/>
    <x v="0"/>
    <s v="Discharged"/>
    <x v="2"/>
    <x v="0"/>
  </r>
  <r>
    <x v="2492"/>
    <x v="54"/>
    <x v="0"/>
    <x v="1"/>
    <x v="1"/>
    <s v="2025-03-09"/>
    <s v="2025-03-12"/>
    <n v="3"/>
    <n v="3735.25"/>
    <x v="0"/>
    <s v="Discharged"/>
    <x v="2"/>
    <x v="0"/>
  </r>
  <r>
    <x v="2493"/>
    <x v="5"/>
    <x v="0"/>
    <x v="5"/>
    <x v="1"/>
    <s v="2025-11-08"/>
    <s v="2025-11-13"/>
    <n v="5"/>
    <n v="8546.08"/>
    <x v="0"/>
    <s v="Discharged"/>
    <x v="0"/>
    <x v="0"/>
  </r>
  <r>
    <x v="2494"/>
    <x v="27"/>
    <x v="0"/>
    <x v="2"/>
    <x v="1"/>
    <s v="2025-04-27"/>
    <s v="2025-05-01"/>
    <n v="4"/>
    <n v="11971.03"/>
    <x v="0"/>
    <s v="Discharged"/>
    <x v="1"/>
    <x v="0"/>
  </r>
  <r>
    <x v="2495"/>
    <x v="16"/>
    <x v="0"/>
    <x v="3"/>
    <x v="2"/>
    <s v="2025-02-09"/>
    <s v="2025-02-17"/>
    <n v="8"/>
    <n v="13922.64"/>
    <x v="0"/>
    <s v="Discharged"/>
    <x v="4"/>
    <x v="1"/>
  </r>
  <r>
    <x v="2496"/>
    <x v="22"/>
    <x v="1"/>
    <x v="3"/>
    <x v="1"/>
    <s v="2025-06-26"/>
    <s v="2025-07-05"/>
    <n v="9"/>
    <n v="13500.89"/>
    <x v="1"/>
    <s v="Discharged"/>
    <x v="3"/>
    <x v="1"/>
  </r>
  <r>
    <x v="2497"/>
    <x v="21"/>
    <x v="0"/>
    <x v="0"/>
    <x v="1"/>
    <s v="2025-12-08"/>
    <s v="2025-12-12"/>
    <n v="4"/>
    <n v="6795.52"/>
    <x v="0"/>
    <s v="Discharged"/>
    <x v="4"/>
    <x v="0"/>
  </r>
  <r>
    <x v="2498"/>
    <x v="69"/>
    <x v="1"/>
    <x v="3"/>
    <x v="2"/>
    <s v="2025-06-07"/>
    <s v="2025-06-18"/>
    <n v="11"/>
    <n v="17319.27"/>
    <x v="0"/>
    <s v="Discharged"/>
    <x v="3"/>
    <x v="1"/>
  </r>
  <r>
    <x v="2499"/>
    <x v="47"/>
    <x v="0"/>
    <x v="2"/>
    <x v="2"/>
    <s v="2025-01-07"/>
    <s v="2025-01-12"/>
    <n v="5"/>
    <n v="9789.9599999999991"/>
    <x v="0"/>
    <s v="Discharged"/>
    <x v="4"/>
    <x v="0"/>
  </r>
  <r>
    <x v="2500"/>
    <x v="3"/>
    <x v="0"/>
    <x v="1"/>
    <x v="0"/>
    <s v="2025-04-15"/>
    <s v="2025-04-19"/>
    <n v="4"/>
    <n v="7023.79"/>
    <x v="0"/>
    <s v="Discharged"/>
    <x v="0"/>
    <x v="0"/>
  </r>
  <r>
    <x v="2501"/>
    <x v="30"/>
    <x v="0"/>
    <x v="4"/>
    <x v="1"/>
    <s v="2025-03-24"/>
    <s v="2025-04-01"/>
    <n v="8"/>
    <n v="15425.11"/>
    <x v="1"/>
    <s v="Discharged"/>
    <x v="0"/>
    <x v="1"/>
  </r>
  <r>
    <x v="2502"/>
    <x v="19"/>
    <x v="1"/>
    <x v="5"/>
    <x v="2"/>
    <s v="2025-07-06"/>
    <s v="2025-07-11"/>
    <n v="5"/>
    <n v="8397.85"/>
    <x v="0"/>
    <s v="Discharged"/>
    <x v="2"/>
    <x v="0"/>
  </r>
  <r>
    <x v="2503"/>
    <x v="48"/>
    <x v="0"/>
    <x v="2"/>
    <x v="2"/>
    <s v="2025-05-31"/>
    <s v="2025-06-07"/>
    <n v="7"/>
    <n v="10941.25"/>
    <x v="0"/>
    <s v="Discharged"/>
    <x v="0"/>
    <x v="0"/>
  </r>
  <r>
    <x v="2504"/>
    <x v="12"/>
    <x v="1"/>
    <x v="4"/>
    <x v="2"/>
    <s v="2025-03-05"/>
    <s v="2025-03-10"/>
    <n v="5"/>
    <n v="11598.82"/>
    <x v="0"/>
    <s v="Discharged"/>
    <x v="2"/>
    <x v="0"/>
  </r>
  <r>
    <x v="2505"/>
    <x v="16"/>
    <x v="0"/>
    <x v="5"/>
    <x v="2"/>
    <s v="2025-03-14"/>
    <s v="2025-03-21"/>
    <n v="7"/>
    <n v="10711.61"/>
    <x v="0"/>
    <s v="Discharged"/>
    <x v="4"/>
    <x v="0"/>
  </r>
  <r>
    <x v="2506"/>
    <x v="61"/>
    <x v="0"/>
    <x v="5"/>
    <x v="2"/>
    <s v="2025-06-13"/>
    <s v="2025-06-20"/>
    <n v="7"/>
    <n v="7316.65"/>
    <x v="1"/>
    <s v="Transferred"/>
    <x v="4"/>
    <x v="0"/>
  </r>
  <r>
    <x v="2507"/>
    <x v="37"/>
    <x v="0"/>
    <x v="0"/>
    <x v="1"/>
    <s v="2025-08-10"/>
    <s v="2025-08-15"/>
    <n v="5"/>
    <n v="9576.36"/>
    <x v="0"/>
    <s v="Discharged"/>
    <x v="1"/>
    <x v="0"/>
  </r>
  <r>
    <x v="2508"/>
    <x v="44"/>
    <x v="1"/>
    <x v="0"/>
    <x v="1"/>
    <s v="2025-01-26"/>
    <s v="2025-01-30"/>
    <n v="4"/>
    <n v="7869.13"/>
    <x v="0"/>
    <s v="Other"/>
    <x v="1"/>
    <x v="0"/>
  </r>
  <r>
    <x v="2509"/>
    <x v="10"/>
    <x v="0"/>
    <x v="1"/>
    <x v="2"/>
    <s v="2025-08-04"/>
    <s v="2025-08-08"/>
    <n v="4"/>
    <n v="2650.25"/>
    <x v="0"/>
    <s v="Discharged"/>
    <x v="4"/>
    <x v="0"/>
  </r>
  <r>
    <x v="2510"/>
    <x v="56"/>
    <x v="1"/>
    <x v="1"/>
    <x v="1"/>
    <s v="2025-11-21"/>
    <s v="2025-11-23"/>
    <n v="2"/>
    <n v="4629.46"/>
    <x v="1"/>
    <s v="Discharged"/>
    <x v="0"/>
    <x v="0"/>
  </r>
  <r>
    <x v="2511"/>
    <x v="29"/>
    <x v="0"/>
    <x v="3"/>
    <x v="2"/>
    <s v="2025-05-16"/>
    <s v="2025-05-24"/>
    <n v="8"/>
    <n v="12528.88"/>
    <x v="0"/>
    <s v="Transferred"/>
    <x v="3"/>
    <x v="1"/>
  </r>
  <r>
    <x v="2512"/>
    <x v="68"/>
    <x v="2"/>
    <x v="5"/>
    <x v="0"/>
    <s v="2025-03-12"/>
    <s v="2025-03-18"/>
    <n v="6"/>
    <n v="8863.93"/>
    <x v="0"/>
    <s v="Discharged"/>
    <x v="3"/>
    <x v="0"/>
  </r>
  <r>
    <x v="2513"/>
    <x v="4"/>
    <x v="0"/>
    <x v="1"/>
    <x v="2"/>
    <s v="2025-04-04"/>
    <s v="2025-04-07"/>
    <n v="3"/>
    <n v="5239.09"/>
    <x v="0"/>
    <s v="Transferred"/>
    <x v="2"/>
    <x v="0"/>
  </r>
  <r>
    <x v="2514"/>
    <x v="6"/>
    <x v="1"/>
    <x v="4"/>
    <x v="2"/>
    <s v="2025-04-22"/>
    <s v="2025-04-27"/>
    <n v="5"/>
    <n v="13222.39"/>
    <x v="0"/>
    <s v="Transferred"/>
    <x v="3"/>
    <x v="0"/>
  </r>
  <r>
    <x v="2515"/>
    <x v="33"/>
    <x v="1"/>
    <x v="1"/>
    <x v="2"/>
    <s v="2025-02-16"/>
    <s v="2025-02-22"/>
    <n v="6"/>
    <n v="8563.3700000000008"/>
    <x v="1"/>
    <s v="Discharged"/>
    <x v="2"/>
    <x v="0"/>
  </r>
  <r>
    <x v="2516"/>
    <x v="62"/>
    <x v="0"/>
    <x v="1"/>
    <x v="2"/>
    <s v="2025-05-08"/>
    <s v="2025-05-10"/>
    <n v="2"/>
    <n v="3957.16"/>
    <x v="0"/>
    <s v="Discharged"/>
    <x v="2"/>
    <x v="0"/>
  </r>
  <r>
    <x v="2517"/>
    <x v="28"/>
    <x v="0"/>
    <x v="0"/>
    <x v="1"/>
    <s v="2025-02-06"/>
    <s v="2025-02-11"/>
    <n v="5"/>
    <n v="6165.94"/>
    <x v="0"/>
    <s v="Discharged"/>
    <x v="4"/>
    <x v="0"/>
  </r>
  <r>
    <x v="2518"/>
    <x v="12"/>
    <x v="0"/>
    <x v="5"/>
    <x v="1"/>
    <s v="2025-08-13"/>
    <s v="2025-08-20"/>
    <n v="7"/>
    <n v="9016.75"/>
    <x v="1"/>
    <s v="Discharged"/>
    <x v="2"/>
    <x v="0"/>
  </r>
  <r>
    <x v="2519"/>
    <x v="45"/>
    <x v="0"/>
    <x v="4"/>
    <x v="1"/>
    <s v="2025-02-08"/>
    <s v="2025-02-16"/>
    <n v="8"/>
    <n v="10990.56"/>
    <x v="0"/>
    <s v="Discharged"/>
    <x v="1"/>
    <x v="1"/>
  </r>
  <r>
    <x v="2520"/>
    <x v="67"/>
    <x v="1"/>
    <x v="2"/>
    <x v="2"/>
    <s v="2025-07-04"/>
    <s v="2025-07-11"/>
    <n v="7"/>
    <n v="13007.58"/>
    <x v="0"/>
    <s v="Discharged"/>
    <x v="3"/>
    <x v="0"/>
  </r>
  <r>
    <x v="2521"/>
    <x v="64"/>
    <x v="1"/>
    <x v="1"/>
    <x v="2"/>
    <s v="2025-11-07"/>
    <s v="2025-11-10"/>
    <n v="3"/>
    <n v="5565.16"/>
    <x v="0"/>
    <s v="Discharged"/>
    <x v="4"/>
    <x v="0"/>
  </r>
  <r>
    <x v="2522"/>
    <x v="30"/>
    <x v="0"/>
    <x v="5"/>
    <x v="2"/>
    <s v="2025-02-06"/>
    <s v="2025-02-14"/>
    <n v="8"/>
    <n v="10114.14"/>
    <x v="0"/>
    <s v="Discharged"/>
    <x v="0"/>
    <x v="1"/>
  </r>
  <r>
    <x v="2523"/>
    <x v="10"/>
    <x v="0"/>
    <x v="5"/>
    <x v="1"/>
    <s v="2025-03-15"/>
    <s v="2025-03-21"/>
    <n v="6"/>
    <n v="10465.01"/>
    <x v="0"/>
    <s v="Discharged"/>
    <x v="4"/>
    <x v="0"/>
  </r>
  <r>
    <x v="2524"/>
    <x v="3"/>
    <x v="1"/>
    <x v="2"/>
    <x v="0"/>
    <s v="2025-06-12"/>
    <s v="2025-06-16"/>
    <n v="4"/>
    <n v="7180.86"/>
    <x v="1"/>
    <s v="Discharged"/>
    <x v="0"/>
    <x v="0"/>
  </r>
  <r>
    <x v="2525"/>
    <x v="36"/>
    <x v="1"/>
    <x v="5"/>
    <x v="0"/>
    <s v="2025-06-02"/>
    <s v="2025-06-10"/>
    <n v="8"/>
    <n v="12621.5"/>
    <x v="0"/>
    <s v="Discharged"/>
    <x v="1"/>
    <x v="1"/>
  </r>
  <r>
    <x v="2526"/>
    <x v="65"/>
    <x v="0"/>
    <x v="0"/>
    <x v="2"/>
    <s v="2025-05-20"/>
    <s v="2025-05-28"/>
    <n v="8"/>
    <n v="10190.65"/>
    <x v="0"/>
    <s v="Discharged"/>
    <x v="3"/>
    <x v="1"/>
  </r>
  <r>
    <x v="2527"/>
    <x v="0"/>
    <x v="1"/>
    <x v="2"/>
    <x v="2"/>
    <s v="2025-11-09"/>
    <s v="2025-11-16"/>
    <n v="7"/>
    <n v="12698.46"/>
    <x v="0"/>
    <s v="Discharged"/>
    <x v="0"/>
    <x v="0"/>
  </r>
  <r>
    <x v="2528"/>
    <x v="53"/>
    <x v="1"/>
    <x v="4"/>
    <x v="2"/>
    <s v="2025-06-26"/>
    <s v="2025-07-04"/>
    <n v="8"/>
    <n v="12347.84"/>
    <x v="0"/>
    <s v="Discharged"/>
    <x v="4"/>
    <x v="1"/>
  </r>
  <r>
    <x v="2529"/>
    <x v="60"/>
    <x v="1"/>
    <x v="0"/>
    <x v="0"/>
    <s v="2025-11-21"/>
    <s v="2025-11-25"/>
    <n v="4"/>
    <n v="4410.88"/>
    <x v="0"/>
    <s v="Discharged"/>
    <x v="3"/>
    <x v="0"/>
  </r>
  <r>
    <x v="2530"/>
    <x v="61"/>
    <x v="1"/>
    <x v="2"/>
    <x v="1"/>
    <s v="2025-11-17"/>
    <s v="2025-11-24"/>
    <n v="7"/>
    <n v="12293.28"/>
    <x v="0"/>
    <s v="Discharged"/>
    <x v="4"/>
    <x v="0"/>
  </r>
  <r>
    <x v="2531"/>
    <x v="13"/>
    <x v="1"/>
    <x v="4"/>
    <x v="2"/>
    <s v="2025-06-29"/>
    <s v="2025-07-06"/>
    <n v="7"/>
    <n v="10478.11"/>
    <x v="0"/>
    <s v="Discharged"/>
    <x v="1"/>
    <x v="0"/>
  </r>
  <r>
    <x v="2532"/>
    <x v="26"/>
    <x v="0"/>
    <x v="1"/>
    <x v="0"/>
    <s v="2025-03-02"/>
    <s v="2025-03-11"/>
    <n v="9"/>
    <n v="9432.32"/>
    <x v="0"/>
    <s v="Discharged"/>
    <x v="3"/>
    <x v="1"/>
  </r>
  <r>
    <x v="2533"/>
    <x v="46"/>
    <x v="0"/>
    <x v="0"/>
    <x v="0"/>
    <s v="2025-09-09"/>
    <s v="2025-09-12"/>
    <n v="3"/>
    <n v="3006.48"/>
    <x v="0"/>
    <s v="Discharged"/>
    <x v="1"/>
    <x v="0"/>
  </r>
  <r>
    <x v="2534"/>
    <x v="5"/>
    <x v="1"/>
    <x v="3"/>
    <x v="1"/>
    <s v="2025-03-01"/>
    <s v="2025-03-03"/>
    <n v="2"/>
    <n v="8849.51"/>
    <x v="0"/>
    <s v="Discharged"/>
    <x v="0"/>
    <x v="0"/>
  </r>
  <r>
    <x v="2535"/>
    <x v="6"/>
    <x v="1"/>
    <x v="1"/>
    <x v="0"/>
    <s v="2025-02-16"/>
    <s v="2025-02-17"/>
    <n v="1"/>
    <n v="3324.79"/>
    <x v="0"/>
    <s v="Discharged"/>
    <x v="3"/>
    <x v="0"/>
  </r>
  <r>
    <x v="2536"/>
    <x v="70"/>
    <x v="0"/>
    <x v="1"/>
    <x v="0"/>
    <s v="2025-11-22"/>
    <s v="2025-11-26"/>
    <n v="4"/>
    <n v="4164.6099999999997"/>
    <x v="0"/>
    <s v="Discharged"/>
    <x v="1"/>
    <x v="0"/>
  </r>
  <r>
    <x v="2537"/>
    <x v="55"/>
    <x v="1"/>
    <x v="0"/>
    <x v="0"/>
    <s v="2025-12-12"/>
    <s v="2025-12-19"/>
    <n v="7"/>
    <n v="6486.82"/>
    <x v="0"/>
    <s v="Discharged"/>
    <x v="4"/>
    <x v="0"/>
  </r>
  <r>
    <x v="2538"/>
    <x v="26"/>
    <x v="1"/>
    <x v="0"/>
    <x v="2"/>
    <s v="2025-04-13"/>
    <s v="2025-04-18"/>
    <n v="5"/>
    <n v="6956.99"/>
    <x v="0"/>
    <s v="Discharged"/>
    <x v="3"/>
    <x v="0"/>
  </r>
  <r>
    <x v="2539"/>
    <x v="11"/>
    <x v="0"/>
    <x v="2"/>
    <x v="1"/>
    <s v="2025-10-06"/>
    <s v="2025-10-12"/>
    <n v="6"/>
    <n v="10876.26"/>
    <x v="0"/>
    <s v="Discharged"/>
    <x v="2"/>
    <x v="0"/>
  </r>
  <r>
    <x v="2540"/>
    <x v="54"/>
    <x v="0"/>
    <x v="2"/>
    <x v="2"/>
    <s v="2025-01-03"/>
    <s v="2025-01-09"/>
    <n v="6"/>
    <n v="9404.1200000000008"/>
    <x v="0"/>
    <s v="Discharged"/>
    <x v="2"/>
    <x v="0"/>
  </r>
  <r>
    <x v="2541"/>
    <x v="48"/>
    <x v="0"/>
    <x v="4"/>
    <x v="2"/>
    <s v="2025-01-05"/>
    <s v="2025-01-11"/>
    <n v="6"/>
    <n v="10801.9"/>
    <x v="0"/>
    <s v="Discharged"/>
    <x v="0"/>
    <x v="0"/>
  </r>
  <r>
    <x v="2542"/>
    <x v="22"/>
    <x v="0"/>
    <x v="1"/>
    <x v="2"/>
    <s v="2025-06-17"/>
    <s v="2025-06-22"/>
    <n v="5"/>
    <n v="7849.71"/>
    <x v="0"/>
    <s v="Discharged"/>
    <x v="3"/>
    <x v="0"/>
  </r>
  <r>
    <x v="2543"/>
    <x v="52"/>
    <x v="0"/>
    <x v="4"/>
    <x v="2"/>
    <s v="2025-07-05"/>
    <s v="2025-07-09"/>
    <n v="4"/>
    <n v="8927.1"/>
    <x v="1"/>
    <s v="Transferred"/>
    <x v="4"/>
    <x v="0"/>
  </r>
  <r>
    <x v="2544"/>
    <x v="56"/>
    <x v="1"/>
    <x v="1"/>
    <x v="2"/>
    <s v="2025-11-06"/>
    <s v="2025-11-09"/>
    <n v="3"/>
    <n v="4972.2700000000004"/>
    <x v="0"/>
    <s v="Discharged"/>
    <x v="0"/>
    <x v="0"/>
  </r>
  <r>
    <x v="2545"/>
    <x v="42"/>
    <x v="0"/>
    <x v="5"/>
    <x v="2"/>
    <s v="2025-10-20"/>
    <s v="2025-10-26"/>
    <n v="6"/>
    <n v="12299.28"/>
    <x v="0"/>
    <s v="Discharged"/>
    <x v="4"/>
    <x v="0"/>
  </r>
  <r>
    <x v="2546"/>
    <x v="57"/>
    <x v="0"/>
    <x v="0"/>
    <x v="1"/>
    <s v="2025-09-24"/>
    <s v="2025-09-29"/>
    <n v="5"/>
    <n v="6979"/>
    <x v="0"/>
    <s v="Discharged"/>
    <x v="3"/>
    <x v="0"/>
  </r>
  <r>
    <x v="2547"/>
    <x v="1"/>
    <x v="0"/>
    <x v="0"/>
    <x v="0"/>
    <s v="2025-04-15"/>
    <s v="2025-04-23"/>
    <n v="8"/>
    <n v="9729.86"/>
    <x v="0"/>
    <s v="Discharged"/>
    <x v="0"/>
    <x v="1"/>
  </r>
  <r>
    <x v="2548"/>
    <x v="23"/>
    <x v="1"/>
    <x v="1"/>
    <x v="1"/>
    <s v="2025-06-24"/>
    <s v="2025-07-02"/>
    <n v="8"/>
    <n v="8476.93"/>
    <x v="0"/>
    <s v="Discharged"/>
    <x v="3"/>
    <x v="1"/>
  </r>
  <r>
    <x v="2549"/>
    <x v="32"/>
    <x v="0"/>
    <x v="4"/>
    <x v="2"/>
    <s v="2025-08-16"/>
    <s v="2025-08-24"/>
    <n v="8"/>
    <n v="14240.57"/>
    <x v="0"/>
    <s v="Discharged"/>
    <x v="3"/>
    <x v="1"/>
  </r>
  <r>
    <x v="2550"/>
    <x v="1"/>
    <x v="1"/>
    <x v="1"/>
    <x v="0"/>
    <s v="2025-01-07"/>
    <s v="2025-01-08"/>
    <n v="1"/>
    <n v="4880.6899999999996"/>
    <x v="0"/>
    <s v="Discharged"/>
    <x v="0"/>
    <x v="0"/>
  </r>
  <r>
    <x v="2551"/>
    <x v="20"/>
    <x v="0"/>
    <x v="5"/>
    <x v="0"/>
    <s v="2025-09-22"/>
    <s v="2025-09-29"/>
    <n v="7"/>
    <n v="12983.9"/>
    <x v="0"/>
    <s v="Discharged"/>
    <x v="0"/>
    <x v="0"/>
  </r>
  <r>
    <x v="2552"/>
    <x v="19"/>
    <x v="0"/>
    <x v="1"/>
    <x v="2"/>
    <s v="2025-06-29"/>
    <s v="2025-07-04"/>
    <n v="5"/>
    <n v="6243.5"/>
    <x v="0"/>
    <s v="Transferred"/>
    <x v="2"/>
    <x v="0"/>
  </r>
  <r>
    <x v="2553"/>
    <x v="31"/>
    <x v="2"/>
    <x v="2"/>
    <x v="2"/>
    <s v="2025-07-21"/>
    <s v="2025-08-01"/>
    <n v="11"/>
    <n v="14312.2"/>
    <x v="0"/>
    <s v="Discharged"/>
    <x v="2"/>
    <x v="1"/>
  </r>
  <r>
    <x v="2554"/>
    <x v="42"/>
    <x v="0"/>
    <x v="2"/>
    <x v="2"/>
    <s v="2025-09-25"/>
    <s v="2025-09-30"/>
    <n v="5"/>
    <n v="11138.29"/>
    <x v="0"/>
    <s v="Discharged"/>
    <x v="4"/>
    <x v="0"/>
  </r>
  <r>
    <x v="2555"/>
    <x v="24"/>
    <x v="1"/>
    <x v="1"/>
    <x v="2"/>
    <s v="2025-02-23"/>
    <s v="2025-02-28"/>
    <n v="5"/>
    <n v="8014"/>
    <x v="0"/>
    <s v="Discharged"/>
    <x v="2"/>
    <x v="0"/>
  </r>
  <r>
    <x v="2556"/>
    <x v="16"/>
    <x v="1"/>
    <x v="3"/>
    <x v="1"/>
    <s v="2025-04-08"/>
    <s v="2025-04-14"/>
    <n v="6"/>
    <n v="16066.86"/>
    <x v="0"/>
    <s v="Other"/>
    <x v="4"/>
    <x v="0"/>
  </r>
  <r>
    <x v="2557"/>
    <x v="68"/>
    <x v="0"/>
    <x v="0"/>
    <x v="2"/>
    <s v="2025-08-14"/>
    <s v="2025-08-16"/>
    <n v="2"/>
    <n v="2967.07"/>
    <x v="0"/>
    <s v="Discharged"/>
    <x v="3"/>
    <x v="0"/>
  </r>
  <r>
    <x v="2558"/>
    <x v="3"/>
    <x v="2"/>
    <x v="3"/>
    <x v="0"/>
    <s v="2025-12-20"/>
    <s v="2025-12-29"/>
    <n v="9"/>
    <n v="13494.47"/>
    <x v="1"/>
    <s v="Discharged"/>
    <x v="0"/>
    <x v="1"/>
  </r>
  <r>
    <x v="2559"/>
    <x v="35"/>
    <x v="0"/>
    <x v="1"/>
    <x v="2"/>
    <s v="2025-12-04"/>
    <s v="2025-12-10"/>
    <n v="6"/>
    <n v="7703.5"/>
    <x v="0"/>
    <s v="Discharged"/>
    <x v="4"/>
    <x v="0"/>
  </r>
  <r>
    <x v="2560"/>
    <x v="56"/>
    <x v="1"/>
    <x v="4"/>
    <x v="2"/>
    <s v="2025-06-12"/>
    <s v="2025-06-20"/>
    <n v="8"/>
    <n v="13581.74"/>
    <x v="0"/>
    <s v="Discharged"/>
    <x v="0"/>
    <x v="1"/>
  </r>
  <r>
    <x v="2561"/>
    <x v="16"/>
    <x v="1"/>
    <x v="1"/>
    <x v="2"/>
    <s v="2025-06-02"/>
    <s v="2025-06-07"/>
    <n v="5"/>
    <n v="8308.7099999999991"/>
    <x v="0"/>
    <s v="Discharged"/>
    <x v="4"/>
    <x v="0"/>
  </r>
  <r>
    <x v="2562"/>
    <x v="21"/>
    <x v="0"/>
    <x v="1"/>
    <x v="2"/>
    <s v="2025-11-19"/>
    <s v="2025-11-24"/>
    <n v="5"/>
    <n v="6272.31"/>
    <x v="0"/>
    <s v="Discharged"/>
    <x v="4"/>
    <x v="0"/>
  </r>
  <r>
    <x v="2563"/>
    <x v="6"/>
    <x v="1"/>
    <x v="1"/>
    <x v="1"/>
    <s v="2025-01-04"/>
    <s v="2025-01-11"/>
    <n v="7"/>
    <n v="5729.2"/>
    <x v="0"/>
    <s v="Discharged"/>
    <x v="3"/>
    <x v="0"/>
  </r>
  <r>
    <x v="2564"/>
    <x v="67"/>
    <x v="0"/>
    <x v="3"/>
    <x v="0"/>
    <s v="2025-10-24"/>
    <s v="2025-10-30"/>
    <n v="6"/>
    <n v="13276.81"/>
    <x v="0"/>
    <s v="Discharged"/>
    <x v="3"/>
    <x v="0"/>
  </r>
  <r>
    <x v="2565"/>
    <x v="29"/>
    <x v="1"/>
    <x v="3"/>
    <x v="2"/>
    <s v="2025-11-22"/>
    <s v="2025-12-01"/>
    <n v="9"/>
    <n v="14562.03"/>
    <x v="0"/>
    <s v="Discharged"/>
    <x v="3"/>
    <x v="1"/>
  </r>
  <r>
    <x v="2566"/>
    <x v="45"/>
    <x v="0"/>
    <x v="5"/>
    <x v="0"/>
    <s v="2025-06-18"/>
    <s v="2025-06-22"/>
    <n v="4"/>
    <n v="11892.19"/>
    <x v="0"/>
    <s v="Discharged"/>
    <x v="1"/>
    <x v="0"/>
  </r>
  <r>
    <x v="2567"/>
    <x v="16"/>
    <x v="1"/>
    <x v="1"/>
    <x v="2"/>
    <s v="2025-04-29"/>
    <s v="2025-05-05"/>
    <n v="6"/>
    <n v="6464.47"/>
    <x v="0"/>
    <s v="Other"/>
    <x v="4"/>
    <x v="0"/>
  </r>
  <r>
    <x v="2568"/>
    <x v="67"/>
    <x v="1"/>
    <x v="1"/>
    <x v="2"/>
    <s v="2025-10-01"/>
    <s v="2025-10-06"/>
    <n v="5"/>
    <n v="9225.52"/>
    <x v="0"/>
    <s v="Discharged"/>
    <x v="3"/>
    <x v="0"/>
  </r>
  <r>
    <x v="2569"/>
    <x v="47"/>
    <x v="0"/>
    <x v="2"/>
    <x v="2"/>
    <s v="2025-04-23"/>
    <s v="2025-04-29"/>
    <n v="6"/>
    <n v="12389.8"/>
    <x v="0"/>
    <s v="Discharged"/>
    <x v="4"/>
    <x v="0"/>
  </r>
  <r>
    <x v="2570"/>
    <x v="35"/>
    <x v="0"/>
    <x v="1"/>
    <x v="0"/>
    <s v="2025-12-01"/>
    <s v="2025-12-02"/>
    <n v="1"/>
    <n v="2862.18"/>
    <x v="1"/>
    <s v="Discharged"/>
    <x v="4"/>
    <x v="0"/>
  </r>
  <r>
    <x v="2571"/>
    <x v="39"/>
    <x v="1"/>
    <x v="4"/>
    <x v="0"/>
    <s v="2025-04-20"/>
    <s v="2025-04-21"/>
    <n v="1"/>
    <n v="6259.64"/>
    <x v="0"/>
    <s v="Discharged"/>
    <x v="4"/>
    <x v="0"/>
  </r>
  <r>
    <x v="2572"/>
    <x v="72"/>
    <x v="1"/>
    <x v="0"/>
    <x v="0"/>
    <s v="2025-09-06"/>
    <s v="2025-09-10"/>
    <n v="4"/>
    <n v="11325.76"/>
    <x v="0"/>
    <s v="Discharged"/>
    <x v="2"/>
    <x v="0"/>
  </r>
  <r>
    <x v="2573"/>
    <x v="1"/>
    <x v="0"/>
    <x v="3"/>
    <x v="0"/>
    <s v="2025-11-28"/>
    <s v="2025-12-02"/>
    <n v="4"/>
    <n v="11685.6"/>
    <x v="0"/>
    <s v="Discharged"/>
    <x v="0"/>
    <x v="0"/>
  </r>
  <r>
    <x v="2574"/>
    <x v="2"/>
    <x v="1"/>
    <x v="0"/>
    <x v="2"/>
    <s v="2025-12-22"/>
    <s v="2025-12-26"/>
    <n v="4"/>
    <n v="7161.47"/>
    <x v="0"/>
    <s v="Discharged"/>
    <x v="1"/>
    <x v="0"/>
  </r>
  <r>
    <x v="2575"/>
    <x v="25"/>
    <x v="0"/>
    <x v="2"/>
    <x v="0"/>
    <s v="2025-11-25"/>
    <s v="2025-12-01"/>
    <n v="6"/>
    <n v="13251.24"/>
    <x v="0"/>
    <s v="Discharged"/>
    <x v="2"/>
    <x v="0"/>
  </r>
  <r>
    <x v="2576"/>
    <x v="3"/>
    <x v="0"/>
    <x v="0"/>
    <x v="2"/>
    <s v="2025-02-24"/>
    <s v="2025-02-28"/>
    <n v="4"/>
    <n v="8333.99"/>
    <x v="1"/>
    <s v="Transferred"/>
    <x v="0"/>
    <x v="0"/>
  </r>
  <r>
    <x v="2577"/>
    <x v="72"/>
    <x v="0"/>
    <x v="3"/>
    <x v="1"/>
    <s v="2025-07-26"/>
    <s v="2025-08-02"/>
    <n v="7"/>
    <n v="15832.65"/>
    <x v="0"/>
    <s v="Discharged"/>
    <x v="2"/>
    <x v="0"/>
  </r>
  <r>
    <x v="2578"/>
    <x v="72"/>
    <x v="1"/>
    <x v="5"/>
    <x v="2"/>
    <s v="2025-11-27"/>
    <s v="2025-11-30"/>
    <n v="3"/>
    <n v="7182.09"/>
    <x v="0"/>
    <s v="Discharged"/>
    <x v="2"/>
    <x v="0"/>
  </r>
  <r>
    <x v="2579"/>
    <x v="32"/>
    <x v="1"/>
    <x v="1"/>
    <x v="1"/>
    <s v="2025-10-17"/>
    <m/>
    <n v="9"/>
    <n v="6853.72"/>
    <x v="1"/>
    <s v="Discharged"/>
    <x v="3"/>
    <x v="1"/>
  </r>
  <r>
    <x v="2580"/>
    <x v="20"/>
    <x v="1"/>
    <x v="0"/>
    <x v="2"/>
    <s v="2025-08-04"/>
    <s v="2025-08-05"/>
    <n v="1"/>
    <n v="6823.29"/>
    <x v="0"/>
    <s v="Discharged"/>
    <x v="0"/>
    <x v="0"/>
  </r>
  <r>
    <x v="2581"/>
    <x v="5"/>
    <x v="1"/>
    <x v="4"/>
    <x v="1"/>
    <s v="2025-11-01"/>
    <s v="2025-11-05"/>
    <n v="4"/>
    <n v="12210.26"/>
    <x v="1"/>
    <s v="Discharged"/>
    <x v="0"/>
    <x v="0"/>
  </r>
  <r>
    <x v="2582"/>
    <x v="37"/>
    <x v="1"/>
    <x v="0"/>
    <x v="2"/>
    <s v="2025-03-26"/>
    <s v="2025-03-29"/>
    <n v="3"/>
    <n v="6372.42"/>
    <x v="0"/>
    <s v="Discharged"/>
    <x v="1"/>
    <x v="0"/>
  </r>
  <r>
    <x v="2583"/>
    <x v="7"/>
    <x v="0"/>
    <x v="3"/>
    <x v="0"/>
    <s v="2025-12-24"/>
    <s v="2025-12-30"/>
    <n v="6"/>
    <n v="12236.85"/>
    <x v="0"/>
    <s v="Discharged"/>
    <x v="4"/>
    <x v="0"/>
  </r>
  <r>
    <x v="2584"/>
    <x v="69"/>
    <x v="1"/>
    <x v="4"/>
    <x v="0"/>
    <s v="2025-04-19"/>
    <s v="2025-04-26"/>
    <n v="7"/>
    <n v="10595.1"/>
    <x v="0"/>
    <s v="Discharged"/>
    <x v="3"/>
    <x v="0"/>
  </r>
  <r>
    <x v="2585"/>
    <x v="58"/>
    <x v="1"/>
    <x v="4"/>
    <x v="0"/>
    <s v="2025-01-11"/>
    <s v="2025-01-18"/>
    <n v="7"/>
    <n v="11071.75"/>
    <x v="0"/>
    <s v="Discharged"/>
    <x v="2"/>
    <x v="0"/>
  </r>
  <r>
    <x v="2586"/>
    <x v="20"/>
    <x v="0"/>
    <x v="0"/>
    <x v="2"/>
    <s v="2025-04-24"/>
    <s v="2025-04-25"/>
    <n v="1"/>
    <n v="6276.87"/>
    <x v="0"/>
    <s v="Discharged"/>
    <x v="0"/>
    <x v="0"/>
  </r>
  <r>
    <x v="2587"/>
    <x v="39"/>
    <x v="0"/>
    <x v="1"/>
    <x v="1"/>
    <s v="2025-09-17"/>
    <s v="2025-09-18"/>
    <n v="1"/>
    <n v="4359.57"/>
    <x v="0"/>
    <s v="Discharged"/>
    <x v="4"/>
    <x v="0"/>
  </r>
  <r>
    <x v="2588"/>
    <x v="24"/>
    <x v="0"/>
    <x v="1"/>
    <x v="1"/>
    <s v="2025-10-15"/>
    <s v="2025-10-19"/>
    <n v="4"/>
    <n v="7326.9"/>
    <x v="0"/>
    <s v="Discharged"/>
    <x v="2"/>
    <x v="0"/>
  </r>
  <r>
    <x v="2589"/>
    <x v="64"/>
    <x v="0"/>
    <x v="2"/>
    <x v="0"/>
    <s v="2025-09-23"/>
    <s v="2025-10-05"/>
    <n v="12"/>
    <n v="13471.42"/>
    <x v="0"/>
    <s v="Discharged"/>
    <x v="4"/>
    <x v="1"/>
  </r>
  <r>
    <x v="2590"/>
    <x v="46"/>
    <x v="0"/>
    <x v="1"/>
    <x v="0"/>
    <s v="2025-06-30"/>
    <s v="2025-07-01"/>
    <n v="1"/>
    <n v="3115.22"/>
    <x v="0"/>
    <s v="Transferred"/>
    <x v="1"/>
    <x v="0"/>
  </r>
  <r>
    <x v="2591"/>
    <x v="70"/>
    <x v="0"/>
    <x v="0"/>
    <x v="1"/>
    <s v="2025-11-12"/>
    <s v="2025-11-18"/>
    <n v="6"/>
    <n v="7539.03"/>
    <x v="1"/>
    <s v="Discharged"/>
    <x v="1"/>
    <x v="0"/>
  </r>
  <r>
    <x v="2592"/>
    <x v="54"/>
    <x v="0"/>
    <x v="1"/>
    <x v="1"/>
    <s v="2025-01-04"/>
    <s v="2025-01-07"/>
    <n v="3"/>
    <n v="4379.8599999999997"/>
    <x v="0"/>
    <s v="Discharged"/>
    <x v="2"/>
    <x v="0"/>
  </r>
  <r>
    <x v="2593"/>
    <x v="25"/>
    <x v="1"/>
    <x v="4"/>
    <x v="2"/>
    <s v="2025-08-19"/>
    <s v="2025-08-24"/>
    <n v="5"/>
    <n v="10796.87"/>
    <x v="0"/>
    <s v="Discharged"/>
    <x v="2"/>
    <x v="0"/>
  </r>
  <r>
    <x v="2594"/>
    <x v="44"/>
    <x v="1"/>
    <x v="0"/>
    <x v="0"/>
    <s v="2025-08-05"/>
    <s v="2025-08-10"/>
    <n v="5"/>
    <n v="11396.69"/>
    <x v="0"/>
    <s v="Discharged"/>
    <x v="1"/>
    <x v="0"/>
  </r>
  <r>
    <x v="2595"/>
    <x v="48"/>
    <x v="1"/>
    <x v="1"/>
    <x v="2"/>
    <s v="2025-11-14"/>
    <s v="2025-11-19"/>
    <n v="5"/>
    <n v="5562.77"/>
    <x v="1"/>
    <s v="Discharged"/>
    <x v="0"/>
    <x v="0"/>
  </r>
  <r>
    <x v="2596"/>
    <x v="49"/>
    <x v="0"/>
    <x v="0"/>
    <x v="2"/>
    <s v="2025-08-23"/>
    <s v="2025-08-29"/>
    <n v="6"/>
    <n v="8278.4500000000007"/>
    <x v="0"/>
    <s v="Discharged"/>
    <x v="0"/>
    <x v="0"/>
  </r>
  <r>
    <x v="2597"/>
    <x v="3"/>
    <x v="1"/>
    <x v="0"/>
    <x v="0"/>
    <s v="2025-11-23"/>
    <s v="2025-11-30"/>
    <n v="7"/>
    <n v="11203.36"/>
    <x v="0"/>
    <s v="Discharged"/>
    <x v="0"/>
    <x v="0"/>
  </r>
  <r>
    <x v="2598"/>
    <x v="57"/>
    <x v="1"/>
    <x v="1"/>
    <x v="2"/>
    <s v="2025-12-08"/>
    <s v="2025-12-14"/>
    <n v="6"/>
    <n v="6398.64"/>
    <x v="0"/>
    <s v="Discharged"/>
    <x v="3"/>
    <x v="0"/>
  </r>
  <r>
    <x v="2599"/>
    <x v="37"/>
    <x v="1"/>
    <x v="4"/>
    <x v="0"/>
    <s v="2025-11-13"/>
    <s v="2025-11-14"/>
    <n v="1"/>
    <n v="9435.4"/>
    <x v="0"/>
    <s v="Discharged"/>
    <x v="1"/>
    <x v="0"/>
  </r>
  <r>
    <x v="2600"/>
    <x v="72"/>
    <x v="0"/>
    <x v="0"/>
    <x v="1"/>
    <s v="2025-05-14"/>
    <s v="2025-05-21"/>
    <n v="7"/>
    <n v="6783.7"/>
    <x v="0"/>
    <s v="Transferred"/>
    <x v="2"/>
    <x v="0"/>
  </r>
  <r>
    <x v="2601"/>
    <x v="56"/>
    <x v="0"/>
    <x v="0"/>
    <x v="0"/>
    <s v="2025-04-08"/>
    <s v="2025-04-12"/>
    <n v="4"/>
    <n v="3927.67"/>
    <x v="0"/>
    <s v="Discharged"/>
    <x v="0"/>
    <x v="0"/>
  </r>
  <r>
    <x v="2602"/>
    <x v="45"/>
    <x v="0"/>
    <x v="3"/>
    <x v="0"/>
    <s v="2025-10-10"/>
    <s v="2025-10-16"/>
    <n v="6"/>
    <n v="14254.53"/>
    <x v="0"/>
    <s v="Discharged"/>
    <x v="1"/>
    <x v="0"/>
  </r>
  <r>
    <x v="2603"/>
    <x v="20"/>
    <x v="1"/>
    <x v="1"/>
    <x v="2"/>
    <s v="2025-12-05"/>
    <s v="2025-12-10"/>
    <n v="5"/>
    <n v="7571.3"/>
    <x v="0"/>
    <s v="Discharged"/>
    <x v="0"/>
    <x v="0"/>
  </r>
  <r>
    <x v="2604"/>
    <x v="8"/>
    <x v="1"/>
    <x v="2"/>
    <x v="2"/>
    <s v="2025-04-01"/>
    <s v="2025-04-09"/>
    <n v="8"/>
    <n v="13108.77"/>
    <x v="0"/>
    <s v="Discharged"/>
    <x v="3"/>
    <x v="1"/>
  </r>
  <r>
    <x v="2605"/>
    <x v="26"/>
    <x v="0"/>
    <x v="3"/>
    <x v="2"/>
    <s v="2025-10-29"/>
    <s v="2025-11-11"/>
    <n v="13"/>
    <n v="17584.23"/>
    <x v="0"/>
    <s v="Discharged"/>
    <x v="3"/>
    <x v="1"/>
  </r>
  <r>
    <x v="2606"/>
    <x v="3"/>
    <x v="1"/>
    <x v="4"/>
    <x v="0"/>
    <s v="2025-12-23"/>
    <s v="2025-12-28"/>
    <n v="5"/>
    <n v="9656.2800000000007"/>
    <x v="0"/>
    <s v="Discharged"/>
    <x v="0"/>
    <x v="0"/>
  </r>
  <r>
    <x v="2607"/>
    <x v="1"/>
    <x v="1"/>
    <x v="1"/>
    <x v="0"/>
    <s v="2025-02-25"/>
    <s v="2025-02-27"/>
    <n v="2"/>
    <n v="4569.55"/>
    <x v="1"/>
    <s v="Discharged"/>
    <x v="0"/>
    <x v="0"/>
  </r>
  <r>
    <x v="2608"/>
    <x v="44"/>
    <x v="1"/>
    <x v="5"/>
    <x v="1"/>
    <s v="2025-11-26"/>
    <s v="2025-12-03"/>
    <n v="7"/>
    <n v="10642.74"/>
    <x v="0"/>
    <s v="Discharged"/>
    <x v="1"/>
    <x v="0"/>
  </r>
  <r>
    <x v="2609"/>
    <x v="48"/>
    <x v="1"/>
    <x v="2"/>
    <x v="1"/>
    <s v="2025-02-24"/>
    <s v="2025-03-04"/>
    <n v="8"/>
    <n v="13763.32"/>
    <x v="0"/>
    <s v="Discharged"/>
    <x v="0"/>
    <x v="1"/>
  </r>
  <r>
    <x v="2610"/>
    <x v="24"/>
    <x v="0"/>
    <x v="1"/>
    <x v="1"/>
    <s v="2025-12-14"/>
    <s v="2025-12-18"/>
    <n v="4"/>
    <n v="6207.18"/>
    <x v="0"/>
    <s v="Discharged"/>
    <x v="2"/>
    <x v="0"/>
  </r>
  <r>
    <x v="2611"/>
    <x v="70"/>
    <x v="1"/>
    <x v="4"/>
    <x v="1"/>
    <s v="2025-02-24"/>
    <s v="2025-03-03"/>
    <n v="7"/>
    <n v="10618.2"/>
    <x v="0"/>
    <s v="Discharged"/>
    <x v="1"/>
    <x v="0"/>
  </r>
  <r>
    <x v="2612"/>
    <x v="53"/>
    <x v="1"/>
    <x v="1"/>
    <x v="2"/>
    <s v="2025-08-08"/>
    <s v="2025-08-12"/>
    <n v="4"/>
    <n v="6025.7"/>
    <x v="0"/>
    <s v="Discharged"/>
    <x v="4"/>
    <x v="0"/>
  </r>
  <r>
    <x v="2613"/>
    <x v="12"/>
    <x v="0"/>
    <x v="1"/>
    <x v="2"/>
    <s v="2025-01-17"/>
    <s v="2025-01-21"/>
    <n v="4"/>
    <n v="4059.98"/>
    <x v="0"/>
    <s v="Discharged"/>
    <x v="2"/>
    <x v="0"/>
  </r>
  <r>
    <x v="2614"/>
    <x v="23"/>
    <x v="0"/>
    <x v="0"/>
    <x v="2"/>
    <s v="2025-06-11"/>
    <s v="2025-06-18"/>
    <n v="7"/>
    <n v="10758.95"/>
    <x v="0"/>
    <s v="Discharged"/>
    <x v="3"/>
    <x v="0"/>
  </r>
  <r>
    <x v="2615"/>
    <x v="37"/>
    <x v="0"/>
    <x v="2"/>
    <x v="1"/>
    <s v="2025-12-27"/>
    <s v="2026-01-01"/>
    <n v="5"/>
    <n v="12611.38"/>
    <x v="0"/>
    <s v="Discharged"/>
    <x v="1"/>
    <x v="0"/>
  </r>
  <r>
    <x v="2616"/>
    <x v="12"/>
    <x v="1"/>
    <x v="0"/>
    <x v="2"/>
    <s v="2025-02-24"/>
    <s v="2025-03-02"/>
    <n v="6"/>
    <n v="8795.75"/>
    <x v="0"/>
    <s v="Discharged"/>
    <x v="2"/>
    <x v="0"/>
  </r>
  <r>
    <x v="2617"/>
    <x v="1"/>
    <x v="1"/>
    <x v="0"/>
    <x v="2"/>
    <s v="2025-01-14"/>
    <s v="2025-01-20"/>
    <n v="6"/>
    <n v="5669.57"/>
    <x v="0"/>
    <s v="Discharged"/>
    <x v="0"/>
    <x v="0"/>
  </r>
  <r>
    <x v="2618"/>
    <x v="54"/>
    <x v="0"/>
    <x v="3"/>
    <x v="1"/>
    <s v="2025-09-29"/>
    <s v="2025-10-06"/>
    <n v="7"/>
    <n v="14682.29"/>
    <x v="0"/>
    <s v="Discharged"/>
    <x v="2"/>
    <x v="0"/>
  </r>
  <r>
    <x v="2619"/>
    <x v="57"/>
    <x v="1"/>
    <x v="4"/>
    <x v="2"/>
    <s v="2025-07-23"/>
    <s v="2025-07-31"/>
    <n v="8"/>
    <n v="11615.99"/>
    <x v="0"/>
    <s v="Discharged"/>
    <x v="3"/>
    <x v="1"/>
  </r>
  <r>
    <x v="2620"/>
    <x v="43"/>
    <x v="0"/>
    <x v="5"/>
    <x v="2"/>
    <s v="2025-08-27"/>
    <s v="2025-08-30"/>
    <n v="3"/>
    <n v="7152.92"/>
    <x v="1"/>
    <s v="Discharged"/>
    <x v="2"/>
    <x v="0"/>
  </r>
  <r>
    <x v="2621"/>
    <x v="60"/>
    <x v="0"/>
    <x v="0"/>
    <x v="2"/>
    <s v="2025-07-16"/>
    <s v="2025-07-19"/>
    <n v="3"/>
    <n v="5895.55"/>
    <x v="0"/>
    <s v="Discharged"/>
    <x v="3"/>
    <x v="0"/>
  </r>
  <r>
    <x v="2622"/>
    <x v="52"/>
    <x v="0"/>
    <x v="1"/>
    <x v="2"/>
    <s v="2025-03-15"/>
    <s v="2025-03-20"/>
    <n v="5"/>
    <n v="5860.32"/>
    <x v="0"/>
    <s v="Discharged"/>
    <x v="4"/>
    <x v="0"/>
  </r>
  <r>
    <x v="2623"/>
    <x v="2"/>
    <x v="1"/>
    <x v="3"/>
    <x v="0"/>
    <s v="2025-12-01"/>
    <s v="2025-12-05"/>
    <n v="4"/>
    <n v="13905.63"/>
    <x v="1"/>
    <s v="Discharged"/>
    <x v="1"/>
    <x v="0"/>
  </r>
  <r>
    <x v="2624"/>
    <x v="61"/>
    <x v="1"/>
    <x v="3"/>
    <x v="2"/>
    <s v="2025-09-02"/>
    <s v="2025-09-12"/>
    <n v="10"/>
    <n v="15863.58"/>
    <x v="1"/>
    <s v="Discharged"/>
    <x v="4"/>
    <x v="1"/>
  </r>
  <r>
    <x v="2625"/>
    <x v="18"/>
    <x v="1"/>
    <x v="0"/>
    <x v="0"/>
    <s v="2025-06-02"/>
    <s v="2025-06-04"/>
    <n v="2"/>
    <n v="6140.51"/>
    <x v="0"/>
    <s v="Discharged"/>
    <x v="3"/>
    <x v="0"/>
  </r>
  <r>
    <x v="2626"/>
    <x v="9"/>
    <x v="0"/>
    <x v="1"/>
    <x v="2"/>
    <s v="2025-07-26"/>
    <s v="2025-08-02"/>
    <n v="7"/>
    <n v="8049.72"/>
    <x v="0"/>
    <s v="Discharged"/>
    <x v="4"/>
    <x v="0"/>
  </r>
  <r>
    <x v="2627"/>
    <x v="19"/>
    <x v="0"/>
    <x v="2"/>
    <x v="2"/>
    <s v="2025-03-31"/>
    <s v="2025-04-06"/>
    <n v="6"/>
    <n v="11441.84"/>
    <x v="0"/>
    <s v="Discharged"/>
    <x v="2"/>
    <x v="0"/>
  </r>
  <r>
    <x v="2628"/>
    <x v="3"/>
    <x v="0"/>
    <x v="0"/>
    <x v="2"/>
    <s v="2025-02-23"/>
    <s v="2025-02-26"/>
    <n v="3"/>
    <n v="4996.88"/>
    <x v="0"/>
    <s v="Discharged"/>
    <x v="0"/>
    <x v="0"/>
  </r>
  <r>
    <x v="2629"/>
    <x v="46"/>
    <x v="1"/>
    <x v="5"/>
    <x v="2"/>
    <s v="2025-03-02"/>
    <s v="2025-03-05"/>
    <n v="3"/>
    <n v="8619.08"/>
    <x v="1"/>
    <s v="Discharged"/>
    <x v="1"/>
    <x v="0"/>
  </r>
  <r>
    <x v="2630"/>
    <x v="47"/>
    <x v="0"/>
    <x v="3"/>
    <x v="2"/>
    <s v="2025-09-07"/>
    <s v="2025-09-12"/>
    <n v="5"/>
    <n v="12392.86"/>
    <x v="0"/>
    <s v="Discharged"/>
    <x v="4"/>
    <x v="0"/>
  </r>
  <r>
    <x v="2631"/>
    <x v="21"/>
    <x v="0"/>
    <x v="1"/>
    <x v="2"/>
    <s v="2025-07-30"/>
    <s v="2025-08-03"/>
    <n v="4"/>
    <n v="2519.94"/>
    <x v="0"/>
    <s v="Discharged"/>
    <x v="4"/>
    <x v="0"/>
  </r>
  <r>
    <x v="2632"/>
    <x v="46"/>
    <x v="0"/>
    <x v="0"/>
    <x v="1"/>
    <s v="2025-10-26"/>
    <s v="2025-10-31"/>
    <n v="5"/>
    <n v="7021.67"/>
    <x v="1"/>
    <s v="Discharged"/>
    <x v="1"/>
    <x v="0"/>
  </r>
  <r>
    <x v="2633"/>
    <x v="0"/>
    <x v="1"/>
    <x v="0"/>
    <x v="0"/>
    <s v="2025-01-19"/>
    <s v="2025-01-26"/>
    <n v="7"/>
    <n v="11313.26"/>
    <x v="1"/>
    <s v="Discharged"/>
    <x v="0"/>
    <x v="0"/>
  </r>
  <r>
    <x v="2634"/>
    <x v="26"/>
    <x v="1"/>
    <x v="4"/>
    <x v="0"/>
    <s v="2025-07-09"/>
    <s v="2025-07-16"/>
    <n v="7"/>
    <n v="11573.91"/>
    <x v="1"/>
    <s v="Discharged"/>
    <x v="3"/>
    <x v="0"/>
  </r>
  <r>
    <x v="2635"/>
    <x v="14"/>
    <x v="0"/>
    <x v="1"/>
    <x v="0"/>
    <s v="2025-11-07"/>
    <s v="2025-11-10"/>
    <n v="3"/>
    <n v="3143.32"/>
    <x v="0"/>
    <s v="Discharged"/>
    <x v="0"/>
    <x v="0"/>
  </r>
  <r>
    <x v="2636"/>
    <x v="4"/>
    <x v="1"/>
    <x v="1"/>
    <x v="0"/>
    <s v="2025-11-23"/>
    <s v="2025-11-26"/>
    <n v="3"/>
    <n v="6725.79"/>
    <x v="0"/>
    <s v="Discharged"/>
    <x v="2"/>
    <x v="0"/>
  </r>
  <r>
    <x v="2637"/>
    <x v="33"/>
    <x v="0"/>
    <x v="5"/>
    <x v="1"/>
    <s v="2025-03-18"/>
    <s v="2025-03-28"/>
    <n v="10"/>
    <n v="13291.91"/>
    <x v="0"/>
    <s v="Other"/>
    <x v="2"/>
    <x v="1"/>
  </r>
  <r>
    <x v="2638"/>
    <x v="66"/>
    <x v="2"/>
    <x v="0"/>
    <x v="2"/>
    <s v="2025-09-06"/>
    <s v="2025-09-07"/>
    <n v="1"/>
    <n v="3606.85"/>
    <x v="0"/>
    <s v="Discharged"/>
    <x v="1"/>
    <x v="0"/>
  </r>
  <r>
    <x v="2639"/>
    <x v="35"/>
    <x v="0"/>
    <x v="0"/>
    <x v="0"/>
    <s v="2025-10-08"/>
    <s v="2025-10-10"/>
    <n v="2"/>
    <n v="3895.07"/>
    <x v="1"/>
    <s v="Discharged"/>
    <x v="4"/>
    <x v="0"/>
  </r>
  <r>
    <x v="2640"/>
    <x v="22"/>
    <x v="1"/>
    <x v="4"/>
    <x v="0"/>
    <s v="2025-01-07"/>
    <s v="2025-01-13"/>
    <n v="6"/>
    <n v="11959.88"/>
    <x v="0"/>
    <s v="Discharged"/>
    <x v="3"/>
    <x v="0"/>
  </r>
  <r>
    <x v="2641"/>
    <x v="60"/>
    <x v="0"/>
    <x v="1"/>
    <x v="2"/>
    <s v="2025-12-24"/>
    <s v="2025-12-29"/>
    <n v="5"/>
    <n v="5371.6"/>
    <x v="0"/>
    <s v="Discharged"/>
    <x v="3"/>
    <x v="0"/>
  </r>
  <r>
    <x v="2642"/>
    <x v="17"/>
    <x v="1"/>
    <x v="1"/>
    <x v="2"/>
    <s v="2025-11-24"/>
    <s v="2025-11-30"/>
    <n v="6"/>
    <n v="6822.54"/>
    <x v="0"/>
    <s v="Discharged"/>
    <x v="2"/>
    <x v="0"/>
  </r>
  <r>
    <x v="2643"/>
    <x v="39"/>
    <x v="0"/>
    <x v="5"/>
    <x v="2"/>
    <s v="2025-01-21"/>
    <s v="2025-01-26"/>
    <n v="5"/>
    <n v="10266.780000000001"/>
    <x v="0"/>
    <s v="Discharged"/>
    <x v="4"/>
    <x v="0"/>
  </r>
  <r>
    <x v="2644"/>
    <x v="19"/>
    <x v="0"/>
    <x v="0"/>
    <x v="2"/>
    <s v="2025-11-26"/>
    <s v="2025-12-02"/>
    <n v="6"/>
    <n v="4097.05"/>
    <x v="0"/>
    <s v="Discharged"/>
    <x v="2"/>
    <x v="0"/>
  </r>
  <r>
    <x v="2645"/>
    <x v="62"/>
    <x v="0"/>
    <x v="4"/>
    <x v="1"/>
    <s v="2025-06-18"/>
    <s v="2025-06-22"/>
    <n v="4"/>
    <n v="9330.67"/>
    <x v="0"/>
    <s v="Discharged"/>
    <x v="2"/>
    <x v="0"/>
  </r>
  <r>
    <x v="2646"/>
    <x v="49"/>
    <x v="0"/>
    <x v="5"/>
    <x v="2"/>
    <s v="2025-10-08"/>
    <s v="2025-10-14"/>
    <n v="6"/>
    <n v="8656.26"/>
    <x v="0"/>
    <s v="Discharged"/>
    <x v="0"/>
    <x v="0"/>
  </r>
  <r>
    <x v="2647"/>
    <x v="37"/>
    <x v="0"/>
    <x v="5"/>
    <x v="2"/>
    <s v="2025-05-03"/>
    <s v="2025-05-09"/>
    <n v="6"/>
    <n v="10793.56"/>
    <x v="0"/>
    <s v="Discharged"/>
    <x v="1"/>
    <x v="0"/>
  </r>
  <r>
    <x v="2648"/>
    <x v="57"/>
    <x v="1"/>
    <x v="2"/>
    <x v="2"/>
    <s v="2025-03-23"/>
    <s v="2025-04-02"/>
    <n v="10"/>
    <n v="12388.61"/>
    <x v="0"/>
    <s v="Discharged"/>
    <x v="3"/>
    <x v="1"/>
  </r>
  <r>
    <x v="2649"/>
    <x v="40"/>
    <x v="0"/>
    <x v="2"/>
    <x v="2"/>
    <s v="2025-01-23"/>
    <s v="2025-01-30"/>
    <n v="7"/>
    <n v="13124.19"/>
    <x v="0"/>
    <s v="Discharged"/>
    <x v="1"/>
    <x v="0"/>
  </r>
  <r>
    <x v="2650"/>
    <x v="24"/>
    <x v="0"/>
    <x v="1"/>
    <x v="1"/>
    <s v="2025-08-18"/>
    <s v="2025-08-22"/>
    <n v="4"/>
    <n v="5736.03"/>
    <x v="0"/>
    <s v="Other"/>
    <x v="2"/>
    <x v="0"/>
  </r>
  <r>
    <x v="2651"/>
    <x v="21"/>
    <x v="0"/>
    <x v="1"/>
    <x v="2"/>
    <s v="2025-07-27"/>
    <s v="2025-07-31"/>
    <n v="4"/>
    <n v="6532.76"/>
    <x v="0"/>
    <s v="Discharged"/>
    <x v="4"/>
    <x v="0"/>
  </r>
  <r>
    <x v="2652"/>
    <x v="64"/>
    <x v="1"/>
    <x v="4"/>
    <x v="1"/>
    <s v="2025-05-01"/>
    <s v="2025-05-07"/>
    <n v="6"/>
    <n v="12445.76"/>
    <x v="0"/>
    <s v="Discharged"/>
    <x v="4"/>
    <x v="0"/>
  </r>
  <r>
    <x v="2653"/>
    <x v="24"/>
    <x v="1"/>
    <x v="1"/>
    <x v="1"/>
    <s v="2025-07-18"/>
    <s v="2025-07-24"/>
    <n v="6"/>
    <n v="6238.12"/>
    <x v="0"/>
    <s v="Discharged"/>
    <x v="2"/>
    <x v="0"/>
  </r>
  <r>
    <x v="2654"/>
    <x v="33"/>
    <x v="0"/>
    <x v="3"/>
    <x v="0"/>
    <s v="2025-06-25"/>
    <s v="2025-07-03"/>
    <n v="8"/>
    <n v="15020.33"/>
    <x v="0"/>
    <s v="Discharged"/>
    <x v="2"/>
    <x v="1"/>
  </r>
  <r>
    <x v="2655"/>
    <x v="2"/>
    <x v="0"/>
    <x v="5"/>
    <x v="0"/>
    <s v="2025-05-30"/>
    <s v="2025-06-05"/>
    <n v="6"/>
    <n v="8924.27"/>
    <x v="0"/>
    <s v="Discharged"/>
    <x v="1"/>
    <x v="0"/>
  </r>
  <r>
    <x v="2656"/>
    <x v="51"/>
    <x v="0"/>
    <x v="1"/>
    <x v="0"/>
    <s v="2025-02-07"/>
    <s v="2025-02-11"/>
    <n v="4"/>
    <n v="4834.5"/>
    <x v="1"/>
    <s v="Discharged"/>
    <x v="1"/>
    <x v="0"/>
  </r>
  <r>
    <x v="2657"/>
    <x v="30"/>
    <x v="0"/>
    <x v="1"/>
    <x v="2"/>
    <s v="2025-07-01"/>
    <s v="2025-07-04"/>
    <n v="3"/>
    <n v="4834.93"/>
    <x v="0"/>
    <s v="Discharged"/>
    <x v="0"/>
    <x v="0"/>
  </r>
  <r>
    <x v="2658"/>
    <x v="32"/>
    <x v="0"/>
    <x v="1"/>
    <x v="1"/>
    <s v="2025-06-02"/>
    <s v="2025-06-07"/>
    <n v="5"/>
    <n v="5007.08"/>
    <x v="1"/>
    <s v="Discharged"/>
    <x v="3"/>
    <x v="0"/>
  </r>
  <r>
    <x v="2659"/>
    <x v="7"/>
    <x v="0"/>
    <x v="3"/>
    <x v="2"/>
    <s v="2025-12-28"/>
    <s v="2025-12-31"/>
    <n v="3"/>
    <n v="6929.26"/>
    <x v="0"/>
    <s v="Discharged"/>
    <x v="4"/>
    <x v="0"/>
  </r>
  <r>
    <x v="2660"/>
    <x v="23"/>
    <x v="1"/>
    <x v="1"/>
    <x v="2"/>
    <s v="2025-04-01"/>
    <s v="2025-04-12"/>
    <n v="11"/>
    <n v="10467.93"/>
    <x v="0"/>
    <s v="Discharged"/>
    <x v="3"/>
    <x v="1"/>
  </r>
  <r>
    <x v="2661"/>
    <x v="20"/>
    <x v="1"/>
    <x v="0"/>
    <x v="0"/>
    <s v="2025-11-02"/>
    <s v="2025-11-10"/>
    <n v="8"/>
    <n v="12312.11"/>
    <x v="0"/>
    <s v="Discharged"/>
    <x v="0"/>
    <x v="1"/>
  </r>
  <r>
    <x v="2662"/>
    <x v="18"/>
    <x v="0"/>
    <x v="5"/>
    <x v="2"/>
    <s v="2025-02-27"/>
    <s v="2025-03-07"/>
    <n v="8"/>
    <n v="12511.29"/>
    <x v="0"/>
    <s v="Discharged"/>
    <x v="3"/>
    <x v="1"/>
  </r>
  <r>
    <x v="2663"/>
    <x v="1"/>
    <x v="1"/>
    <x v="0"/>
    <x v="1"/>
    <s v="2025-06-11"/>
    <s v="2025-06-16"/>
    <n v="5"/>
    <n v="7321.41"/>
    <x v="0"/>
    <s v="Discharged"/>
    <x v="0"/>
    <x v="0"/>
  </r>
  <r>
    <x v="2664"/>
    <x v="22"/>
    <x v="0"/>
    <x v="3"/>
    <x v="0"/>
    <s v="2025-02-28"/>
    <s v="2025-03-06"/>
    <n v="6"/>
    <n v="12040.17"/>
    <x v="0"/>
    <s v="Discharged"/>
    <x v="3"/>
    <x v="0"/>
  </r>
  <r>
    <x v="2665"/>
    <x v="54"/>
    <x v="1"/>
    <x v="0"/>
    <x v="2"/>
    <s v="2025-05-20"/>
    <s v="2025-05-25"/>
    <n v="5"/>
    <n v="7760.46"/>
    <x v="0"/>
    <s v="Discharged"/>
    <x v="2"/>
    <x v="0"/>
  </r>
  <r>
    <x v="2666"/>
    <x v="28"/>
    <x v="1"/>
    <x v="0"/>
    <x v="0"/>
    <s v="2025-01-15"/>
    <s v="2025-01-18"/>
    <n v="3"/>
    <n v="5543.75"/>
    <x v="1"/>
    <s v="Discharged"/>
    <x v="4"/>
    <x v="0"/>
  </r>
  <r>
    <x v="2667"/>
    <x v="48"/>
    <x v="1"/>
    <x v="2"/>
    <x v="0"/>
    <s v="2025-04-08"/>
    <s v="2025-04-13"/>
    <n v="5"/>
    <n v="12584.75"/>
    <x v="0"/>
    <s v="Discharged"/>
    <x v="0"/>
    <x v="0"/>
  </r>
  <r>
    <x v="2668"/>
    <x v="36"/>
    <x v="1"/>
    <x v="1"/>
    <x v="2"/>
    <s v="2025-07-02"/>
    <s v="2025-07-09"/>
    <n v="7"/>
    <n v="5212.0600000000004"/>
    <x v="0"/>
    <s v="Discharged"/>
    <x v="1"/>
    <x v="0"/>
  </r>
  <r>
    <x v="2669"/>
    <x v="43"/>
    <x v="0"/>
    <x v="2"/>
    <x v="2"/>
    <s v="2025-05-31"/>
    <s v="2025-06-06"/>
    <n v="6"/>
    <n v="7337.32"/>
    <x v="0"/>
    <s v="Discharged"/>
    <x v="2"/>
    <x v="0"/>
  </r>
  <r>
    <x v="2670"/>
    <x v="27"/>
    <x v="1"/>
    <x v="0"/>
    <x v="0"/>
    <s v="2025-05-28"/>
    <s v="2025-06-01"/>
    <n v="4"/>
    <n v="7866.28"/>
    <x v="1"/>
    <s v="Discharged"/>
    <x v="1"/>
    <x v="0"/>
  </r>
  <r>
    <x v="2671"/>
    <x v="14"/>
    <x v="1"/>
    <x v="3"/>
    <x v="1"/>
    <s v="2025-04-11"/>
    <s v="2025-04-19"/>
    <n v="8"/>
    <n v="13465.69"/>
    <x v="0"/>
    <s v="Discharged"/>
    <x v="0"/>
    <x v="1"/>
  </r>
  <r>
    <x v="2672"/>
    <x v="3"/>
    <x v="1"/>
    <x v="0"/>
    <x v="2"/>
    <s v="2025-05-26"/>
    <s v="2025-05-30"/>
    <n v="4"/>
    <n v="8346.58"/>
    <x v="0"/>
    <s v="Discharged"/>
    <x v="0"/>
    <x v="0"/>
  </r>
  <r>
    <x v="2673"/>
    <x v="45"/>
    <x v="1"/>
    <x v="2"/>
    <x v="0"/>
    <s v="2025-02-23"/>
    <s v="2025-02-28"/>
    <n v="5"/>
    <n v="10842.07"/>
    <x v="0"/>
    <s v="Discharged"/>
    <x v="1"/>
    <x v="0"/>
  </r>
  <r>
    <x v="2674"/>
    <x v="69"/>
    <x v="1"/>
    <x v="5"/>
    <x v="2"/>
    <s v="2025-04-05"/>
    <s v="2025-04-10"/>
    <n v="5"/>
    <n v="7588.74"/>
    <x v="1"/>
    <s v="Discharged"/>
    <x v="3"/>
    <x v="0"/>
  </r>
  <r>
    <x v="2675"/>
    <x v="54"/>
    <x v="1"/>
    <x v="5"/>
    <x v="2"/>
    <s v="2025-04-21"/>
    <s v="2025-04-28"/>
    <n v="7"/>
    <n v="11336.72"/>
    <x v="0"/>
    <s v="Discharged"/>
    <x v="2"/>
    <x v="0"/>
  </r>
  <r>
    <x v="2676"/>
    <x v="49"/>
    <x v="1"/>
    <x v="0"/>
    <x v="0"/>
    <s v="2025-01-01"/>
    <s v="2025-01-05"/>
    <n v="4"/>
    <n v="7198.07"/>
    <x v="1"/>
    <s v="Discharged"/>
    <x v="0"/>
    <x v="0"/>
  </r>
  <r>
    <x v="2677"/>
    <x v="50"/>
    <x v="0"/>
    <x v="0"/>
    <x v="2"/>
    <s v="2025-08-12"/>
    <s v="2025-08-18"/>
    <n v="6"/>
    <n v="6146.24"/>
    <x v="0"/>
    <s v="Discharged"/>
    <x v="0"/>
    <x v="0"/>
  </r>
  <r>
    <x v="2678"/>
    <x v="18"/>
    <x v="0"/>
    <x v="3"/>
    <x v="1"/>
    <s v="2025-07-04"/>
    <s v="2025-07-10"/>
    <n v="6"/>
    <n v="13058.61"/>
    <x v="0"/>
    <s v="Transferred"/>
    <x v="3"/>
    <x v="0"/>
  </r>
  <r>
    <x v="2679"/>
    <x v="48"/>
    <x v="0"/>
    <x v="1"/>
    <x v="0"/>
    <s v="2025-05-05"/>
    <s v="2025-05-06"/>
    <n v="1"/>
    <n v="3702.73"/>
    <x v="1"/>
    <s v="Discharged"/>
    <x v="0"/>
    <x v="0"/>
  </r>
  <r>
    <x v="2680"/>
    <x v="23"/>
    <x v="0"/>
    <x v="4"/>
    <x v="2"/>
    <s v="2025-08-11"/>
    <s v="2025-08-16"/>
    <n v="5"/>
    <n v="10200.41"/>
    <x v="1"/>
    <s v="Discharged"/>
    <x v="3"/>
    <x v="0"/>
  </r>
  <r>
    <x v="2681"/>
    <x v="40"/>
    <x v="1"/>
    <x v="2"/>
    <x v="2"/>
    <s v="2025-04-01"/>
    <s v="2025-04-08"/>
    <n v="7"/>
    <n v="12277.76"/>
    <x v="0"/>
    <s v="Discharged"/>
    <x v="1"/>
    <x v="0"/>
  </r>
  <r>
    <x v="2682"/>
    <x v="63"/>
    <x v="0"/>
    <x v="2"/>
    <x v="2"/>
    <s v="2025-09-15"/>
    <s v="2025-09-19"/>
    <n v="4"/>
    <n v="9887.18"/>
    <x v="0"/>
    <s v="Discharged"/>
    <x v="3"/>
    <x v="0"/>
  </r>
  <r>
    <x v="2683"/>
    <x v="0"/>
    <x v="1"/>
    <x v="4"/>
    <x v="0"/>
    <s v="2025-06-21"/>
    <s v="2025-06-24"/>
    <n v="3"/>
    <n v="9096.5499999999993"/>
    <x v="1"/>
    <s v="Discharged"/>
    <x v="0"/>
    <x v="0"/>
  </r>
  <r>
    <x v="2684"/>
    <x v="36"/>
    <x v="1"/>
    <x v="0"/>
    <x v="1"/>
    <s v="2025-05-24"/>
    <s v="2025-05-30"/>
    <n v="6"/>
    <n v="10254.86"/>
    <x v="0"/>
    <s v="Discharged"/>
    <x v="1"/>
    <x v="0"/>
  </r>
  <r>
    <x v="2685"/>
    <x v="53"/>
    <x v="0"/>
    <x v="2"/>
    <x v="2"/>
    <s v="2025-01-18"/>
    <s v="2025-01-24"/>
    <n v="6"/>
    <n v="11320.01"/>
    <x v="0"/>
    <s v="Discharged"/>
    <x v="4"/>
    <x v="0"/>
  </r>
  <r>
    <x v="2686"/>
    <x v="4"/>
    <x v="0"/>
    <x v="2"/>
    <x v="1"/>
    <s v="2025-10-25"/>
    <s v="2025-10-31"/>
    <n v="6"/>
    <n v="11295.36"/>
    <x v="0"/>
    <s v="Discharged"/>
    <x v="2"/>
    <x v="0"/>
  </r>
  <r>
    <x v="2687"/>
    <x v="15"/>
    <x v="1"/>
    <x v="1"/>
    <x v="1"/>
    <s v="2025-11-08"/>
    <s v="2025-11-11"/>
    <n v="3"/>
    <n v="3976.27"/>
    <x v="1"/>
    <s v="Discharged"/>
    <x v="1"/>
    <x v="0"/>
  </r>
  <r>
    <x v="2688"/>
    <x v="25"/>
    <x v="1"/>
    <x v="4"/>
    <x v="0"/>
    <s v="2025-10-23"/>
    <s v="2025-10-28"/>
    <n v="5"/>
    <n v="8226.1299999999992"/>
    <x v="0"/>
    <s v="Discharged"/>
    <x v="2"/>
    <x v="0"/>
  </r>
  <r>
    <x v="2689"/>
    <x v="47"/>
    <x v="0"/>
    <x v="0"/>
    <x v="2"/>
    <s v="2025-11-10"/>
    <s v="2025-11-13"/>
    <n v="3"/>
    <n v="3623.09"/>
    <x v="0"/>
    <s v="Discharged"/>
    <x v="4"/>
    <x v="0"/>
  </r>
  <r>
    <x v="2690"/>
    <x v="21"/>
    <x v="1"/>
    <x v="5"/>
    <x v="0"/>
    <s v="2025-04-07"/>
    <s v="2025-04-13"/>
    <n v="6"/>
    <n v="11328.58"/>
    <x v="1"/>
    <s v="Discharged"/>
    <x v="4"/>
    <x v="0"/>
  </r>
  <r>
    <x v="2691"/>
    <x v="4"/>
    <x v="0"/>
    <x v="1"/>
    <x v="0"/>
    <s v="2025-10-30"/>
    <s v="2025-11-04"/>
    <n v="5"/>
    <n v="5959.24"/>
    <x v="0"/>
    <s v="Discharged"/>
    <x v="2"/>
    <x v="0"/>
  </r>
  <r>
    <x v="2692"/>
    <x v="17"/>
    <x v="1"/>
    <x v="5"/>
    <x v="2"/>
    <s v="2025-07-19"/>
    <s v="2025-07-30"/>
    <n v="11"/>
    <n v="13406.05"/>
    <x v="0"/>
    <s v="Discharged"/>
    <x v="2"/>
    <x v="1"/>
  </r>
  <r>
    <x v="2693"/>
    <x v="6"/>
    <x v="2"/>
    <x v="2"/>
    <x v="2"/>
    <s v="2025-09-28"/>
    <s v="2025-10-05"/>
    <n v="7"/>
    <n v="13728.94"/>
    <x v="1"/>
    <s v="Discharged"/>
    <x v="3"/>
    <x v="0"/>
  </r>
  <r>
    <x v="2694"/>
    <x v="35"/>
    <x v="1"/>
    <x v="0"/>
    <x v="2"/>
    <s v="2025-12-15"/>
    <s v="2025-12-19"/>
    <n v="4"/>
    <n v="8061.39"/>
    <x v="0"/>
    <s v="Discharged"/>
    <x v="4"/>
    <x v="0"/>
  </r>
  <r>
    <x v="2695"/>
    <x v="23"/>
    <x v="0"/>
    <x v="0"/>
    <x v="0"/>
    <s v="2025-01-08"/>
    <s v="2025-01-12"/>
    <n v="4"/>
    <n v="8095.05"/>
    <x v="0"/>
    <s v="Discharged"/>
    <x v="3"/>
    <x v="0"/>
  </r>
  <r>
    <x v="2696"/>
    <x v="60"/>
    <x v="0"/>
    <x v="3"/>
    <x v="2"/>
    <s v="2025-08-22"/>
    <s v="2025-08-29"/>
    <n v="7"/>
    <n v="12921.79"/>
    <x v="1"/>
    <s v="Discharged"/>
    <x v="3"/>
    <x v="0"/>
  </r>
  <r>
    <x v="2697"/>
    <x v="37"/>
    <x v="1"/>
    <x v="1"/>
    <x v="0"/>
    <s v="2025-07-05"/>
    <s v="2025-07-07"/>
    <n v="2"/>
    <n v="4504.67"/>
    <x v="0"/>
    <s v="Discharged"/>
    <x v="1"/>
    <x v="0"/>
  </r>
  <r>
    <x v="2698"/>
    <x v="68"/>
    <x v="1"/>
    <x v="1"/>
    <x v="2"/>
    <s v="2025-02-25"/>
    <s v="2025-03-01"/>
    <n v="4"/>
    <n v="5906.21"/>
    <x v="1"/>
    <s v="Discharged"/>
    <x v="3"/>
    <x v="0"/>
  </r>
  <r>
    <x v="2699"/>
    <x v="31"/>
    <x v="0"/>
    <x v="2"/>
    <x v="2"/>
    <s v="2025-01-29"/>
    <s v="2025-02-09"/>
    <n v="11"/>
    <n v="13856.45"/>
    <x v="0"/>
    <s v="Discharged"/>
    <x v="2"/>
    <x v="1"/>
  </r>
  <r>
    <x v="2700"/>
    <x v="37"/>
    <x v="1"/>
    <x v="0"/>
    <x v="2"/>
    <s v="2025-11-04"/>
    <m/>
    <n v="4"/>
    <n v="7679.94"/>
    <x v="0"/>
    <s v="Discharged"/>
    <x v="1"/>
    <x v="0"/>
  </r>
  <r>
    <x v="2701"/>
    <x v="15"/>
    <x v="0"/>
    <x v="0"/>
    <x v="0"/>
    <s v="2025-09-23"/>
    <s v="2025-09-27"/>
    <n v="4"/>
    <n v="7294.93"/>
    <x v="0"/>
    <s v="Discharged"/>
    <x v="1"/>
    <x v="0"/>
  </r>
  <r>
    <x v="2702"/>
    <x v="70"/>
    <x v="1"/>
    <x v="0"/>
    <x v="2"/>
    <s v="2025-08-13"/>
    <s v="2025-08-17"/>
    <n v="4"/>
    <n v="5420.06"/>
    <x v="0"/>
    <s v="Transferred"/>
    <x v="1"/>
    <x v="0"/>
  </r>
  <r>
    <x v="2703"/>
    <x v="24"/>
    <x v="0"/>
    <x v="4"/>
    <x v="2"/>
    <s v="2025-11-12"/>
    <s v="2025-11-19"/>
    <n v="7"/>
    <n v="14409.09"/>
    <x v="1"/>
    <s v="Discharged"/>
    <x v="2"/>
    <x v="0"/>
  </r>
  <r>
    <x v="2704"/>
    <x v="28"/>
    <x v="0"/>
    <x v="3"/>
    <x v="1"/>
    <s v="2025-01-04"/>
    <s v="2025-01-09"/>
    <n v="5"/>
    <n v="11652.59"/>
    <x v="0"/>
    <s v="Transferred"/>
    <x v="4"/>
    <x v="0"/>
  </r>
  <r>
    <x v="2705"/>
    <x v="0"/>
    <x v="1"/>
    <x v="1"/>
    <x v="1"/>
    <s v="2025-06-26"/>
    <s v="2025-07-01"/>
    <n v="5"/>
    <n v="5109.3599999999997"/>
    <x v="0"/>
    <s v="Discharged"/>
    <x v="0"/>
    <x v="0"/>
  </r>
  <r>
    <x v="2706"/>
    <x v="66"/>
    <x v="0"/>
    <x v="2"/>
    <x v="0"/>
    <s v="2025-08-28"/>
    <s v="2025-09-02"/>
    <n v="5"/>
    <n v="11083.63"/>
    <x v="0"/>
    <s v="Discharged"/>
    <x v="1"/>
    <x v="0"/>
  </r>
  <r>
    <x v="2707"/>
    <x v="48"/>
    <x v="0"/>
    <x v="0"/>
    <x v="1"/>
    <s v="2025-11-25"/>
    <s v="2025-11-29"/>
    <n v="4"/>
    <n v="4740.45"/>
    <x v="0"/>
    <s v="Discharged"/>
    <x v="0"/>
    <x v="0"/>
  </r>
  <r>
    <x v="2708"/>
    <x v="14"/>
    <x v="1"/>
    <x v="5"/>
    <x v="2"/>
    <s v="2025-08-05"/>
    <s v="2025-08-12"/>
    <n v="7"/>
    <n v="8716.61"/>
    <x v="0"/>
    <s v="Discharged"/>
    <x v="0"/>
    <x v="0"/>
  </r>
  <r>
    <x v="2709"/>
    <x v="15"/>
    <x v="1"/>
    <x v="2"/>
    <x v="0"/>
    <s v="2025-10-11"/>
    <s v="2025-10-17"/>
    <n v="6"/>
    <n v="9896.31"/>
    <x v="0"/>
    <s v="Discharged"/>
    <x v="1"/>
    <x v="0"/>
  </r>
  <r>
    <x v="2710"/>
    <x v="53"/>
    <x v="1"/>
    <x v="2"/>
    <x v="2"/>
    <s v="2025-02-17"/>
    <s v="2025-02-22"/>
    <n v="5"/>
    <n v="9208.92"/>
    <x v="0"/>
    <s v="Discharged"/>
    <x v="4"/>
    <x v="0"/>
  </r>
  <r>
    <x v="2711"/>
    <x v="0"/>
    <x v="0"/>
    <x v="3"/>
    <x v="2"/>
    <s v="2025-05-26"/>
    <s v="2025-05-31"/>
    <n v="5"/>
    <n v="11206.68"/>
    <x v="0"/>
    <s v="Discharged"/>
    <x v="0"/>
    <x v="0"/>
  </r>
  <r>
    <x v="2712"/>
    <x v="23"/>
    <x v="1"/>
    <x v="5"/>
    <x v="2"/>
    <s v="2025-02-03"/>
    <s v="2025-02-09"/>
    <n v="6"/>
    <n v="11232.32"/>
    <x v="0"/>
    <s v="Discharged"/>
    <x v="3"/>
    <x v="0"/>
  </r>
  <r>
    <x v="2713"/>
    <x v="11"/>
    <x v="1"/>
    <x v="4"/>
    <x v="1"/>
    <s v="2025-09-18"/>
    <s v="2025-10-02"/>
    <n v="14"/>
    <n v="16345.38"/>
    <x v="0"/>
    <s v="Discharged"/>
    <x v="2"/>
    <x v="1"/>
  </r>
  <r>
    <x v="2714"/>
    <x v="63"/>
    <x v="1"/>
    <x v="3"/>
    <x v="2"/>
    <s v="2025-06-07"/>
    <s v="2025-06-17"/>
    <n v="10"/>
    <n v="15745.14"/>
    <x v="0"/>
    <s v="Discharged"/>
    <x v="3"/>
    <x v="1"/>
  </r>
  <r>
    <x v="2715"/>
    <x v="9"/>
    <x v="1"/>
    <x v="2"/>
    <x v="0"/>
    <s v="2025-02-11"/>
    <s v="2025-02-17"/>
    <n v="6"/>
    <n v="9829.65"/>
    <x v="0"/>
    <s v="Discharged"/>
    <x v="4"/>
    <x v="0"/>
  </r>
  <r>
    <x v="2716"/>
    <x v="30"/>
    <x v="1"/>
    <x v="3"/>
    <x v="2"/>
    <s v="2025-09-21"/>
    <s v="2025-09-28"/>
    <n v="7"/>
    <n v="11960.72"/>
    <x v="0"/>
    <s v="Discharged"/>
    <x v="0"/>
    <x v="0"/>
  </r>
  <r>
    <x v="2717"/>
    <x v="41"/>
    <x v="1"/>
    <x v="5"/>
    <x v="2"/>
    <s v="2025-04-19"/>
    <s v="2025-04-25"/>
    <n v="6"/>
    <n v="8697.44"/>
    <x v="1"/>
    <s v="Discharged"/>
    <x v="1"/>
    <x v="0"/>
  </r>
  <r>
    <x v="2718"/>
    <x v="59"/>
    <x v="1"/>
    <x v="5"/>
    <x v="2"/>
    <s v="2025-04-18"/>
    <s v="2025-04-25"/>
    <n v="7"/>
    <n v="9589.9"/>
    <x v="0"/>
    <s v="Discharged"/>
    <x v="3"/>
    <x v="0"/>
  </r>
  <r>
    <x v="2719"/>
    <x v="4"/>
    <x v="1"/>
    <x v="4"/>
    <x v="2"/>
    <s v="2025-04-25"/>
    <s v="2025-05-02"/>
    <n v="7"/>
    <n v="13978"/>
    <x v="1"/>
    <s v="Discharged"/>
    <x v="2"/>
    <x v="0"/>
  </r>
  <r>
    <x v="2720"/>
    <x v="59"/>
    <x v="1"/>
    <x v="4"/>
    <x v="2"/>
    <s v="2025-12-21"/>
    <s v="2025-12-27"/>
    <n v="6"/>
    <n v="11372.16"/>
    <x v="1"/>
    <s v="Discharged"/>
    <x v="3"/>
    <x v="0"/>
  </r>
  <r>
    <x v="2721"/>
    <x v="51"/>
    <x v="0"/>
    <x v="2"/>
    <x v="2"/>
    <s v="2025-11-30"/>
    <s v="2025-12-07"/>
    <n v="7"/>
    <n v="11349.96"/>
    <x v="0"/>
    <s v="Discharged"/>
    <x v="1"/>
    <x v="0"/>
  </r>
  <r>
    <x v="2722"/>
    <x v="65"/>
    <x v="2"/>
    <x v="5"/>
    <x v="0"/>
    <s v="2025-09-24"/>
    <s v="2025-09-29"/>
    <n v="5"/>
    <n v="9111.0499999999993"/>
    <x v="0"/>
    <s v="Discharged"/>
    <x v="3"/>
    <x v="0"/>
  </r>
  <r>
    <x v="2723"/>
    <x v="69"/>
    <x v="0"/>
    <x v="3"/>
    <x v="2"/>
    <s v="2025-03-30"/>
    <s v="2025-04-10"/>
    <n v="11"/>
    <n v="17175.990000000002"/>
    <x v="1"/>
    <s v="Discharged"/>
    <x v="3"/>
    <x v="1"/>
  </r>
  <r>
    <x v="2724"/>
    <x v="68"/>
    <x v="0"/>
    <x v="0"/>
    <x v="0"/>
    <s v="2025-11-19"/>
    <s v="2025-11-26"/>
    <n v="7"/>
    <n v="11205.75"/>
    <x v="0"/>
    <s v="Discharged"/>
    <x v="3"/>
    <x v="0"/>
  </r>
  <r>
    <x v="2725"/>
    <x v="1"/>
    <x v="1"/>
    <x v="5"/>
    <x v="2"/>
    <s v="2025-05-16"/>
    <s v="2025-05-24"/>
    <n v="8"/>
    <n v="11272.76"/>
    <x v="0"/>
    <s v="Discharged"/>
    <x v="0"/>
    <x v="1"/>
  </r>
  <r>
    <x v="2726"/>
    <x v="53"/>
    <x v="0"/>
    <x v="1"/>
    <x v="2"/>
    <s v="2025-01-16"/>
    <s v="2025-01-22"/>
    <n v="6"/>
    <n v="6201.64"/>
    <x v="0"/>
    <s v="Discharged"/>
    <x v="4"/>
    <x v="0"/>
  </r>
  <r>
    <x v="2727"/>
    <x v="43"/>
    <x v="1"/>
    <x v="3"/>
    <x v="2"/>
    <s v="2025-08-08"/>
    <s v="2025-08-15"/>
    <n v="7"/>
    <n v="13668.08"/>
    <x v="1"/>
    <s v="Discharged"/>
    <x v="2"/>
    <x v="0"/>
  </r>
  <r>
    <x v="2728"/>
    <x v="20"/>
    <x v="1"/>
    <x v="0"/>
    <x v="0"/>
    <s v="2025-10-03"/>
    <s v="2025-10-06"/>
    <n v="3"/>
    <n v="5024.4799999999996"/>
    <x v="0"/>
    <s v="Discharged"/>
    <x v="0"/>
    <x v="0"/>
  </r>
  <r>
    <x v="2729"/>
    <x v="53"/>
    <x v="1"/>
    <x v="0"/>
    <x v="2"/>
    <s v="2025-05-08"/>
    <s v="2025-05-17"/>
    <n v="9"/>
    <n v="9901.57"/>
    <x v="0"/>
    <s v="Discharged"/>
    <x v="4"/>
    <x v="1"/>
  </r>
  <r>
    <x v="2730"/>
    <x v="64"/>
    <x v="1"/>
    <x v="3"/>
    <x v="1"/>
    <s v="2025-11-17"/>
    <s v="2025-11-29"/>
    <n v="12"/>
    <n v="15738.25"/>
    <x v="0"/>
    <s v="Discharged"/>
    <x v="4"/>
    <x v="1"/>
  </r>
  <r>
    <x v="2731"/>
    <x v="24"/>
    <x v="0"/>
    <x v="5"/>
    <x v="0"/>
    <s v="2025-03-14"/>
    <s v="2025-03-19"/>
    <n v="5"/>
    <n v="10414.620000000001"/>
    <x v="0"/>
    <s v="Discharged"/>
    <x v="2"/>
    <x v="0"/>
  </r>
  <r>
    <x v="2732"/>
    <x v="46"/>
    <x v="1"/>
    <x v="4"/>
    <x v="1"/>
    <s v="2025-04-11"/>
    <s v="2025-04-16"/>
    <n v="5"/>
    <n v="12277.34"/>
    <x v="0"/>
    <s v="Discharged"/>
    <x v="1"/>
    <x v="0"/>
  </r>
  <r>
    <x v="2733"/>
    <x v="67"/>
    <x v="0"/>
    <x v="4"/>
    <x v="2"/>
    <s v="2025-07-25"/>
    <s v="2025-08-04"/>
    <n v="10"/>
    <n v="16227.67"/>
    <x v="0"/>
    <s v="Discharged"/>
    <x v="3"/>
    <x v="1"/>
  </r>
  <r>
    <x v="2734"/>
    <x v="36"/>
    <x v="0"/>
    <x v="4"/>
    <x v="0"/>
    <s v="2025-01-12"/>
    <s v="2025-01-15"/>
    <n v="3"/>
    <n v="9174.7800000000007"/>
    <x v="0"/>
    <s v="Discharged"/>
    <x v="1"/>
    <x v="0"/>
  </r>
  <r>
    <x v="2735"/>
    <x v="46"/>
    <x v="0"/>
    <x v="1"/>
    <x v="2"/>
    <s v="2025-12-24"/>
    <s v="2025-12-26"/>
    <n v="2"/>
    <n v="4618.91"/>
    <x v="1"/>
    <s v="Discharged"/>
    <x v="1"/>
    <x v="0"/>
  </r>
  <r>
    <x v="2736"/>
    <x v="9"/>
    <x v="1"/>
    <x v="0"/>
    <x v="2"/>
    <s v="2025-08-23"/>
    <s v="2025-08-27"/>
    <n v="4"/>
    <n v="5285.12"/>
    <x v="0"/>
    <s v="Discharged"/>
    <x v="4"/>
    <x v="0"/>
  </r>
  <r>
    <x v="2737"/>
    <x v="62"/>
    <x v="0"/>
    <x v="4"/>
    <x v="2"/>
    <s v="2025-06-06"/>
    <s v="2025-06-12"/>
    <n v="6"/>
    <n v="10414.34"/>
    <x v="0"/>
    <s v="Discharged"/>
    <x v="2"/>
    <x v="0"/>
  </r>
  <r>
    <x v="2738"/>
    <x v="3"/>
    <x v="1"/>
    <x v="2"/>
    <x v="0"/>
    <s v="2025-04-08"/>
    <s v="2025-04-11"/>
    <n v="3"/>
    <n v="10234.280000000001"/>
    <x v="0"/>
    <s v="Discharged"/>
    <x v="0"/>
    <x v="0"/>
  </r>
  <r>
    <x v="2739"/>
    <x v="17"/>
    <x v="2"/>
    <x v="0"/>
    <x v="2"/>
    <s v="2025-01-31"/>
    <s v="2025-02-04"/>
    <n v="4"/>
    <n v="3650.01"/>
    <x v="0"/>
    <s v="Discharged"/>
    <x v="2"/>
    <x v="0"/>
  </r>
  <r>
    <x v="2740"/>
    <x v="60"/>
    <x v="1"/>
    <x v="1"/>
    <x v="0"/>
    <s v="2025-08-29"/>
    <s v="2025-09-02"/>
    <n v="4"/>
    <n v="5677.33"/>
    <x v="0"/>
    <s v="Discharged"/>
    <x v="3"/>
    <x v="0"/>
  </r>
  <r>
    <x v="2741"/>
    <x v="69"/>
    <x v="0"/>
    <x v="1"/>
    <x v="0"/>
    <s v="2025-01-08"/>
    <s v="2025-01-14"/>
    <n v="6"/>
    <n v="9432.32"/>
    <x v="1"/>
    <s v="Discharged"/>
    <x v="3"/>
    <x v="0"/>
  </r>
  <r>
    <x v="2742"/>
    <x v="15"/>
    <x v="1"/>
    <x v="1"/>
    <x v="0"/>
    <s v="2025-11-10"/>
    <s v="2025-11-11"/>
    <n v="1"/>
    <n v="4173.2"/>
    <x v="0"/>
    <s v="Discharged"/>
    <x v="1"/>
    <x v="0"/>
  </r>
  <r>
    <x v="2743"/>
    <x v="2"/>
    <x v="0"/>
    <x v="3"/>
    <x v="0"/>
    <s v="2025-05-30"/>
    <s v="2025-06-02"/>
    <n v="3"/>
    <n v="12259.18"/>
    <x v="0"/>
    <s v="Discharged"/>
    <x v="1"/>
    <x v="0"/>
  </r>
  <r>
    <x v="2744"/>
    <x v="15"/>
    <x v="0"/>
    <x v="5"/>
    <x v="2"/>
    <s v="2025-08-21"/>
    <s v="2025-08-26"/>
    <n v="5"/>
    <n v="9232.0400000000009"/>
    <x v="0"/>
    <s v="Discharged"/>
    <x v="1"/>
    <x v="0"/>
  </r>
  <r>
    <x v="2745"/>
    <x v="14"/>
    <x v="0"/>
    <x v="4"/>
    <x v="0"/>
    <s v="2025-08-16"/>
    <s v="2025-08-23"/>
    <n v="7"/>
    <n v="10649.61"/>
    <x v="0"/>
    <s v="Discharged"/>
    <x v="0"/>
    <x v="0"/>
  </r>
  <r>
    <x v="2746"/>
    <x v="17"/>
    <x v="1"/>
    <x v="1"/>
    <x v="2"/>
    <s v="2025-05-30"/>
    <s v="2025-06-03"/>
    <n v="4"/>
    <n v="4746.53"/>
    <x v="0"/>
    <s v="Discharged"/>
    <x v="2"/>
    <x v="0"/>
  </r>
  <r>
    <x v="2747"/>
    <x v="63"/>
    <x v="0"/>
    <x v="5"/>
    <x v="2"/>
    <s v="2025-06-29"/>
    <s v="2025-07-06"/>
    <n v="7"/>
    <n v="12317.52"/>
    <x v="1"/>
    <s v="Discharged"/>
    <x v="3"/>
    <x v="0"/>
  </r>
  <r>
    <x v="2748"/>
    <x v="45"/>
    <x v="0"/>
    <x v="1"/>
    <x v="1"/>
    <s v="2025-09-23"/>
    <s v="2025-09-24"/>
    <n v="1"/>
    <n v="3104.78"/>
    <x v="0"/>
    <s v="Discharged"/>
    <x v="1"/>
    <x v="0"/>
  </r>
  <r>
    <x v="2749"/>
    <x v="18"/>
    <x v="0"/>
    <x v="5"/>
    <x v="2"/>
    <s v="2025-06-15"/>
    <s v="2025-06-24"/>
    <n v="9"/>
    <n v="10670.12"/>
    <x v="0"/>
    <s v="Discharged"/>
    <x v="3"/>
    <x v="1"/>
  </r>
  <r>
    <x v="2750"/>
    <x v="22"/>
    <x v="0"/>
    <x v="3"/>
    <x v="2"/>
    <s v="2025-09-21"/>
    <s v="2025-10-06"/>
    <n v="15"/>
    <n v="18787.41"/>
    <x v="0"/>
    <s v="Discharged"/>
    <x v="3"/>
    <x v="1"/>
  </r>
  <r>
    <x v="2751"/>
    <x v="65"/>
    <x v="1"/>
    <x v="2"/>
    <x v="2"/>
    <s v="2025-06-29"/>
    <s v="2025-07-05"/>
    <n v="6"/>
    <n v="13168.33"/>
    <x v="0"/>
    <s v="Discharged"/>
    <x v="3"/>
    <x v="0"/>
  </r>
  <r>
    <x v="2752"/>
    <x v="62"/>
    <x v="0"/>
    <x v="0"/>
    <x v="2"/>
    <s v="2025-03-16"/>
    <s v="2025-03-23"/>
    <n v="7"/>
    <n v="10002.43"/>
    <x v="0"/>
    <s v="Discharged"/>
    <x v="2"/>
    <x v="0"/>
  </r>
  <r>
    <x v="2753"/>
    <x v="13"/>
    <x v="1"/>
    <x v="4"/>
    <x v="1"/>
    <s v="2025-08-29"/>
    <s v="2025-08-31"/>
    <n v="2"/>
    <n v="7959.03"/>
    <x v="0"/>
    <s v="Discharged"/>
    <x v="1"/>
    <x v="0"/>
  </r>
  <r>
    <x v="2754"/>
    <x v="26"/>
    <x v="0"/>
    <x v="2"/>
    <x v="2"/>
    <s v="2025-06-25"/>
    <s v="2025-07-05"/>
    <n v="10"/>
    <n v="16295.15"/>
    <x v="0"/>
    <s v="Discharged"/>
    <x v="3"/>
    <x v="1"/>
  </r>
  <r>
    <x v="2755"/>
    <x v="43"/>
    <x v="1"/>
    <x v="2"/>
    <x v="2"/>
    <s v="2025-03-01"/>
    <s v="2025-03-07"/>
    <n v="6"/>
    <n v="13413.73"/>
    <x v="0"/>
    <s v="Discharged"/>
    <x v="2"/>
    <x v="0"/>
  </r>
  <r>
    <x v="2756"/>
    <x v="39"/>
    <x v="0"/>
    <x v="2"/>
    <x v="0"/>
    <s v="2025-07-03"/>
    <s v="2025-07-05"/>
    <n v="2"/>
    <n v="8635.5400000000009"/>
    <x v="0"/>
    <s v="Discharged"/>
    <x v="4"/>
    <x v="0"/>
  </r>
  <r>
    <x v="2757"/>
    <x v="46"/>
    <x v="0"/>
    <x v="1"/>
    <x v="1"/>
    <s v="2025-03-29"/>
    <s v="2025-03-31"/>
    <n v="2"/>
    <n v="3832.38"/>
    <x v="0"/>
    <s v="Transferred"/>
    <x v="1"/>
    <x v="0"/>
  </r>
  <r>
    <x v="2758"/>
    <x v="36"/>
    <x v="1"/>
    <x v="0"/>
    <x v="2"/>
    <s v="2025-05-10"/>
    <s v="2025-05-17"/>
    <n v="7"/>
    <n v="8313.3700000000008"/>
    <x v="0"/>
    <s v="Discharged"/>
    <x v="1"/>
    <x v="0"/>
  </r>
  <r>
    <x v="2759"/>
    <x v="5"/>
    <x v="1"/>
    <x v="0"/>
    <x v="2"/>
    <s v="2025-10-26"/>
    <s v="2025-11-01"/>
    <n v="6"/>
    <n v="6458.43"/>
    <x v="0"/>
    <s v="Discharged"/>
    <x v="0"/>
    <x v="0"/>
  </r>
  <r>
    <x v="2760"/>
    <x v="21"/>
    <x v="0"/>
    <x v="0"/>
    <x v="0"/>
    <s v="2025-01-08"/>
    <s v="2025-01-11"/>
    <n v="3"/>
    <n v="5201.71"/>
    <x v="0"/>
    <s v="Discharged"/>
    <x v="4"/>
    <x v="0"/>
  </r>
  <r>
    <x v="2761"/>
    <x v="3"/>
    <x v="1"/>
    <x v="0"/>
    <x v="0"/>
    <s v="2025-01-11"/>
    <s v="2025-01-17"/>
    <n v="6"/>
    <n v="7528.86"/>
    <x v="0"/>
    <s v="Discharged"/>
    <x v="0"/>
    <x v="0"/>
  </r>
  <r>
    <x v="2762"/>
    <x v="69"/>
    <x v="0"/>
    <x v="2"/>
    <x v="2"/>
    <s v="2025-03-04"/>
    <s v="2025-03-11"/>
    <n v="7"/>
    <n v="10545.42"/>
    <x v="0"/>
    <s v="Discharged"/>
    <x v="3"/>
    <x v="0"/>
  </r>
  <r>
    <x v="2763"/>
    <x v="28"/>
    <x v="1"/>
    <x v="5"/>
    <x v="1"/>
    <s v="2025-08-28"/>
    <s v="2025-09-05"/>
    <n v="8"/>
    <n v="11600.02"/>
    <x v="0"/>
    <s v="Discharged"/>
    <x v="4"/>
    <x v="1"/>
  </r>
  <r>
    <x v="2764"/>
    <x v="55"/>
    <x v="0"/>
    <x v="2"/>
    <x v="1"/>
    <s v="2025-09-05"/>
    <s v="2025-09-16"/>
    <n v="11"/>
    <n v="13262.73"/>
    <x v="0"/>
    <s v="Transferred"/>
    <x v="4"/>
    <x v="1"/>
  </r>
  <r>
    <x v="2765"/>
    <x v="28"/>
    <x v="0"/>
    <x v="3"/>
    <x v="0"/>
    <s v="2025-03-25"/>
    <s v="2025-03-31"/>
    <n v="6"/>
    <n v="12889.37"/>
    <x v="0"/>
    <s v="Discharged"/>
    <x v="4"/>
    <x v="0"/>
  </r>
  <r>
    <x v="2766"/>
    <x v="18"/>
    <x v="0"/>
    <x v="0"/>
    <x v="1"/>
    <s v="2025-07-15"/>
    <s v="2025-07-21"/>
    <n v="6"/>
    <n v="6934.34"/>
    <x v="0"/>
    <s v="Discharged"/>
    <x v="3"/>
    <x v="0"/>
  </r>
  <r>
    <x v="2767"/>
    <x v="26"/>
    <x v="1"/>
    <x v="1"/>
    <x v="0"/>
    <s v="2025-12-13"/>
    <s v="2025-12-17"/>
    <n v="4"/>
    <n v="3941.4"/>
    <x v="0"/>
    <s v="Discharged"/>
    <x v="3"/>
    <x v="0"/>
  </r>
  <r>
    <x v="2768"/>
    <x v="4"/>
    <x v="0"/>
    <x v="1"/>
    <x v="1"/>
    <s v="2025-10-06"/>
    <s v="2025-10-07"/>
    <n v="1"/>
    <n v="4796.5200000000004"/>
    <x v="1"/>
    <s v="Discharged"/>
    <x v="2"/>
    <x v="0"/>
  </r>
  <r>
    <x v="2769"/>
    <x v="38"/>
    <x v="0"/>
    <x v="0"/>
    <x v="2"/>
    <s v="2025-06-12"/>
    <s v="2025-06-15"/>
    <n v="3"/>
    <n v="4562.04"/>
    <x v="0"/>
    <s v="Discharged"/>
    <x v="0"/>
    <x v="0"/>
  </r>
  <r>
    <x v="2770"/>
    <x v="6"/>
    <x v="1"/>
    <x v="1"/>
    <x v="0"/>
    <s v="2025-01-04"/>
    <s v="2025-01-10"/>
    <n v="6"/>
    <n v="7041.52"/>
    <x v="0"/>
    <s v="Discharged"/>
    <x v="3"/>
    <x v="0"/>
  </r>
  <r>
    <x v="2771"/>
    <x v="20"/>
    <x v="0"/>
    <x v="3"/>
    <x v="1"/>
    <s v="2025-10-08"/>
    <s v="2025-10-14"/>
    <n v="6"/>
    <n v="14092.77"/>
    <x v="0"/>
    <s v="Discharged"/>
    <x v="0"/>
    <x v="0"/>
  </r>
  <r>
    <x v="2772"/>
    <x v="7"/>
    <x v="1"/>
    <x v="0"/>
    <x v="2"/>
    <s v="2025-11-12"/>
    <s v="2025-11-17"/>
    <n v="5"/>
    <n v="7943.66"/>
    <x v="1"/>
    <s v="Discharged"/>
    <x v="4"/>
    <x v="0"/>
  </r>
  <r>
    <x v="2773"/>
    <x v="53"/>
    <x v="1"/>
    <x v="2"/>
    <x v="2"/>
    <s v="2025-06-17"/>
    <s v="2025-06-20"/>
    <n v="3"/>
    <n v="9268.35"/>
    <x v="0"/>
    <s v="Discharged"/>
    <x v="4"/>
    <x v="0"/>
  </r>
  <r>
    <x v="2774"/>
    <x v="46"/>
    <x v="0"/>
    <x v="4"/>
    <x v="2"/>
    <s v="2025-01-18"/>
    <s v="2025-01-28"/>
    <n v="10"/>
    <n v="13872.98"/>
    <x v="1"/>
    <s v="Discharged"/>
    <x v="1"/>
    <x v="1"/>
  </r>
  <r>
    <x v="2775"/>
    <x v="12"/>
    <x v="0"/>
    <x v="5"/>
    <x v="0"/>
    <s v="2025-08-03"/>
    <s v="2025-08-07"/>
    <n v="4"/>
    <n v="10388.14"/>
    <x v="0"/>
    <s v="Discharged"/>
    <x v="2"/>
    <x v="0"/>
  </r>
  <r>
    <x v="2776"/>
    <x v="34"/>
    <x v="1"/>
    <x v="1"/>
    <x v="1"/>
    <s v="2025-03-24"/>
    <s v="2025-03-28"/>
    <n v="4"/>
    <n v="6768.48"/>
    <x v="1"/>
    <s v="Discharged"/>
    <x v="2"/>
    <x v="0"/>
  </r>
  <r>
    <x v="2777"/>
    <x v="26"/>
    <x v="1"/>
    <x v="2"/>
    <x v="2"/>
    <s v="2025-01-14"/>
    <s v="2025-01-19"/>
    <n v="5"/>
    <n v="8490.18"/>
    <x v="0"/>
    <s v="Discharged"/>
    <x v="3"/>
    <x v="0"/>
  </r>
  <r>
    <x v="2778"/>
    <x v="43"/>
    <x v="0"/>
    <x v="0"/>
    <x v="0"/>
    <s v="2025-08-30"/>
    <s v="2025-09-06"/>
    <n v="7"/>
    <n v="8117.37"/>
    <x v="0"/>
    <s v="Discharged"/>
    <x v="2"/>
    <x v="0"/>
  </r>
  <r>
    <x v="2779"/>
    <x v="33"/>
    <x v="1"/>
    <x v="1"/>
    <x v="2"/>
    <s v="2025-03-24"/>
    <s v="2025-03-31"/>
    <n v="7"/>
    <n v="7317.14"/>
    <x v="1"/>
    <s v="Discharged"/>
    <x v="2"/>
    <x v="0"/>
  </r>
  <r>
    <x v="2780"/>
    <x v="3"/>
    <x v="1"/>
    <x v="5"/>
    <x v="0"/>
    <s v="2025-05-20"/>
    <s v="2025-05-24"/>
    <n v="4"/>
    <n v="9870.24"/>
    <x v="0"/>
    <s v="Discharged"/>
    <x v="0"/>
    <x v="0"/>
  </r>
  <r>
    <x v="2781"/>
    <x v="25"/>
    <x v="0"/>
    <x v="3"/>
    <x v="2"/>
    <s v="2025-06-11"/>
    <s v="2025-06-18"/>
    <n v="7"/>
    <n v="15520.35"/>
    <x v="0"/>
    <s v="Discharged"/>
    <x v="2"/>
    <x v="0"/>
  </r>
  <r>
    <x v="2782"/>
    <x v="38"/>
    <x v="1"/>
    <x v="1"/>
    <x v="2"/>
    <s v="2025-02-11"/>
    <s v="2025-02-15"/>
    <n v="4"/>
    <n v="4532.42"/>
    <x v="0"/>
    <s v="Discharged"/>
    <x v="0"/>
    <x v="0"/>
  </r>
  <r>
    <x v="2783"/>
    <x v="72"/>
    <x v="0"/>
    <x v="2"/>
    <x v="2"/>
    <s v="2025-02-05"/>
    <s v="2025-02-13"/>
    <n v="8"/>
    <n v="11374.06"/>
    <x v="0"/>
    <s v="Discharged"/>
    <x v="2"/>
    <x v="1"/>
  </r>
  <r>
    <x v="2784"/>
    <x v="40"/>
    <x v="0"/>
    <x v="1"/>
    <x v="2"/>
    <s v="2025-03-03"/>
    <s v="2025-03-09"/>
    <n v="6"/>
    <n v="6593.24"/>
    <x v="0"/>
    <s v="Discharged"/>
    <x v="1"/>
    <x v="0"/>
  </r>
  <r>
    <x v="2785"/>
    <x v="33"/>
    <x v="1"/>
    <x v="2"/>
    <x v="0"/>
    <s v="2025-03-11"/>
    <s v="2025-03-18"/>
    <n v="7"/>
    <n v="10914.32"/>
    <x v="0"/>
    <s v="Discharged"/>
    <x v="2"/>
    <x v="0"/>
  </r>
  <r>
    <x v="2786"/>
    <x v="14"/>
    <x v="1"/>
    <x v="2"/>
    <x v="1"/>
    <s v="2025-12-24"/>
    <s v="2026-01-01"/>
    <n v="8"/>
    <n v="11709.65"/>
    <x v="0"/>
    <s v="Discharged"/>
    <x v="0"/>
    <x v="1"/>
  </r>
  <r>
    <x v="2787"/>
    <x v="55"/>
    <x v="1"/>
    <x v="1"/>
    <x v="0"/>
    <s v="2025-03-06"/>
    <s v="2025-03-09"/>
    <n v="3"/>
    <n v="3358.8"/>
    <x v="0"/>
    <s v="Discharged"/>
    <x v="4"/>
    <x v="0"/>
  </r>
  <r>
    <x v="2788"/>
    <x v="40"/>
    <x v="1"/>
    <x v="2"/>
    <x v="2"/>
    <s v="2025-06-09"/>
    <s v="2025-06-10"/>
    <n v="1"/>
    <n v="9092.58"/>
    <x v="0"/>
    <s v="Discharged"/>
    <x v="1"/>
    <x v="0"/>
  </r>
  <r>
    <x v="2789"/>
    <x v="60"/>
    <x v="0"/>
    <x v="1"/>
    <x v="2"/>
    <s v="2025-08-27"/>
    <s v="2025-09-01"/>
    <n v="5"/>
    <n v="6338.77"/>
    <x v="0"/>
    <s v="Discharged"/>
    <x v="3"/>
    <x v="0"/>
  </r>
  <r>
    <x v="2790"/>
    <x v="10"/>
    <x v="1"/>
    <x v="2"/>
    <x v="2"/>
    <s v="2025-04-15"/>
    <s v="2025-04-21"/>
    <n v="6"/>
    <n v="11777.43"/>
    <x v="0"/>
    <s v="Discharged"/>
    <x v="4"/>
    <x v="0"/>
  </r>
  <r>
    <x v="2791"/>
    <x v="33"/>
    <x v="0"/>
    <x v="2"/>
    <x v="2"/>
    <s v="2025-07-26"/>
    <s v="2025-08-04"/>
    <n v="9"/>
    <n v="14241.74"/>
    <x v="0"/>
    <s v="Discharged"/>
    <x v="2"/>
    <x v="1"/>
  </r>
  <r>
    <x v="2792"/>
    <x v="6"/>
    <x v="0"/>
    <x v="2"/>
    <x v="2"/>
    <s v="2025-12-13"/>
    <s v="2025-12-22"/>
    <n v="9"/>
    <n v="13850.38"/>
    <x v="0"/>
    <s v="Discharged"/>
    <x v="3"/>
    <x v="1"/>
  </r>
  <r>
    <x v="2793"/>
    <x v="5"/>
    <x v="0"/>
    <x v="2"/>
    <x v="0"/>
    <s v="2025-08-09"/>
    <s v="2025-08-12"/>
    <n v="3"/>
    <n v="10922.62"/>
    <x v="1"/>
    <s v="Discharged"/>
    <x v="0"/>
    <x v="0"/>
  </r>
  <r>
    <x v="2794"/>
    <x v="36"/>
    <x v="1"/>
    <x v="1"/>
    <x v="0"/>
    <s v="2025-01-13"/>
    <s v="2025-01-16"/>
    <n v="3"/>
    <n v="3777.92"/>
    <x v="0"/>
    <s v="Discharged"/>
    <x v="1"/>
    <x v="0"/>
  </r>
  <r>
    <x v="2795"/>
    <x v="53"/>
    <x v="1"/>
    <x v="5"/>
    <x v="0"/>
    <s v="2025-05-28"/>
    <s v="2025-05-31"/>
    <n v="3"/>
    <n v="8894.26"/>
    <x v="0"/>
    <s v="Discharged"/>
    <x v="4"/>
    <x v="0"/>
  </r>
  <r>
    <x v="2796"/>
    <x v="17"/>
    <x v="0"/>
    <x v="0"/>
    <x v="2"/>
    <s v="2025-09-01"/>
    <s v="2025-09-06"/>
    <n v="5"/>
    <n v="7845.87"/>
    <x v="0"/>
    <s v="Discharged"/>
    <x v="2"/>
    <x v="0"/>
  </r>
  <r>
    <x v="2797"/>
    <x v="25"/>
    <x v="1"/>
    <x v="4"/>
    <x v="0"/>
    <s v="2025-04-18"/>
    <s v="2025-04-26"/>
    <n v="8"/>
    <n v="11810.23"/>
    <x v="0"/>
    <s v="Discharged"/>
    <x v="2"/>
    <x v="1"/>
  </r>
  <r>
    <x v="2798"/>
    <x v="32"/>
    <x v="0"/>
    <x v="0"/>
    <x v="2"/>
    <s v="2025-10-31"/>
    <s v="2025-11-09"/>
    <n v="9"/>
    <n v="6267.59"/>
    <x v="0"/>
    <s v="Discharged"/>
    <x v="3"/>
    <x v="1"/>
  </r>
  <r>
    <x v="2799"/>
    <x v="35"/>
    <x v="0"/>
    <x v="1"/>
    <x v="0"/>
    <s v="2025-12-20"/>
    <s v="2025-12-22"/>
    <n v="2"/>
    <n v="4820.7700000000004"/>
    <x v="0"/>
    <s v="Discharged"/>
    <x v="4"/>
    <x v="0"/>
  </r>
  <r>
    <x v="2800"/>
    <x v="13"/>
    <x v="1"/>
    <x v="0"/>
    <x v="2"/>
    <s v="2025-06-25"/>
    <s v="2025-07-04"/>
    <n v="9"/>
    <n v="10198.74"/>
    <x v="0"/>
    <s v="Discharged"/>
    <x v="1"/>
    <x v="1"/>
  </r>
  <r>
    <x v="2801"/>
    <x v="40"/>
    <x v="1"/>
    <x v="0"/>
    <x v="1"/>
    <s v="2025-07-13"/>
    <s v="2025-07-21"/>
    <n v="8"/>
    <n v="5119.74"/>
    <x v="1"/>
    <s v="Discharged"/>
    <x v="1"/>
    <x v="1"/>
  </r>
  <r>
    <x v="2802"/>
    <x v="14"/>
    <x v="0"/>
    <x v="1"/>
    <x v="0"/>
    <s v="2025-02-27"/>
    <s v="2025-03-01"/>
    <n v="2"/>
    <n v="2436.12"/>
    <x v="0"/>
    <s v="Discharged"/>
    <x v="0"/>
    <x v="0"/>
  </r>
  <r>
    <x v="2803"/>
    <x v="21"/>
    <x v="2"/>
    <x v="1"/>
    <x v="0"/>
    <s v="2025-10-26"/>
    <s v="2025-10-31"/>
    <n v="5"/>
    <n v="3618.79"/>
    <x v="0"/>
    <s v="Discharged"/>
    <x v="4"/>
    <x v="0"/>
  </r>
  <r>
    <x v="2804"/>
    <x v="36"/>
    <x v="0"/>
    <x v="3"/>
    <x v="1"/>
    <s v="2025-03-01"/>
    <s v="2025-03-10"/>
    <n v="9"/>
    <n v="18149.7"/>
    <x v="1"/>
    <s v="Discharged"/>
    <x v="1"/>
    <x v="1"/>
  </r>
  <r>
    <x v="2805"/>
    <x v="63"/>
    <x v="0"/>
    <x v="0"/>
    <x v="2"/>
    <s v="2025-07-31"/>
    <s v="2025-08-05"/>
    <n v="5"/>
    <n v="4054.33"/>
    <x v="0"/>
    <s v="Discharged"/>
    <x v="3"/>
    <x v="0"/>
  </r>
  <r>
    <x v="2806"/>
    <x v="13"/>
    <x v="0"/>
    <x v="1"/>
    <x v="1"/>
    <s v="2025-06-06"/>
    <s v="2025-06-10"/>
    <n v="4"/>
    <n v="9317.01"/>
    <x v="0"/>
    <s v="Discharged"/>
    <x v="1"/>
    <x v="0"/>
  </r>
  <r>
    <x v="2807"/>
    <x v="56"/>
    <x v="0"/>
    <x v="2"/>
    <x v="1"/>
    <s v="2025-02-27"/>
    <s v="2025-03-07"/>
    <n v="8"/>
    <n v="13844.14"/>
    <x v="1"/>
    <s v="Discharged"/>
    <x v="0"/>
    <x v="1"/>
  </r>
  <r>
    <x v="2808"/>
    <x v="0"/>
    <x v="1"/>
    <x v="0"/>
    <x v="1"/>
    <s v="2025-07-04"/>
    <s v="2025-07-07"/>
    <n v="3"/>
    <n v="6871.15"/>
    <x v="0"/>
    <s v="Discharged"/>
    <x v="0"/>
    <x v="0"/>
  </r>
  <r>
    <x v="2809"/>
    <x v="36"/>
    <x v="0"/>
    <x v="1"/>
    <x v="2"/>
    <s v="2025-04-01"/>
    <s v="2025-04-09"/>
    <n v="8"/>
    <n v="7541.11"/>
    <x v="0"/>
    <s v="Discharged"/>
    <x v="1"/>
    <x v="1"/>
  </r>
  <r>
    <x v="2810"/>
    <x v="9"/>
    <x v="0"/>
    <x v="5"/>
    <x v="0"/>
    <s v="2025-04-15"/>
    <s v="2025-04-20"/>
    <n v="5"/>
    <n v="7831.64"/>
    <x v="0"/>
    <s v="Transferred"/>
    <x v="4"/>
    <x v="0"/>
  </r>
  <r>
    <x v="2811"/>
    <x v="53"/>
    <x v="0"/>
    <x v="2"/>
    <x v="1"/>
    <s v="2025-05-05"/>
    <s v="2025-05-14"/>
    <n v="9"/>
    <n v="10758.98"/>
    <x v="0"/>
    <s v="Discharged"/>
    <x v="4"/>
    <x v="1"/>
  </r>
  <r>
    <x v="2812"/>
    <x v="29"/>
    <x v="1"/>
    <x v="3"/>
    <x v="1"/>
    <s v="2025-11-30"/>
    <s v="2025-12-03"/>
    <n v="3"/>
    <n v="10719.02"/>
    <x v="0"/>
    <s v="Discharged"/>
    <x v="3"/>
    <x v="0"/>
  </r>
  <r>
    <x v="2813"/>
    <x v="17"/>
    <x v="0"/>
    <x v="5"/>
    <x v="2"/>
    <s v="2025-05-21"/>
    <s v="2025-05-27"/>
    <n v="6"/>
    <n v="7685.78"/>
    <x v="0"/>
    <s v="Discharged"/>
    <x v="2"/>
    <x v="0"/>
  </r>
  <r>
    <x v="2814"/>
    <x v="34"/>
    <x v="1"/>
    <x v="5"/>
    <x v="0"/>
    <s v="2025-05-25"/>
    <s v="2025-05-27"/>
    <n v="2"/>
    <n v="5520.13"/>
    <x v="0"/>
    <s v="Discharged"/>
    <x v="2"/>
    <x v="0"/>
  </r>
  <r>
    <x v="2815"/>
    <x v="1"/>
    <x v="0"/>
    <x v="3"/>
    <x v="1"/>
    <s v="2025-11-28"/>
    <s v="2025-12-06"/>
    <n v="8"/>
    <n v="16442.62"/>
    <x v="0"/>
    <s v="Discharged"/>
    <x v="0"/>
    <x v="1"/>
  </r>
  <r>
    <x v="2816"/>
    <x v="10"/>
    <x v="0"/>
    <x v="3"/>
    <x v="0"/>
    <s v="2025-05-09"/>
    <s v="2025-05-16"/>
    <n v="7"/>
    <n v="13143.51"/>
    <x v="0"/>
    <s v="Discharged"/>
    <x v="4"/>
    <x v="0"/>
  </r>
  <r>
    <x v="2817"/>
    <x v="68"/>
    <x v="1"/>
    <x v="5"/>
    <x v="0"/>
    <s v="2025-06-23"/>
    <s v="2025-06-29"/>
    <n v="6"/>
    <n v="10410.549999999999"/>
    <x v="0"/>
    <s v="Discharged"/>
    <x v="3"/>
    <x v="0"/>
  </r>
  <r>
    <x v="2818"/>
    <x v="69"/>
    <x v="0"/>
    <x v="2"/>
    <x v="2"/>
    <s v="2025-09-10"/>
    <s v="2025-09-16"/>
    <n v="6"/>
    <n v="11421.07"/>
    <x v="0"/>
    <s v="Discharged"/>
    <x v="3"/>
    <x v="0"/>
  </r>
  <r>
    <x v="2819"/>
    <x v="29"/>
    <x v="0"/>
    <x v="5"/>
    <x v="1"/>
    <s v="2025-10-11"/>
    <s v="2025-10-16"/>
    <n v="5"/>
    <n v="12513.58"/>
    <x v="0"/>
    <s v="Discharged"/>
    <x v="3"/>
    <x v="0"/>
  </r>
  <r>
    <x v="2820"/>
    <x v="36"/>
    <x v="1"/>
    <x v="1"/>
    <x v="1"/>
    <s v="2025-04-02"/>
    <s v="2025-04-03"/>
    <n v="1"/>
    <n v="4619.21"/>
    <x v="0"/>
    <s v="Discharged"/>
    <x v="1"/>
    <x v="0"/>
  </r>
  <r>
    <x v="2821"/>
    <x v="44"/>
    <x v="1"/>
    <x v="3"/>
    <x v="0"/>
    <s v="2025-04-02"/>
    <s v="2025-04-07"/>
    <n v="5"/>
    <n v="11915.11"/>
    <x v="0"/>
    <s v="Discharged"/>
    <x v="1"/>
    <x v="0"/>
  </r>
  <r>
    <x v="2822"/>
    <x v="21"/>
    <x v="1"/>
    <x v="2"/>
    <x v="0"/>
    <s v="2025-01-28"/>
    <s v="2025-02-03"/>
    <n v="6"/>
    <n v="9395.41"/>
    <x v="0"/>
    <s v="Discharged"/>
    <x v="4"/>
    <x v="0"/>
  </r>
  <r>
    <x v="2823"/>
    <x v="37"/>
    <x v="0"/>
    <x v="1"/>
    <x v="0"/>
    <s v="2025-08-30"/>
    <s v="2025-09-02"/>
    <n v="3"/>
    <n v="1571.45"/>
    <x v="1"/>
    <s v="Discharged"/>
    <x v="1"/>
    <x v="0"/>
  </r>
  <r>
    <x v="2824"/>
    <x v="57"/>
    <x v="1"/>
    <x v="0"/>
    <x v="2"/>
    <s v="2025-04-26"/>
    <s v="2025-05-02"/>
    <n v="6"/>
    <n v="9549.25"/>
    <x v="0"/>
    <s v="Other"/>
    <x v="3"/>
    <x v="0"/>
  </r>
  <r>
    <x v="2825"/>
    <x v="12"/>
    <x v="0"/>
    <x v="1"/>
    <x v="2"/>
    <s v="2025-03-09"/>
    <s v="2025-03-10"/>
    <n v="1"/>
    <n v="3055.13"/>
    <x v="0"/>
    <s v="Discharged"/>
    <x v="2"/>
    <x v="0"/>
  </r>
  <r>
    <x v="2826"/>
    <x v="16"/>
    <x v="0"/>
    <x v="1"/>
    <x v="2"/>
    <s v="2025-10-28"/>
    <s v="2025-11-01"/>
    <n v="4"/>
    <n v="6130.04"/>
    <x v="1"/>
    <s v="Discharged"/>
    <x v="4"/>
    <x v="0"/>
  </r>
  <r>
    <x v="2827"/>
    <x v="30"/>
    <x v="1"/>
    <x v="3"/>
    <x v="1"/>
    <s v="2025-02-24"/>
    <s v="2025-03-05"/>
    <n v="9"/>
    <n v="16646.189999999999"/>
    <x v="0"/>
    <s v="Discharged"/>
    <x v="0"/>
    <x v="1"/>
  </r>
  <r>
    <x v="2828"/>
    <x v="72"/>
    <x v="0"/>
    <x v="1"/>
    <x v="1"/>
    <s v="2025-03-20"/>
    <s v="2025-03-22"/>
    <n v="2"/>
    <n v="4147.59"/>
    <x v="0"/>
    <s v="Transferred"/>
    <x v="2"/>
    <x v="0"/>
  </r>
  <r>
    <x v="2829"/>
    <x v="36"/>
    <x v="0"/>
    <x v="1"/>
    <x v="0"/>
    <s v="2025-06-21"/>
    <s v="2025-06-24"/>
    <n v="3"/>
    <n v="4573.6899999999996"/>
    <x v="0"/>
    <s v="Discharged"/>
    <x v="1"/>
    <x v="0"/>
  </r>
  <r>
    <x v="2830"/>
    <x v="46"/>
    <x v="1"/>
    <x v="1"/>
    <x v="2"/>
    <s v="2025-03-04"/>
    <s v="2025-03-10"/>
    <n v="6"/>
    <n v="8494.06"/>
    <x v="1"/>
    <s v="Discharged"/>
    <x v="1"/>
    <x v="0"/>
  </r>
  <r>
    <x v="2831"/>
    <x v="13"/>
    <x v="1"/>
    <x v="0"/>
    <x v="0"/>
    <s v="2025-07-08"/>
    <s v="2025-07-12"/>
    <n v="4"/>
    <n v="3568.79"/>
    <x v="1"/>
    <s v="Discharged"/>
    <x v="1"/>
    <x v="0"/>
  </r>
  <r>
    <x v="2832"/>
    <x v="39"/>
    <x v="0"/>
    <x v="5"/>
    <x v="2"/>
    <s v="2025-10-18"/>
    <s v="2025-10-26"/>
    <n v="8"/>
    <n v="11263.59"/>
    <x v="1"/>
    <s v="Discharged"/>
    <x v="4"/>
    <x v="1"/>
  </r>
  <r>
    <x v="2833"/>
    <x v="51"/>
    <x v="1"/>
    <x v="5"/>
    <x v="2"/>
    <s v="2025-11-05"/>
    <s v="2025-11-10"/>
    <n v="5"/>
    <n v="8858.98"/>
    <x v="0"/>
    <s v="Discharged"/>
    <x v="1"/>
    <x v="0"/>
  </r>
  <r>
    <x v="2834"/>
    <x v="38"/>
    <x v="0"/>
    <x v="1"/>
    <x v="2"/>
    <s v="2025-11-29"/>
    <s v="2025-12-05"/>
    <n v="6"/>
    <n v="6333.45"/>
    <x v="0"/>
    <s v="Discharged"/>
    <x v="0"/>
    <x v="0"/>
  </r>
  <r>
    <x v="2835"/>
    <x v="0"/>
    <x v="1"/>
    <x v="1"/>
    <x v="0"/>
    <s v="2025-11-12"/>
    <s v="2025-11-13"/>
    <n v="1"/>
    <n v="3483.82"/>
    <x v="0"/>
    <s v="Discharged"/>
    <x v="0"/>
    <x v="0"/>
  </r>
  <r>
    <x v="2836"/>
    <x v="7"/>
    <x v="1"/>
    <x v="1"/>
    <x v="2"/>
    <s v="2025-11-17"/>
    <s v="2025-11-20"/>
    <n v="3"/>
    <n v="6765.86"/>
    <x v="0"/>
    <s v="Discharged"/>
    <x v="4"/>
    <x v="0"/>
  </r>
  <r>
    <x v="2837"/>
    <x v="46"/>
    <x v="1"/>
    <x v="5"/>
    <x v="0"/>
    <s v="2025-01-13"/>
    <s v="2025-01-18"/>
    <n v="5"/>
    <n v="9029.43"/>
    <x v="0"/>
    <s v="Discharged"/>
    <x v="1"/>
    <x v="0"/>
  </r>
  <r>
    <x v="2838"/>
    <x v="41"/>
    <x v="0"/>
    <x v="1"/>
    <x v="1"/>
    <s v="2025-11-29"/>
    <s v="2025-12-06"/>
    <n v="7"/>
    <n v="7667.4"/>
    <x v="1"/>
    <s v="Discharged"/>
    <x v="1"/>
    <x v="0"/>
  </r>
  <r>
    <x v="2839"/>
    <x v="63"/>
    <x v="0"/>
    <x v="1"/>
    <x v="2"/>
    <s v="2025-05-24"/>
    <s v="2025-05-31"/>
    <n v="7"/>
    <n v="6555.66"/>
    <x v="0"/>
    <s v="Discharged"/>
    <x v="3"/>
    <x v="0"/>
  </r>
  <r>
    <x v="2840"/>
    <x v="6"/>
    <x v="0"/>
    <x v="0"/>
    <x v="0"/>
    <s v="2025-11-05"/>
    <s v="2025-11-10"/>
    <n v="5"/>
    <n v="5007.8100000000004"/>
    <x v="0"/>
    <s v="Discharged"/>
    <x v="3"/>
    <x v="0"/>
  </r>
  <r>
    <x v="2841"/>
    <x v="17"/>
    <x v="1"/>
    <x v="2"/>
    <x v="2"/>
    <s v="2025-06-14"/>
    <s v="2025-06-24"/>
    <n v="10"/>
    <n v="15163.51"/>
    <x v="0"/>
    <s v="Discharged"/>
    <x v="2"/>
    <x v="1"/>
  </r>
  <r>
    <x v="2842"/>
    <x v="54"/>
    <x v="0"/>
    <x v="2"/>
    <x v="1"/>
    <s v="2025-02-20"/>
    <s v="2025-02-28"/>
    <n v="8"/>
    <n v="9287.32"/>
    <x v="0"/>
    <s v="Discharged"/>
    <x v="2"/>
    <x v="1"/>
  </r>
  <r>
    <x v="2843"/>
    <x v="28"/>
    <x v="0"/>
    <x v="1"/>
    <x v="1"/>
    <s v="2025-06-22"/>
    <s v="2025-06-25"/>
    <n v="3"/>
    <n v="3470.93"/>
    <x v="0"/>
    <s v="Discharged"/>
    <x v="4"/>
    <x v="0"/>
  </r>
  <r>
    <x v="2844"/>
    <x v="21"/>
    <x v="1"/>
    <x v="0"/>
    <x v="1"/>
    <s v="2025-04-23"/>
    <s v="2025-04-28"/>
    <n v="5"/>
    <n v="6016.42"/>
    <x v="0"/>
    <s v="Discharged"/>
    <x v="4"/>
    <x v="0"/>
  </r>
  <r>
    <x v="2845"/>
    <x v="13"/>
    <x v="0"/>
    <x v="2"/>
    <x v="1"/>
    <s v="2025-04-19"/>
    <s v="2025-04-23"/>
    <n v="4"/>
    <n v="11099.43"/>
    <x v="0"/>
    <s v="Discharged"/>
    <x v="1"/>
    <x v="0"/>
  </r>
  <r>
    <x v="2846"/>
    <x v="9"/>
    <x v="0"/>
    <x v="4"/>
    <x v="1"/>
    <s v="2025-05-01"/>
    <m/>
    <n v="6"/>
    <n v="11441.22"/>
    <x v="0"/>
    <s v="Transferred"/>
    <x v="4"/>
    <x v="0"/>
  </r>
  <r>
    <x v="2847"/>
    <x v="13"/>
    <x v="0"/>
    <x v="1"/>
    <x v="2"/>
    <s v="2025-01-30"/>
    <s v="2025-02-03"/>
    <n v="4"/>
    <n v="3759.48"/>
    <x v="0"/>
    <s v="Discharged"/>
    <x v="1"/>
    <x v="0"/>
  </r>
  <r>
    <x v="2848"/>
    <x v="30"/>
    <x v="0"/>
    <x v="0"/>
    <x v="1"/>
    <s v="2025-07-29"/>
    <s v="2025-08-02"/>
    <n v="4"/>
    <n v="6741.44"/>
    <x v="0"/>
    <s v="Discharged"/>
    <x v="0"/>
    <x v="0"/>
  </r>
  <r>
    <x v="2849"/>
    <x v="30"/>
    <x v="1"/>
    <x v="3"/>
    <x v="2"/>
    <s v="2025-07-07"/>
    <s v="2025-07-14"/>
    <n v="7"/>
    <n v="13951.72"/>
    <x v="0"/>
    <s v="Discharged"/>
    <x v="0"/>
    <x v="0"/>
  </r>
  <r>
    <x v="2850"/>
    <x v="5"/>
    <x v="0"/>
    <x v="5"/>
    <x v="2"/>
    <s v="2025-06-10"/>
    <s v="2025-06-13"/>
    <n v="3"/>
    <n v="10310.44"/>
    <x v="0"/>
    <s v="Discharged"/>
    <x v="0"/>
    <x v="0"/>
  </r>
  <r>
    <x v="2851"/>
    <x v="51"/>
    <x v="0"/>
    <x v="3"/>
    <x v="2"/>
    <s v="2025-09-16"/>
    <s v="2025-09-24"/>
    <n v="8"/>
    <n v="14779.09"/>
    <x v="0"/>
    <s v="Discharged"/>
    <x v="1"/>
    <x v="1"/>
  </r>
  <r>
    <x v="2852"/>
    <x v="43"/>
    <x v="1"/>
    <x v="5"/>
    <x v="2"/>
    <s v="2025-11-25"/>
    <s v="2025-12-02"/>
    <n v="7"/>
    <n v="11921.13"/>
    <x v="0"/>
    <s v="Discharged"/>
    <x v="2"/>
    <x v="0"/>
  </r>
  <r>
    <x v="2853"/>
    <x v="6"/>
    <x v="0"/>
    <x v="4"/>
    <x v="0"/>
    <s v="2025-01-07"/>
    <s v="2025-01-13"/>
    <n v="6"/>
    <n v="13198.65"/>
    <x v="1"/>
    <s v="Discharged"/>
    <x v="3"/>
    <x v="0"/>
  </r>
  <r>
    <x v="2854"/>
    <x v="23"/>
    <x v="0"/>
    <x v="1"/>
    <x v="2"/>
    <s v="2025-04-26"/>
    <s v="2025-04-30"/>
    <n v="4"/>
    <n v="4816.43"/>
    <x v="0"/>
    <s v="Discharged"/>
    <x v="3"/>
    <x v="0"/>
  </r>
  <r>
    <x v="2855"/>
    <x v="30"/>
    <x v="0"/>
    <x v="0"/>
    <x v="2"/>
    <s v="2025-04-28"/>
    <s v="2025-05-01"/>
    <n v="3"/>
    <n v="7247.33"/>
    <x v="0"/>
    <s v="Discharged"/>
    <x v="0"/>
    <x v="0"/>
  </r>
  <r>
    <x v="2856"/>
    <x v="37"/>
    <x v="1"/>
    <x v="2"/>
    <x v="2"/>
    <s v="2025-12-27"/>
    <s v="2026-01-02"/>
    <n v="6"/>
    <n v="10352.31"/>
    <x v="0"/>
    <s v="Discharged"/>
    <x v="1"/>
    <x v="0"/>
  </r>
  <r>
    <x v="2857"/>
    <x v="67"/>
    <x v="0"/>
    <x v="3"/>
    <x v="2"/>
    <s v="2025-04-08"/>
    <s v="2025-04-18"/>
    <n v="10"/>
    <n v="14667.31"/>
    <x v="0"/>
    <s v="Discharged"/>
    <x v="3"/>
    <x v="1"/>
  </r>
  <r>
    <x v="2858"/>
    <x v="22"/>
    <x v="1"/>
    <x v="0"/>
    <x v="0"/>
    <s v="2025-01-27"/>
    <s v="2025-02-02"/>
    <n v="6"/>
    <n v="7280.36"/>
    <x v="0"/>
    <s v="Discharged"/>
    <x v="3"/>
    <x v="0"/>
  </r>
  <r>
    <x v="2859"/>
    <x v="44"/>
    <x v="1"/>
    <x v="5"/>
    <x v="0"/>
    <s v="2025-04-18"/>
    <s v="2025-04-27"/>
    <n v="9"/>
    <n v="13168.93"/>
    <x v="0"/>
    <s v="Discharged"/>
    <x v="1"/>
    <x v="1"/>
  </r>
  <r>
    <x v="2860"/>
    <x v="57"/>
    <x v="1"/>
    <x v="0"/>
    <x v="1"/>
    <s v="2025-07-12"/>
    <s v="2025-07-18"/>
    <n v="6"/>
    <n v="5933.05"/>
    <x v="1"/>
    <s v="Discharged"/>
    <x v="3"/>
    <x v="0"/>
  </r>
  <r>
    <x v="2861"/>
    <x v="29"/>
    <x v="1"/>
    <x v="0"/>
    <x v="2"/>
    <s v="2025-06-05"/>
    <s v="2025-06-08"/>
    <n v="3"/>
    <n v="5388.4"/>
    <x v="0"/>
    <s v="Discharged"/>
    <x v="3"/>
    <x v="0"/>
  </r>
  <r>
    <x v="2862"/>
    <x v="41"/>
    <x v="1"/>
    <x v="1"/>
    <x v="1"/>
    <s v="2025-10-14"/>
    <s v="2025-10-18"/>
    <n v="4"/>
    <n v="5273.46"/>
    <x v="0"/>
    <s v="Discharged"/>
    <x v="1"/>
    <x v="0"/>
  </r>
  <r>
    <x v="2863"/>
    <x v="6"/>
    <x v="1"/>
    <x v="1"/>
    <x v="0"/>
    <s v="2025-07-29"/>
    <s v="2025-08-06"/>
    <n v="8"/>
    <n v="9825.25"/>
    <x v="0"/>
    <s v="Discharged"/>
    <x v="3"/>
    <x v="1"/>
  </r>
  <r>
    <x v="2864"/>
    <x v="14"/>
    <x v="0"/>
    <x v="3"/>
    <x v="2"/>
    <s v="2025-01-10"/>
    <s v="2025-01-15"/>
    <n v="5"/>
    <n v="12221.8"/>
    <x v="0"/>
    <s v="Discharged"/>
    <x v="0"/>
    <x v="0"/>
  </r>
  <r>
    <x v="2865"/>
    <x v="22"/>
    <x v="1"/>
    <x v="4"/>
    <x v="1"/>
    <s v="2025-05-23"/>
    <s v="2025-05-31"/>
    <n v="8"/>
    <n v="10931.62"/>
    <x v="0"/>
    <s v="Discharged"/>
    <x v="3"/>
    <x v="1"/>
  </r>
  <r>
    <x v="2866"/>
    <x v="36"/>
    <x v="0"/>
    <x v="2"/>
    <x v="0"/>
    <s v="2025-03-20"/>
    <s v="2025-03-25"/>
    <n v="5"/>
    <n v="8530.35"/>
    <x v="0"/>
    <s v="Discharged"/>
    <x v="1"/>
    <x v="0"/>
  </r>
  <r>
    <x v="2867"/>
    <x v="42"/>
    <x v="0"/>
    <x v="0"/>
    <x v="1"/>
    <s v="2025-10-22"/>
    <s v="2025-10-25"/>
    <n v="3"/>
    <n v="7795.65"/>
    <x v="1"/>
    <s v="Discharged"/>
    <x v="4"/>
    <x v="0"/>
  </r>
  <r>
    <x v="2868"/>
    <x v="39"/>
    <x v="1"/>
    <x v="1"/>
    <x v="2"/>
    <s v="2025-02-17"/>
    <s v="2025-02-21"/>
    <n v="4"/>
    <n v="8572.61"/>
    <x v="0"/>
    <s v="Other"/>
    <x v="4"/>
    <x v="0"/>
  </r>
  <r>
    <x v="2869"/>
    <x v="38"/>
    <x v="0"/>
    <x v="0"/>
    <x v="2"/>
    <s v="2025-03-15"/>
    <s v="2025-03-19"/>
    <n v="4"/>
    <n v="7253.49"/>
    <x v="1"/>
    <s v="Discharged"/>
    <x v="0"/>
    <x v="0"/>
  </r>
  <r>
    <x v="2870"/>
    <x v="66"/>
    <x v="1"/>
    <x v="2"/>
    <x v="2"/>
    <s v="2025-04-03"/>
    <s v="2025-04-11"/>
    <n v="8"/>
    <n v="12791.4"/>
    <x v="0"/>
    <s v="Discharged"/>
    <x v="1"/>
    <x v="1"/>
  </r>
  <r>
    <x v="2871"/>
    <x v="40"/>
    <x v="1"/>
    <x v="5"/>
    <x v="1"/>
    <s v="2025-10-26"/>
    <s v="2025-10-31"/>
    <n v="5"/>
    <n v="8284.31"/>
    <x v="0"/>
    <s v="Discharged"/>
    <x v="1"/>
    <x v="0"/>
  </r>
  <r>
    <x v="2872"/>
    <x v="65"/>
    <x v="0"/>
    <x v="1"/>
    <x v="2"/>
    <s v="2025-12-24"/>
    <s v="2025-12-27"/>
    <n v="3"/>
    <n v="5013.6099999999997"/>
    <x v="0"/>
    <s v="Discharged"/>
    <x v="3"/>
    <x v="0"/>
  </r>
  <r>
    <x v="2873"/>
    <x v="31"/>
    <x v="1"/>
    <x v="4"/>
    <x v="2"/>
    <s v="2025-03-29"/>
    <s v="2025-04-07"/>
    <n v="9"/>
    <n v="14581.02"/>
    <x v="0"/>
    <s v="Discharged"/>
    <x v="2"/>
    <x v="1"/>
  </r>
  <r>
    <x v="2874"/>
    <x v="56"/>
    <x v="1"/>
    <x v="3"/>
    <x v="2"/>
    <s v="2025-10-10"/>
    <s v="2025-10-14"/>
    <n v="4"/>
    <n v="14732.22"/>
    <x v="0"/>
    <s v="Transferred"/>
    <x v="0"/>
    <x v="0"/>
  </r>
  <r>
    <x v="2875"/>
    <x v="32"/>
    <x v="1"/>
    <x v="1"/>
    <x v="0"/>
    <s v="2025-12-12"/>
    <s v="2025-12-15"/>
    <n v="3"/>
    <n v="4576.16"/>
    <x v="0"/>
    <s v="Discharged"/>
    <x v="3"/>
    <x v="0"/>
  </r>
  <r>
    <x v="2876"/>
    <x v="14"/>
    <x v="1"/>
    <x v="1"/>
    <x v="0"/>
    <s v="2025-04-18"/>
    <s v="2025-04-22"/>
    <n v="4"/>
    <n v="3157.91"/>
    <x v="0"/>
    <s v="Discharged"/>
    <x v="0"/>
    <x v="0"/>
  </r>
  <r>
    <x v="2877"/>
    <x v="6"/>
    <x v="0"/>
    <x v="0"/>
    <x v="0"/>
    <s v="2025-10-08"/>
    <s v="2025-10-13"/>
    <n v="5"/>
    <n v="8378.8799999999992"/>
    <x v="0"/>
    <s v="Discharged"/>
    <x v="3"/>
    <x v="0"/>
  </r>
  <r>
    <x v="2878"/>
    <x v="42"/>
    <x v="0"/>
    <x v="0"/>
    <x v="0"/>
    <s v="2025-01-18"/>
    <s v="2025-01-25"/>
    <n v="7"/>
    <n v="6465.78"/>
    <x v="0"/>
    <s v="Discharged"/>
    <x v="4"/>
    <x v="0"/>
  </r>
  <r>
    <x v="2879"/>
    <x v="23"/>
    <x v="0"/>
    <x v="5"/>
    <x v="1"/>
    <s v="2025-03-11"/>
    <s v="2025-03-17"/>
    <n v="6"/>
    <n v="8676.7099999999991"/>
    <x v="0"/>
    <s v="Discharged"/>
    <x v="3"/>
    <x v="0"/>
  </r>
  <r>
    <x v="2880"/>
    <x v="67"/>
    <x v="1"/>
    <x v="0"/>
    <x v="0"/>
    <s v="2025-06-14"/>
    <s v="2025-06-23"/>
    <n v="9"/>
    <n v="10719.58"/>
    <x v="0"/>
    <s v="Discharged"/>
    <x v="3"/>
    <x v="1"/>
  </r>
  <r>
    <x v="2881"/>
    <x v="0"/>
    <x v="0"/>
    <x v="3"/>
    <x v="2"/>
    <s v="2025-10-31"/>
    <s v="2025-11-07"/>
    <n v="7"/>
    <n v="11822.2"/>
    <x v="0"/>
    <s v="Transferred"/>
    <x v="0"/>
    <x v="0"/>
  </r>
  <r>
    <x v="2882"/>
    <x v="47"/>
    <x v="1"/>
    <x v="0"/>
    <x v="2"/>
    <s v="2025-01-16"/>
    <s v="2025-01-21"/>
    <n v="5"/>
    <n v="7656.13"/>
    <x v="0"/>
    <s v="Discharged"/>
    <x v="4"/>
    <x v="0"/>
  </r>
  <r>
    <x v="2883"/>
    <x v="45"/>
    <x v="1"/>
    <x v="5"/>
    <x v="2"/>
    <s v="2025-06-08"/>
    <s v="2025-06-15"/>
    <n v="7"/>
    <n v="11406.92"/>
    <x v="1"/>
    <s v="Discharged"/>
    <x v="1"/>
    <x v="0"/>
  </r>
  <r>
    <x v="2884"/>
    <x v="14"/>
    <x v="0"/>
    <x v="3"/>
    <x v="2"/>
    <s v="2025-06-09"/>
    <s v="2025-06-18"/>
    <n v="9"/>
    <n v="16743.43"/>
    <x v="0"/>
    <s v="Discharged"/>
    <x v="0"/>
    <x v="1"/>
  </r>
  <r>
    <x v="2885"/>
    <x v="38"/>
    <x v="1"/>
    <x v="5"/>
    <x v="2"/>
    <s v="2025-03-13"/>
    <s v="2025-03-18"/>
    <n v="5"/>
    <n v="8423.0499999999993"/>
    <x v="0"/>
    <s v="Discharged"/>
    <x v="0"/>
    <x v="0"/>
  </r>
  <r>
    <x v="2886"/>
    <x v="0"/>
    <x v="1"/>
    <x v="1"/>
    <x v="2"/>
    <s v="2025-04-12"/>
    <s v="2025-04-13"/>
    <n v="1"/>
    <n v="635.85"/>
    <x v="0"/>
    <s v="Discharged"/>
    <x v="0"/>
    <x v="0"/>
  </r>
  <r>
    <x v="2887"/>
    <x v="14"/>
    <x v="1"/>
    <x v="3"/>
    <x v="0"/>
    <s v="2025-10-21"/>
    <s v="2025-10-28"/>
    <n v="7"/>
    <n v="12849.53"/>
    <x v="0"/>
    <s v="Discharged"/>
    <x v="0"/>
    <x v="0"/>
  </r>
  <r>
    <x v="2888"/>
    <x v="4"/>
    <x v="1"/>
    <x v="0"/>
    <x v="2"/>
    <s v="2025-05-24"/>
    <s v="2025-05-29"/>
    <n v="5"/>
    <n v="6809.51"/>
    <x v="1"/>
    <s v="Discharged"/>
    <x v="2"/>
    <x v="0"/>
  </r>
  <r>
    <x v="2889"/>
    <x v="22"/>
    <x v="0"/>
    <x v="5"/>
    <x v="1"/>
    <s v="2025-03-12"/>
    <s v="2025-03-21"/>
    <n v="9"/>
    <n v="13741.35"/>
    <x v="1"/>
    <s v="Discharged"/>
    <x v="3"/>
    <x v="1"/>
  </r>
  <r>
    <x v="2890"/>
    <x v="65"/>
    <x v="1"/>
    <x v="2"/>
    <x v="2"/>
    <s v="2025-10-28"/>
    <s v="2025-11-06"/>
    <n v="9"/>
    <n v="11531.2"/>
    <x v="0"/>
    <s v="Other"/>
    <x v="3"/>
    <x v="1"/>
  </r>
  <r>
    <x v="2891"/>
    <x v="63"/>
    <x v="1"/>
    <x v="2"/>
    <x v="0"/>
    <s v="2025-12-08"/>
    <s v="2025-12-11"/>
    <n v="3"/>
    <n v="10191.33"/>
    <x v="0"/>
    <s v="Discharged"/>
    <x v="3"/>
    <x v="0"/>
  </r>
  <r>
    <x v="2892"/>
    <x v="43"/>
    <x v="1"/>
    <x v="3"/>
    <x v="2"/>
    <s v="2025-02-01"/>
    <s v="2025-02-07"/>
    <n v="6"/>
    <n v="14930.35"/>
    <x v="0"/>
    <s v="Discharged"/>
    <x v="2"/>
    <x v="0"/>
  </r>
  <r>
    <x v="2893"/>
    <x v="10"/>
    <x v="0"/>
    <x v="5"/>
    <x v="0"/>
    <s v="2025-11-05"/>
    <s v="2025-11-10"/>
    <n v="5"/>
    <n v="10064.040000000001"/>
    <x v="0"/>
    <s v="Discharged"/>
    <x v="4"/>
    <x v="0"/>
  </r>
  <r>
    <x v="2894"/>
    <x v="17"/>
    <x v="1"/>
    <x v="1"/>
    <x v="2"/>
    <s v="2025-09-25"/>
    <s v="2025-09-28"/>
    <n v="3"/>
    <n v="4539.1099999999997"/>
    <x v="0"/>
    <s v="Discharged"/>
    <x v="2"/>
    <x v="0"/>
  </r>
  <r>
    <x v="2895"/>
    <x v="48"/>
    <x v="0"/>
    <x v="2"/>
    <x v="0"/>
    <s v="2025-01-28"/>
    <s v="2025-02-05"/>
    <n v="8"/>
    <n v="12163.05"/>
    <x v="0"/>
    <s v="Discharged"/>
    <x v="0"/>
    <x v="1"/>
  </r>
  <r>
    <x v="2896"/>
    <x v="66"/>
    <x v="0"/>
    <x v="0"/>
    <x v="0"/>
    <s v="2025-04-25"/>
    <s v="2025-04-30"/>
    <n v="5"/>
    <n v="7537.83"/>
    <x v="0"/>
    <s v="Discharged"/>
    <x v="1"/>
    <x v="0"/>
  </r>
  <r>
    <x v="2897"/>
    <x v="39"/>
    <x v="1"/>
    <x v="2"/>
    <x v="2"/>
    <s v="2025-03-16"/>
    <s v="2025-03-23"/>
    <n v="7"/>
    <n v="8552.99"/>
    <x v="0"/>
    <s v="Discharged"/>
    <x v="4"/>
    <x v="0"/>
  </r>
  <r>
    <x v="2898"/>
    <x v="13"/>
    <x v="1"/>
    <x v="1"/>
    <x v="0"/>
    <s v="2025-02-25"/>
    <s v="2025-02-28"/>
    <n v="3"/>
    <n v="4901.7700000000004"/>
    <x v="0"/>
    <s v="Discharged"/>
    <x v="1"/>
    <x v="0"/>
  </r>
  <r>
    <x v="2899"/>
    <x v="52"/>
    <x v="0"/>
    <x v="0"/>
    <x v="1"/>
    <s v="2025-09-12"/>
    <s v="2025-09-20"/>
    <n v="8"/>
    <n v="8440.5300000000007"/>
    <x v="0"/>
    <s v="Discharged"/>
    <x v="4"/>
    <x v="1"/>
  </r>
  <r>
    <x v="2900"/>
    <x v="1"/>
    <x v="1"/>
    <x v="5"/>
    <x v="2"/>
    <s v="2025-06-21"/>
    <s v="2025-07-03"/>
    <n v="12"/>
    <n v="12493.25"/>
    <x v="0"/>
    <s v="Discharged"/>
    <x v="0"/>
    <x v="1"/>
  </r>
  <r>
    <x v="2901"/>
    <x v="59"/>
    <x v="1"/>
    <x v="1"/>
    <x v="0"/>
    <s v="2025-04-27"/>
    <s v="2025-04-28"/>
    <n v="1"/>
    <n v="1413.89"/>
    <x v="0"/>
    <s v="Discharged"/>
    <x v="3"/>
    <x v="0"/>
  </r>
  <r>
    <x v="2902"/>
    <x v="33"/>
    <x v="1"/>
    <x v="0"/>
    <x v="0"/>
    <s v="2025-07-18"/>
    <s v="2025-07-21"/>
    <n v="3"/>
    <n v="5599.31"/>
    <x v="0"/>
    <s v="Discharged"/>
    <x v="2"/>
    <x v="0"/>
  </r>
  <r>
    <x v="2903"/>
    <x v="60"/>
    <x v="1"/>
    <x v="3"/>
    <x v="0"/>
    <s v="2025-10-23"/>
    <s v="2025-10-30"/>
    <n v="7"/>
    <n v="14765.75"/>
    <x v="0"/>
    <s v="Discharged"/>
    <x v="3"/>
    <x v="0"/>
  </r>
  <r>
    <x v="2904"/>
    <x v="29"/>
    <x v="1"/>
    <x v="1"/>
    <x v="2"/>
    <s v="2025-06-24"/>
    <s v="2025-07-02"/>
    <n v="8"/>
    <n v="7607.02"/>
    <x v="0"/>
    <s v="Transferred"/>
    <x v="3"/>
    <x v="1"/>
  </r>
  <r>
    <x v="2905"/>
    <x v="38"/>
    <x v="0"/>
    <x v="4"/>
    <x v="2"/>
    <s v="2025-08-20"/>
    <s v="2025-08-24"/>
    <n v="4"/>
    <n v="11982.95"/>
    <x v="0"/>
    <s v="Discharged"/>
    <x v="0"/>
    <x v="0"/>
  </r>
  <r>
    <x v="2906"/>
    <x v="33"/>
    <x v="1"/>
    <x v="1"/>
    <x v="0"/>
    <s v="2025-02-10"/>
    <s v="2025-02-11"/>
    <n v="1"/>
    <n v="2144.2800000000002"/>
    <x v="0"/>
    <s v="Discharged"/>
    <x v="2"/>
    <x v="0"/>
  </r>
  <r>
    <x v="2907"/>
    <x v="68"/>
    <x v="1"/>
    <x v="4"/>
    <x v="2"/>
    <s v="2025-11-17"/>
    <s v="2025-11-25"/>
    <n v="8"/>
    <n v="12969.48"/>
    <x v="0"/>
    <s v="Discharged"/>
    <x v="3"/>
    <x v="1"/>
  </r>
  <r>
    <x v="2908"/>
    <x v="1"/>
    <x v="0"/>
    <x v="3"/>
    <x v="0"/>
    <s v="2025-01-21"/>
    <s v="2025-01-25"/>
    <n v="4"/>
    <n v="12857.34"/>
    <x v="0"/>
    <s v="Discharged"/>
    <x v="0"/>
    <x v="0"/>
  </r>
  <r>
    <x v="2909"/>
    <x v="10"/>
    <x v="0"/>
    <x v="1"/>
    <x v="0"/>
    <s v="2025-12-01"/>
    <s v="2025-12-05"/>
    <n v="4"/>
    <n v="7530.23"/>
    <x v="0"/>
    <s v="Discharged"/>
    <x v="4"/>
    <x v="0"/>
  </r>
  <r>
    <x v="2910"/>
    <x v="34"/>
    <x v="1"/>
    <x v="5"/>
    <x v="2"/>
    <s v="2025-02-01"/>
    <s v="2025-02-07"/>
    <n v="6"/>
    <n v="10988.99"/>
    <x v="0"/>
    <s v="Discharged"/>
    <x v="2"/>
    <x v="0"/>
  </r>
  <r>
    <x v="2911"/>
    <x v="68"/>
    <x v="1"/>
    <x v="1"/>
    <x v="0"/>
    <s v="2025-01-14"/>
    <s v="2025-01-18"/>
    <n v="4"/>
    <n v="5627.97"/>
    <x v="0"/>
    <s v="Discharged"/>
    <x v="3"/>
    <x v="0"/>
  </r>
  <r>
    <x v="2912"/>
    <x v="21"/>
    <x v="1"/>
    <x v="0"/>
    <x v="0"/>
    <s v="2025-08-20"/>
    <s v="2025-08-25"/>
    <n v="5"/>
    <n v="5389.96"/>
    <x v="0"/>
    <s v="Discharged"/>
    <x v="4"/>
    <x v="0"/>
  </r>
  <r>
    <x v="2913"/>
    <x v="45"/>
    <x v="0"/>
    <x v="1"/>
    <x v="2"/>
    <s v="2025-04-14"/>
    <s v="2025-04-17"/>
    <n v="3"/>
    <n v="4892.2299999999996"/>
    <x v="0"/>
    <s v="Discharged"/>
    <x v="1"/>
    <x v="0"/>
  </r>
  <r>
    <x v="2914"/>
    <x v="24"/>
    <x v="1"/>
    <x v="3"/>
    <x v="2"/>
    <s v="2025-07-13"/>
    <s v="2025-07-17"/>
    <n v="4"/>
    <n v="10401.77"/>
    <x v="0"/>
    <s v="Discharged"/>
    <x v="2"/>
    <x v="0"/>
  </r>
  <r>
    <x v="2915"/>
    <x v="30"/>
    <x v="0"/>
    <x v="5"/>
    <x v="2"/>
    <s v="2025-01-27"/>
    <s v="2025-02-01"/>
    <n v="5"/>
    <n v="9982.48"/>
    <x v="0"/>
    <s v="Discharged"/>
    <x v="0"/>
    <x v="0"/>
  </r>
  <r>
    <x v="2916"/>
    <x v="12"/>
    <x v="1"/>
    <x v="1"/>
    <x v="0"/>
    <s v="2025-05-08"/>
    <s v="2025-05-14"/>
    <n v="6"/>
    <n v="4728.28"/>
    <x v="0"/>
    <s v="Discharged"/>
    <x v="2"/>
    <x v="0"/>
  </r>
  <r>
    <x v="2917"/>
    <x v="12"/>
    <x v="0"/>
    <x v="3"/>
    <x v="0"/>
    <s v="2025-08-29"/>
    <s v="2025-09-03"/>
    <n v="5"/>
    <n v="12904.91"/>
    <x v="0"/>
    <s v="Transferred"/>
    <x v="2"/>
    <x v="0"/>
  </r>
  <r>
    <x v="2918"/>
    <x v="44"/>
    <x v="0"/>
    <x v="4"/>
    <x v="2"/>
    <s v="2025-12-05"/>
    <s v="2025-12-11"/>
    <n v="6"/>
    <n v="11566.02"/>
    <x v="0"/>
    <s v="Discharged"/>
    <x v="1"/>
    <x v="0"/>
  </r>
  <r>
    <x v="2919"/>
    <x v="12"/>
    <x v="0"/>
    <x v="4"/>
    <x v="1"/>
    <s v="2025-06-06"/>
    <s v="2025-06-12"/>
    <n v="6"/>
    <n v="10899.86"/>
    <x v="0"/>
    <s v="Discharged"/>
    <x v="2"/>
    <x v="0"/>
  </r>
  <r>
    <x v="2920"/>
    <x v="2"/>
    <x v="0"/>
    <x v="0"/>
    <x v="1"/>
    <s v="2025-11-03"/>
    <s v="2025-11-04"/>
    <n v="1"/>
    <n v="2666.67"/>
    <x v="0"/>
    <s v="Discharged"/>
    <x v="1"/>
    <x v="0"/>
  </r>
  <r>
    <x v="2921"/>
    <x v="7"/>
    <x v="0"/>
    <x v="1"/>
    <x v="2"/>
    <s v="2025-02-11"/>
    <s v="2025-02-15"/>
    <n v="4"/>
    <n v="5329.49"/>
    <x v="0"/>
    <s v="Discharged"/>
    <x v="4"/>
    <x v="0"/>
  </r>
  <r>
    <x v="2922"/>
    <x v="59"/>
    <x v="1"/>
    <x v="4"/>
    <x v="2"/>
    <s v="2025-01-21"/>
    <s v="2025-01-28"/>
    <n v="7"/>
    <n v="13044.24"/>
    <x v="0"/>
    <s v="Discharged"/>
    <x v="3"/>
    <x v="0"/>
  </r>
  <r>
    <x v="2923"/>
    <x v="0"/>
    <x v="1"/>
    <x v="0"/>
    <x v="2"/>
    <s v="2025-11-01"/>
    <s v="2025-11-06"/>
    <n v="5"/>
    <n v="5413.71"/>
    <x v="0"/>
    <s v="Discharged"/>
    <x v="0"/>
    <x v="0"/>
  </r>
  <r>
    <x v="2924"/>
    <x v="6"/>
    <x v="1"/>
    <x v="4"/>
    <x v="2"/>
    <s v="2025-03-24"/>
    <s v="2025-04-01"/>
    <n v="8"/>
    <n v="11179.96"/>
    <x v="0"/>
    <s v="Discharged"/>
    <x v="3"/>
    <x v="1"/>
  </r>
  <r>
    <x v="2925"/>
    <x v="43"/>
    <x v="0"/>
    <x v="2"/>
    <x v="2"/>
    <s v="2025-08-06"/>
    <s v="2025-08-12"/>
    <n v="6"/>
    <n v="9558.09"/>
    <x v="0"/>
    <s v="Transferred"/>
    <x v="2"/>
    <x v="0"/>
  </r>
  <r>
    <x v="2926"/>
    <x v="53"/>
    <x v="1"/>
    <x v="4"/>
    <x v="2"/>
    <s v="2025-08-19"/>
    <s v="2025-08-25"/>
    <n v="6"/>
    <n v="12631.25"/>
    <x v="0"/>
    <s v="Discharged"/>
    <x v="4"/>
    <x v="0"/>
  </r>
  <r>
    <x v="2927"/>
    <x v="51"/>
    <x v="0"/>
    <x v="2"/>
    <x v="0"/>
    <s v="2025-12-03"/>
    <s v="2025-12-09"/>
    <n v="6"/>
    <n v="12759.06"/>
    <x v="0"/>
    <s v="Discharged"/>
    <x v="1"/>
    <x v="0"/>
  </r>
  <r>
    <x v="2928"/>
    <x v="38"/>
    <x v="1"/>
    <x v="1"/>
    <x v="2"/>
    <s v="2025-04-30"/>
    <s v="2025-05-03"/>
    <n v="3"/>
    <n v="6660.54"/>
    <x v="1"/>
    <s v="Discharged"/>
    <x v="0"/>
    <x v="0"/>
  </r>
  <r>
    <x v="2929"/>
    <x v="24"/>
    <x v="1"/>
    <x v="1"/>
    <x v="1"/>
    <s v="2025-03-12"/>
    <s v="2025-03-19"/>
    <n v="7"/>
    <n v="9050.02"/>
    <x v="1"/>
    <s v="Discharged"/>
    <x v="2"/>
    <x v="0"/>
  </r>
  <r>
    <x v="2930"/>
    <x v="41"/>
    <x v="0"/>
    <x v="1"/>
    <x v="2"/>
    <s v="2025-11-18"/>
    <s v="2025-11-20"/>
    <n v="2"/>
    <n v="2761.74"/>
    <x v="0"/>
    <s v="Discharged"/>
    <x v="1"/>
    <x v="0"/>
  </r>
  <r>
    <x v="2931"/>
    <x v="51"/>
    <x v="0"/>
    <x v="1"/>
    <x v="2"/>
    <s v="2025-05-19"/>
    <s v="2025-05-20"/>
    <n v="1"/>
    <n v="2723.21"/>
    <x v="0"/>
    <s v="Discharged"/>
    <x v="1"/>
    <x v="0"/>
  </r>
  <r>
    <x v="2932"/>
    <x v="52"/>
    <x v="1"/>
    <x v="0"/>
    <x v="2"/>
    <s v="2025-01-19"/>
    <s v="2025-01-23"/>
    <n v="4"/>
    <n v="6930.06"/>
    <x v="1"/>
    <s v="Discharged"/>
    <x v="4"/>
    <x v="0"/>
  </r>
  <r>
    <x v="2933"/>
    <x v="19"/>
    <x v="1"/>
    <x v="3"/>
    <x v="0"/>
    <s v="2025-12-20"/>
    <s v="2025-12-27"/>
    <n v="7"/>
    <n v="12536.05"/>
    <x v="1"/>
    <s v="Discharged"/>
    <x v="2"/>
    <x v="0"/>
  </r>
  <r>
    <x v="2934"/>
    <x v="27"/>
    <x v="0"/>
    <x v="4"/>
    <x v="0"/>
    <s v="2025-12-23"/>
    <s v="2025-12-30"/>
    <n v="7"/>
    <n v="14450.37"/>
    <x v="0"/>
    <s v="Other"/>
    <x v="1"/>
    <x v="0"/>
  </r>
  <r>
    <x v="2935"/>
    <x v="6"/>
    <x v="1"/>
    <x v="2"/>
    <x v="0"/>
    <s v="2025-08-06"/>
    <s v="2025-08-12"/>
    <n v="6"/>
    <n v="9587.65"/>
    <x v="0"/>
    <s v="Discharged"/>
    <x v="3"/>
    <x v="0"/>
  </r>
  <r>
    <x v="2936"/>
    <x v="17"/>
    <x v="2"/>
    <x v="2"/>
    <x v="0"/>
    <s v="2025-04-02"/>
    <s v="2025-04-05"/>
    <n v="3"/>
    <n v="10562.07"/>
    <x v="0"/>
    <s v="Discharged"/>
    <x v="2"/>
    <x v="0"/>
  </r>
  <r>
    <x v="2937"/>
    <x v="10"/>
    <x v="1"/>
    <x v="1"/>
    <x v="1"/>
    <s v="2025-09-23"/>
    <s v="2025-09-25"/>
    <n v="2"/>
    <n v="4808.83"/>
    <x v="0"/>
    <s v="Discharged"/>
    <x v="4"/>
    <x v="0"/>
  </r>
  <r>
    <x v="2938"/>
    <x v="21"/>
    <x v="0"/>
    <x v="3"/>
    <x v="0"/>
    <s v="2025-08-23"/>
    <s v="2025-08-27"/>
    <n v="4"/>
    <n v="11441.12"/>
    <x v="0"/>
    <s v="Discharged"/>
    <x v="4"/>
    <x v="0"/>
  </r>
  <r>
    <x v="2939"/>
    <x v="69"/>
    <x v="1"/>
    <x v="1"/>
    <x v="2"/>
    <s v="2025-02-26"/>
    <s v="2025-03-05"/>
    <n v="7"/>
    <n v="9504.99"/>
    <x v="0"/>
    <s v="Discharged"/>
    <x v="3"/>
    <x v="0"/>
  </r>
  <r>
    <x v="2940"/>
    <x v="47"/>
    <x v="0"/>
    <x v="4"/>
    <x v="0"/>
    <s v="2025-05-12"/>
    <s v="2025-05-21"/>
    <n v="9"/>
    <n v="11900.48"/>
    <x v="0"/>
    <s v="Discharged"/>
    <x v="4"/>
    <x v="1"/>
  </r>
  <r>
    <x v="2941"/>
    <x v="11"/>
    <x v="1"/>
    <x v="0"/>
    <x v="2"/>
    <s v="2025-05-16"/>
    <s v="2025-05-22"/>
    <n v="6"/>
    <n v="8617.27"/>
    <x v="0"/>
    <s v="Discharged"/>
    <x v="2"/>
    <x v="0"/>
  </r>
  <r>
    <x v="2942"/>
    <x v="11"/>
    <x v="0"/>
    <x v="1"/>
    <x v="0"/>
    <s v="2025-05-02"/>
    <s v="2025-05-05"/>
    <n v="3"/>
    <n v="5147.6400000000003"/>
    <x v="0"/>
    <s v="Discharged"/>
    <x v="2"/>
    <x v="0"/>
  </r>
  <r>
    <x v="2943"/>
    <x v="19"/>
    <x v="1"/>
    <x v="1"/>
    <x v="0"/>
    <s v="2025-08-20"/>
    <s v="2025-08-23"/>
    <n v="3"/>
    <n v="3563.69"/>
    <x v="0"/>
    <s v="Transferred"/>
    <x v="2"/>
    <x v="0"/>
  </r>
  <r>
    <x v="2944"/>
    <x v="5"/>
    <x v="1"/>
    <x v="5"/>
    <x v="0"/>
    <s v="2025-05-13"/>
    <s v="2025-05-17"/>
    <n v="4"/>
    <n v="10458.6"/>
    <x v="0"/>
    <s v="Discharged"/>
    <x v="0"/>
    <x v="0"/>
  </r>
  <r>
    <x v="2945"/>
    <x v="63"/>
    <x v="0"/>
    <x v="0"/>
    <x v="2"/>
    <s v="2025-03-29"/>
    <s v="2025-04-05"/>
    <n v="7"/>
    <n v="8247.64"/>
    <x v="0"/>
    <s v="Transferred"/>
    <x v="3"/>
    <x v="0"/>
  </r>
  <r>
    <x v="2946"/>
    <x v="64"/>
    <x v="0"/>
    <x v="1"/>
    <x v="2"/>
    <s v="2025-02-06"/>
    <s v="2025-02-09"/>
    <n v="3"/>
    <n v="5871.57"/>
    <x v="0"/>
    <s v="Other"/>
    <x v="4"/>
    <x v="0"/>
  </r>
  <r>
    <x v="2947"/>
    <x v="10"/>
    <x v="0"/>
    <x v="4"/>
    <x v="2"/>
    <s v="2025-08-06"/>
    <s v="2025-08-12"/>
    <n v="6"/>
    <n v="11834.81"/>
    <x v="0"/>
    <s v="Discharged"/>
    <x v="4"/>
    <x v="0"/>
  </r>
  <r>
    <x v="2948"/>
    <x v="56"/>
    <x v="0"/>
    <x v="1"/>
    <x v="2"/>
    <s v="2025-11-04"/>
    <s v="2025-11-09"/>
    <n v="5"/>
    <n v="4801.6899999999996"/>
    <x v="1"/>
    <s v="Transferred"/>
    <x v="0"/>
    <x v="0"/>
  </r>
  <r>
    <x v="2949"/>
    <x v="33"/>
    <x v="1"/>
    <x v="5"/>
    <x v="2"/>
    <s v="2025-04-05"/>
    <s v="2025-04-11"/>
    <n v="6"/>
    <n v="11620.22"/>
    <x v="0"/>
    <s v="Discharged"/>
    <x v="2"/>
    <x v="0"/>
  </r>
  <r>
    <x v="2950"/>
    <x v="16"/>
    <x v="1"/>
    <x v="5"/>
    <x v="2"/>
    <s v="2025-01-23"/>
    <s v="2025-01-29"/>
    <n v="6"/>
    <n v="7509.75"/>
    <x v="0"/>
    <s v="Discharged"/>
    <x v="4"/>
    <x v="0"/>
  </r>
  <r>
    <x v="2951"/>
    <x v="9"/>
    <x v="0"/>
    <x v="0"/>
    <x v="1"/>
    <s v="2025-12-31"/>
    <s v="2026-01-06"/>
    <n v="6"/>
    <n v="5236.2700000000004"/>
    <x v="0"/>
    <s v="Discharged"/>
    <x v="4"/>
    <x v="0"/>
  </r>
  <r>
    <x v="2952"/>
    <x v="72"/>
    <x v="1"/>
    <x v="0"/>
    <x v="1"/>
    <s v="2025-07-15"/>
    <s v="2025-07-28"/>
    <n v="13"/>
    <n v="11292.4"/>
    <x v="0"/>
    <s v="Discharged"/>
    <x v="2"/>
    <x v="1"/>
  </r>
  <r>
    <x v="2953"/>
    <x v="36"/>
    <x v="1"/>
    <x v="2"/>
    <x v="2"/>
    <s v="2025-07-25"/>
    <s v="2025-08-02"/>
    <n v="8"/>
    <n v="12961.57"/>
    <x v="0"/>
    <s v="Discharged"/>
    <x v="1"/>
    <x v="1"/>
  </r>
  <r>
    <x v="2954"/>
    <x v="0"/>
    <x v="0"/>
    <x v="5"/>
    <x v="0"/>
    <s v="2025-05-30"/>
    <s v="2025-06-03"/>
    <n v="4"/>
    <n v="9320.2999999999993"/>
    <x v="0"/>
    <s v="Discharged"/>
    <x v="0"/>
    <x v="0"/>
  </r>
  <r>
    <x v="2955"/>
    <x v="37"/>
    <x v="1"/>
    <x v="4"/>
    <x v="0"/>
    <s v="2025-02-14"/>
    <s v="2025-02-24"/>
    <n v="10"/>
    <n v="14710.39"/>
    <x v="1"/>
    <s v="Transferred"/>
    <x v="1"/>
    <x v="1"/>
  </r>
  <r>
    <x v="2956"/>
    <x v="20"/>
    <x v="1"/>
    <x v="2"/>
    <x v="1"/>
    <s v="2025-12-14"/>
    <s v="2025-12-19"/>
    <n v="5"/>
    <n v="9092.19"/>
    <x v="0"/>
    <s v="Discharged"/>
    <x v="0"/>
    <x v="0"/>
  </r>
  <r>
    <x v="2957"/>
    <x v="50"/>
    <x v="0"/>
    <x v="3"/>
    <x v="2"/>
    <s v="2025-10-18"/>
    <s v="2025-10-24"/>
    <n v="6"/>
    <n v="14381.92"/>
    <x v="0"/>
    <s v="Discharged"/>
    <x v="0"/>
    <x v="0"/>
  </r>
  <r>
    <x v="2958"/>
    <x v="42"/>
    <x v="1"/>
    <x v="1"/>
    <x v="1"/>
    <s v="2025-05-28"/>
    <s v="2025-05-29"/>
    <n v="1"/>
    <n v="3676.23"/>
    <x v="1"/>
    <s v="Transferred"/>
    <x v="4"/>
    <x v="0"/>
  </r>
  <r>
    <x v="2959"/>
    <x v="23"/>
    <x v="1"/>
    <x v="1"/>
    <x v="0"/>
    <s v="2025-11-26"/>
    <s v="2025-11-29"/>
    <n v="3"/>
    <n v="5784.38"/>
    <x v="0"/>
    <s v="Discharged"/>
    <x v="3"/>
    <x v="0"/>
  </r>
  <r>
    <x v="2960"/>
    <x v="58"/>
    <x v="0"/>
    <x v="5"/>
    <x v="2"/>
    <s v="2025-11-07"/>
    <s v="2025-11-12"/>
    <n v="5"/>
    <n v="11785.34"/>
    <x v="0"/>
    <s v="Discharged"/>
    <x v="2"/>
    <x v="0"/>
  </r>
  <r>
    <x v="2961"/>
    <x v="57"/>
    <x v="0"/>
    <x v="1"/>
    <x v="0"/>
    <s v="2025-11-23"/>
    <s v="2025-11-25"/>
    <n v="2"/>
    <n v="4765.1499999999996"/>
    <x v="1"/>
    <s v="Discharged"/>
    <x v="3"/>
    <x v="0"/>
  </r>
  <r>
    <x v="2962"/>
    <x v="60"/>
    <x v="0"/>
    <x v="3"/>
    <x v="1"/>
    <s v="2025-06-20"/>
    <s v="2025-06-29"/>
    <n v="9"/>
    <n v="14199.17"/>
    <x v="0"/>
    <s v="Discharged"/>
    <x v="3"/>
    <x v="1"/>
  </r>
  <r>
    <x v="2963"/>
    <x v="3"/>
    <x v="0"/>
    <x v="3"/>
    <x v="2"/>
    <s v="2025-01-06"/>
    <s v="2025-01-13"/>
    <n v="7"/>
    <n v="12534.24"/>
    <x v="0"/>
    <s v="Discharged"/>
    <x v="0"/>
    <x v="0"/>
  </r>
  <r>
    <x v="2964"/>
    <x v="37"/>
    <x v="1"/>
    <x v="3"/>
    <x v="2"/>
    <s v="2025-07-30"/>
    <s v="2025-08-07"/>
    <n v="8"/>
    <n v="13357.71"/>
    <x v="0"/>
    <s v="Discharged"/>
    <x v="1"/>
    <x v="1"/>
  </r>
  <r>
    <x v="2965"/>
    <x v="47"/>
    <x v="0"/>
    <x v="1"/>
    <x v="2"/>
    <s v="2025-03-16"/>
    <s v="2025-03-20"/>
    <n v="4"/>
    <n v="5814.96"/>
    <x v="0"/>
    <s v="Discharged"/>
    <x v="4"/>
    <x v="0"/>
  </r>
  <r>
    <x v="2966"/>
    <x v="30"/>
    <x v="0"/>
    <x v="1"/>
    <x v="2"/>
    <s v="2025-10-30"/>
    <s v="2025-11-04"/>
    <n v="5"/>
    <n v="6601.5"/>
    <x v="0"/>
    <s v="Discharged"/>
    <x v="0"/>
    <x v="0"/>
  </r>
  <r>
    <x v="2967"/>
    <x v="70"/>
    <x v="0"/>
    <x v="5"/>
    <x v="1"/>
    <s v="2025-11-26"/>
    <s v="2025-11-30"/>
    <n v="4"/>
    <n v="8650.16"/>
    <x v="0"/>
    <s v="Discharged"/>
    <x v="1"/>
    <x v="0"/>
  </r>
  <r>
    <x v="2968"/>
    <x v="56"/>
    <x v="1"/>
    <x v="5"/>
    <x v="2"/>
    <s v="2025-01-15"/>
    <s v="2025-01-23"/>
    <n v="8"/>
    <n v="14087.17"/>
    <x v="0"/>
    <s v="Discharged"/>
    <x v="0"/>
    <x v="1"/>
  </r>
  <r>
    <x v="2969"/>
    <x v="24"/>
    <x v="0"/>
    <x v="1"/>
    <x v="2"/>
    <s v="2025-11-18"/>
    <s v="2025-11-23"/>
    <n v="5"/>
    <n v="5883.81"/>
    <x v="0"/>
    <s v="Discharged"/>
    <x v="2"/>
    <x v="0"/>
  </r>
  <r>
    <x v="2970"/>
    <x v="31"/>
    <x v="1"/>
    <x v="4"/>
    <x v="0"/>
    <s v="2025-12-02"/>
    <s v="2025-12-09"/>
    <n v="7"/>
    <n v="11643.83"/>
    <x v="0"/>
    <s v="Transferred"/>
    <x v="2"/>
    <x v="0"/>
  </r>
  <r>
    <x v="2971"/>
    <x v="58"/>
    <x v="1"/>
    <x v="0"/>
    <x v="0"/>
    <s v="2025-01-14"/>
    <s v="2025-01-19"/>
    <n v="5"/>
    <n v="7837.63"/>
    <x v="0"/>
    <s v="Discharged"/>
    <x v="2"/>
    <x v="0"/>
  </r>
  <r>
    <x v="2972"/>
    <x v="71"/>
    <x v="0"/>
    <x v="4"/>
    <x v="2"/>
    <s v="2025-06-21"/>
    <s v="2025-07-02"/>
    <n v="11"/>
    <n v="13846.3"/>
    <x v="0"/>
    <s v="Discharged"/>
    <x v="1"/>
    <x v="1"/>
  </r>
  <r>
    <x v="2973"/>
    <x v="13"/>
    <x v="0"/>
    <x v="3"/>
    <x v="2"/>
    <s v="2025-10-06"/>
    <s v="2025-10-12"/>
    <n v="6"/>
    <n v="12145.44"/>
    <x v="1"/>
    <s v="Discharged"/>
    <x v="1"/>
    <x v="0"/>
  </r>
  <r>
    <x v="2974"/>
    <x v="42"/>
    <x v="1"/>
    <x v="4"/>
    <x v="2"/>
    <s v="2025-07-22"/>
    <s v="2025-07-29"/>
    <n v="7"/>
    <n v="14238.65"/>
    <x v="0"/>
    <s v="Other"/>
    <x v="4"/>
    <x v="0"/>
  </r>
  <r>
    <x v="2975"/>
    <x v="53"/>
    <x v="0"/>
    <x v="1"/>
    <x v="2"/>
    <s v="2025-09-26"/>
    <s v="2025-09-27"/>
    <n v="1"/>
    <n v="937.3"/>
    <x v="0"/>
    <s v="Discharged"/>
    <x v="4"/>
    <x v="0"/>
  </r>
  <r>
    <x v="2976"/>
    <x v="24"/>
    <x v="1"/>
    <x v="2"/>
    <x v="2"/>
    <s v="2025-12-31"/>
    <s v="2026-01-12"/>
    <n v="12"/>
    <n v="13506.46"/>
    <x v="1"/>
    <s v="Discharged"/>
    <x v="2"/>
    <x v="1"/>
  </r>
  <r>
    <x v="2977"/>
    <x v="36"/>
    <x v="0"/>
    <x v="1"/>
    <x v="1"/>
    <s v="2025-05-08"/>
    <s v="2025-05-11"/>
    <n v="3"/>
    <n v="4164.05"/>
    <x v="0"/>
    <s v="Discharged"/>
    <x v="1"/>
    <x v="0"/>
  </r>
  <r>
    <x v="2978"/>
    <x v="6"/>
    <x v="0"/>
    <x v="0"/>
    <x v="2"/>
    <s v="2025-08-28"/>
    <s v="2025-09-02"/>
    <n v="5"/>
    <n v="5327.43"/>
    <x v="0"/>
    <s v="Discharged"/>
    <x v="3"/>
    <x v="0"/>
  </r>
  <r>
    <x v="2979"/>
    <x v="60"/>
    <x v="0"/>
    <x v="5"/>
    <x v="2"/>
    <s v="2025-07-18"/>
    <s v="2025-07-21"/>
    <n v="3"/>
    <n v="8299.33"/>
    <x v="0"/>
    <s v="Discharged"/>
    <x v="3"/>
    <x v="0"/>
  </r>
  <r>
    <x v="2980"/>
    <x v="5"/>
    <x v="0"/>
    <x v="2"/>
    <x v="2"/>
    <s v="2025-02-08"/>
    <s v="2025-02-13"/>
    <n v="5"/>
    <n v="8302.19"/>
    <x v="0"/>
    <s v="Discharged"/>
    <x v="0"/>
    <x v="0"/>
  </r>
  <r>
    <x v="2981"/>
    <x v="14"/>
    <x v="0"/>
    <x v="5"/>
    <x v="0"/>
    <s v="2025-12-31"/>
    <s v="2026-01-08"/>
    <n v="8"/>
    <n v="11221.91"/>
    <x v="0"/>
    <s v="Transferred"/>
    <x v="0"/>
    <x v="1"/>
  </r>
  <r>
    <x v="2982"/>
    <x v="13"/>
    <x v="1"/>
    <x v="4"/>
    <x v="0"/>
    <s v="2025-06-13"/>
    <s v="2025-06-21"/>
    <n v="8"/>
    <n v="13194.62"/>
    <x v="0"/>
    <s v="Transferred"/>
    <x v="1"/>
    <x v="1"/>
  </r>
  <r>
    <x v="2983"/>
    <x v="57"/>
    <x v="2"/>
    <x v="1"/>
    <x v="2"/>
    <s v="2025-04-28"/>
    <s v="2025-05-03"/>
    <n v="5"/>
    <n v="5979.29"/>
    <x v="0"/>
    <s v="Discharged"/>
    <x v="3"/>
    <x v="0"/>
  </r>
  <r>
    <x v="2984"/>
    <x v="52"/>
    <x v="1"/>
    <x v="2"/>
    <x v="1"/>
    <s v="2025-06-10"/>
    <s v="2025-06-15"/>
    <n v="5"/>
    <n v="9785.75"/>
    <x v="0"/>
    <s v="Discharged"/>
    <x v="4"/>
    <x v="0"/>
  </r>
  <r>
    <x v="2985"/>
    <x v="11"/>
    <x v="1"/>
    <x v="3"/>
    <x v="2"/>
    <s v="2025-10-14"/>
    <s v="2025-10-20"/>
    <n v="6"/>
    <n v="14961.63"/>
    <x v="0"/>
    <s v="Discharged"/>
    <x v="2"/>
    <x v="0"/>
  </r>
  <r>
    <x v="2986"/>
    <x v="3"/>
    <x v="1"/>
    <x v="4"/>
    <x v="2"/>
    <s v="2025-09-05"/>
    <s v="2025-09-09"/>
    <n v="4"/>
    <n v="10152.64"/>
    <x v="1"/>
    <s v="Discharged"/>
    <x v="0"/>
    <x v="0"/>
  </r>
  <r>
    <x v="2987"/>
    <x v="50"/>
    <x v="0"/>
    <x v="2"/>
    <x v="1"/>
    <s v="2025-11-30"/>
    <s v="2025-12-06"/>
    <n v="6"/>
    <n v="12600.04"/>
    <x v="0"/>
    <s v="Discharged"/>
    <x v="0"/>
    <x v="0"/>
  </r>
  <r>
    <x v="2988"/>
    <x v="50"/>
    <x v="1"/>
    <x v="0"/>
    <x v="1"/>
    <s v="2025-07-17"/>
    <s v="2025-07-20"/>
    <n v="3"/>
    <n v="5759.13"/>
    <x v="0"/>
    <s v="Discharged"/>
    <x v="0"/>
    <x v="0"/>
  </r>
  <r>
    <x v="2989"/>
    <x v="1"/>
    <x v="1"/>
    <x v="5"/>
    <x v="1"/>
    <s v="2025-05-16"/>
    <s v="2025-05-20"/>
    <n v="4"/>
    <n v="9071.14"/>
    <x v="0"/>
    <s v="Discharged"/>
    <x v="0"/>
    <x v="0"/>
  </r>
  <r>
    <x v="2990"/>
    <x v="65"/>
    <x v="1"/>
    <x v="0"/>
    <x v="1"/>
    <s v="2025-01-14"/>
    <s v="2025-01-19"/>
    <n v="5"/>
    <n v="5144.9799999999996"/>
    <x v="0"/>
    <s v="Discharged"/>
    <x v="3"/>
    <x v="0"/>
  </r>
  <r>
    <x v="2991"/>
    <x v="60"/>
    <x v="2"/>
    <x v="1"/>
    <x v="2"/>
    <s v="2025-10-21"/>
    <s v="2025-10-28"/>
    <n v="7"/>
    <n v="8239.7900000000009"/>
    <x v="0"/>
    <s v="Discharged"/>
    <x v="3"/>
    <x v="0"/>
  </r>
  <r>
    <x v="2992"/>
    <x v="36"/>
    <x v="0"/>
    <x v="5"/>
    <x v="0"/>
    <s v="2025-12-20"/>
    <s v="2025-12-23"/>
    <n v="3"/>
    <n v="8700.52"/>
    <x v="0"/>
    <s v="Discharged"/>
    <x v="1"/>
    <x v="0"/>
  </r>
  <r>
    <x v="2993"/>
    <x v="11"/>
    <x v="1"/>
    <x v="4"/>
    <x v="2"/>
    <s v="2025-01-30"/>
    <s v="2025-02-05"/>
    <n v="6"/>
    <n v="12078.97"/>
    <x v="1"/>
    <s v="Discharged"/>
    <x v="2"/>
    <x v="0"/>
  </r>
  <r>
    <x v="2994"/>
    <x v="21"/>
    <x v="1"/>
    <x v="3"/>
    <x v="2"/>
    <s v="2025-09-18"/>
    <s v="2025-09-25"/>
    <n v="7"/>
    <n v="12965.15"/>
    <x v="0"/>
    <s v="Transferred"/>
    <x v="4"/>
    <x v="0"/>
  </r>
  <r>
    <x v="2995"/>
    <x v="8"/>
    <x v="0"/>
    <x v="5"/>
    <x v="1"/>
    <s v="2025-06-28"/>
    <s v="2025-07-05"/>
    <n v="7"/>
    <n v="9000.18"/>
    <x v="0"/>
    <s v="Discharged"/>
    <x v="3"/>
    <x v="0"/>
  </r>
  <r>
    <x v="2996"/>
    <x v="46"/>
    <x v="1"/>
    <x v="0"/>
    <x v="0"/>
    <s v="2025-07-06"/>
    <s v="2025-07-09"/>
    <n v="3"/>
    <n v="6373.88"/>
    <x v="0"/>
    <s v="Discharged"/>
    <x v="1"/>
    <x v="0"/>
  </r>
  <r>
    <x v="2997"/>
    <x v="42"/>
    <x v="0"/>
    <x v="4"/>
    <x v="2"/>
    <s v="2025-08-10"/>
    <s v="2025-08-17"/>
    <n v="7"/>
    <n v="12027.45"/>
    <x v="0"/>
    <s v="Discharged"/>
    <x v="4"/>
    <x v="0"/>
  </r>
  <r>
    <x v="2998"/>
    <x v="10"/>
    <x v="1"/>
    <x v="3"/>
    <x v="0"/>
    <s v="2025-01-04"/>
    <s v="2025-01-08"/>
    <n v="4"/>
    <n v="11453.65"/>
    <x v="0"/>
    <s v="Discharged"/>
    <x v="4"/>
    <x v="0"/>
  </r>
  <r>
    <x v="2999"/>
    <x v="58"/>
    <x v="0"/>
    <x v="1"/>
    <x v="1"/>
    <s v="2025-07-05"/>
    <s v="2025-07-09"/>
    <n v="4"/>
    <n v="4891.57"/>
    <x v="0"/>
    <s v="Discharged"/>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4B2B9-0A74-462E-92FB-A284E786EBC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ng-Stay ?">
  <location ref="A23:B26" firstHeaderRow="1" firstDataRow="1" firstDataCol="1"/>
  <pivotFields count="13">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4">
        <item h="1" x="1"/>
        <item x="0"/>
        <item h="1" x="2"/>
        <item t="default"/>
      </items>
    </pivotField>
    <pivotField showAll="0">
      <items count="7">
        <item x="2"/>
        <item x="1"/>
        <item x="0"/>
        <item x="4"/>
        <item x="3"/>
        <item x="5"/>
        <item t="default"/>
      </items>
    </pivotField>
    <pivotField showAll="0">
      <items count="4">
        <item x="0"/>
        <item x="2"/>
        <item x="1"/>
        <item t="default"/>
      </items>
    </pivotField>
    <pivotField showAll="0"/>
    <pivotField showAll="0"/>
    <pivotField showAll="0"/>
    <pivotField numFmtId="164" showAll="0"/>
    <pivotField showAll="0"/>
    <pivotField showAll="0"/>
    <pivotField showAll="0">
      <items count="6">
        <item x="0"/>
        <item x="4"/>
        <item x="1"/>
        <item x="2"/>
        <item x="3"/>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Count"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7BBFF-4267-407A-9B4F-A4DC87BDAD0D}"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13:B20" firstHeaderRow="1" firstDataRow="1" firstDataCol="1"/>
  <pivotFields count="13">
    <pivotField showAll="0"/>
    <pivotField showAll="0"/>
    <pivotField showAll="0">
      <items count="4">
        <item h="1" x="1"/>
        <item x="0"/>
        <item h="1" x="2"/>
        <item t="default"/>
      </items>
    </pivotField>
    <pivotField axis="axisRow" showAll="0" sortType="descending">
      <items count="7">
        <item x="2"/>
        <item x="1"/>
        <item x="0"/>
        <item x="4"/>
        <item x="3"/>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dataField="1" showAll="0"/>
    <pivotField numFmtId="164" showAll="0"/>
    <pivotField showAll="0"/>
    <pivotField showAll="0"/>
    <pivotField showAll="0">
      <items count="6">
        <item x="0"/>
        <item x="4"/>
        <item x="1"/>
        <item x="2"/>
        <item x="3"/>
        <item t="default"/>
      </items>
    </pivotField>
    <pivotField showAll="0">
      <items count="3">
        <item x="0"/>
        <item x="1"/>
        <item t="default"/>
      </items>
    </pivotField>
  </pivotFields>
  <rowFields count="1">
    <field x="3"/>
  </rowFields>
  <rowItems count="7">
    <i>
      <x v="4"/>
    </i>
    <i>
      <x v="3"/>
    </i>
    <i>
      <x/>
    </i>
    <i>
      <x v="5"/>
    </i>
    <i>
      <x v="2"/>
    </i>
    <i>
      <x v="1"/>
    </i>
    <i t="grand">
      <x/>
    </i>
  </rowItems>
  <colItems count="1">
    <i/>
  </colItems>
  <dataFields count="1">
    <dataField name="Average length of stay" fld="7" subtotal="average" baseField="3"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2DA2E-9E44-419A-A175-01F6FC234BFD}"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admitted">
  <location ref="G11:H14" firstHeaderRow="1" firstDataRow="1" firstDataCol="1"/>
  <pivotFields count="13">
    <pivotField dataField="1" showAll="0"/>
    <pivotField showAll="0"/>
    <pivotField showAll="0">
      <items count="4">
        <item h="1" x="1"/>
        <item x="0"/>
        <item h="1" x="2"/>
        <item t="default"/>
      </items>
    </pivotField>
    <pivotField showAll="0">
      <items count="7">
        <item x="2"/>
        <item x="1"/>
        <item x="0"/>
        <item x="4"/>
        <item x="3"/>
        <item x="5"/>
        <item t="default"/>
      </items>
    </pivotField>
    <pivotField showAll="0">
      <items count="4">
        <item x="0"/>
        <item x="2"/>
        <item x="1"/>
        <item t="default"/>
      </items>
    </pivotField>
    <pivotField showAll="0"/>
    <pivotField showAll="0"/>
    <pivotField showAll="0"/>
    <pivotField numFmtId="164" showAll="0"/>
    <pivotField axis="axisRow" showAll="0">
      <items count="3">
        <item x="0"/>
        <item x="1"/>
        <item t="default"/>
      </items>
    </pivotField>
    <pivotField showAll="0"/>
    <pivotField showAll="0">
      <items count="6">
        <item x="0"/>
        <item x="4"/>
        <item x="1"/>
        <item x="2"/>
        <item x="3"/>
        <item t="default"/>
      </items>
    </pivotField>
    <pivotField showAll="0">
      <items count="3">
        <item x="0"/>
        <item x="1"/>
        <item t="default"/>
      </items>
    </pivotField>
  </pivotFields>
  <rowFields count="1">
    <field x="9"/>
  </rowFields>
  <rowItems count="3">
    <i>
      <x/>
    </i>
    <i>
      <x v="1"/>
    </i>
    <i t="grand">
      <x/>
    </i>
  </rowItems>
  <colItems count="1">
    <i/>
  </colItems>
  <dataFields count="1">
    <dataField name="percentage" fld="0" subtotal="count" showDataAs="percentOfTotal" baseField="9"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15123-E406-4058-B7FC-B231928A523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dmission_type">
  <location ref="J1:K5" firstHeaderRow="1" firstDataRow="1" firstDataCol="1"/>
  <pivotFields count="13">
    <pivotField showAll="0"/>
    <pivotField showAll="0"/>
    <pivotField showAll="0">
      <items count="4">
        <item h="1" x="1"/>
        <item x="0"/>
        <item h="1" x="2"/>
        <item t="default"/>
      </items>
    </pivotField>
    <pivotField showAll="0">
      <items count="7">
        <item x="2"/>
        <item x="1"/>
        <item x="0"/>
        <item x="4"/>
        <item x="3"/>
        <item x="5"/>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showAll="0"/>
    <pivotField showAll="0"/>
    <pivotField showAll="0">
      <items count="6">
        <item x="0"/>
        <item x="4"/>
        <item x="1"/>
        <item x="2"/>
        <item x="3"/>
        <item t="default"/>
      </items>
    </pivotField>
    <pivotField showAll="0">
      <items count="3">
        <item x="0"/>
        <item x="1"/>
        <item t="default"/>
      </items>
    </pivotField>
  </pivotFields>
  <rowFields count="1">
    <field x="4"/>
  </rowFields>
  <rowItems count="4">
    <i>
      <x/>
    </i>
    <i>
      <x v="2"/>
    </i>
    <i>
      <x v="1"/>
    </i>
    <i t="grand">
      <x/>
    </i>
  </rowItems>
  <colItems count="1">
    <i/>
  </colItems>
  <dataFields count="1">
    <dataField name="average_day_stay_length" fld="7" subtotal="average" baseField="4" baseItem="0" numFmtId="2"/>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B4A52A-1495-473F-9A46-7A114996CC40}"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G1:H8" firstHeaderRow="1" firstDataRow="1" firstDataCol="1"/>
  <pivotFields count="13">
    <pivotField showAll="0"/>
    <pivotField showAll="0">
      <items count="74">
        <item x="3"/>
        <item x="38"/>
        <item x="48"/>
        <item x="56"/>
        <item x="20"/>
        <item x="14"/>
        <item x="30"/>
        <item x="50"/>
        <item x="49"/>
        <item x="0"/>
        <item x="1"/>
        <item x="5"/>
        <item x="55"/>
        <item x="61"/>
        <item x="35"/>
        <item x="42"/>
        <item x="47"/>
        <item x="52"/>
        <item x="7"/>
        <item x="64"/>
        <item x="10"/>
        <item x="28"/>
        <item x="9"/>
        <item x="21"/>
        <item x="53"/>
        <item x="16"/>
        <item x="39"/>
        <item x="37"/>
        <item x="27"/>
        <item x="51"/>
        <item x="66"/>
        <item x="2"/>
        <item x="15"/>
        <item x="13"/>
        <item x="41"/>
        <item x="44"/>
        <item x="46"/>
        <item x="36"/>
        <item x="71"/>
        <item x="70"/>
        <item x="45"/>
        <item x="40"/>
        <item x="72"/>
        <item x="17"/>
        <item x="54"/>
        <item x="25"/>
        <item x="62"/>
        <item x="43"/>
        <item x="12"/>
        <item x="34"/>
        <item x="4"/>
        <item x="24"/>
        <item x="58"/>
        <item x="19"/>
        <item x="11"/>
        <item x="31"/>
        <item x="33"/>
        <item x="18"/>
        <item x="60"/>
        <item x="6"/>
        <item x="8"/>
        <item x="63"/>
        <item x="67"/>
        <item x="32"/>
        <item x="59"/>
        <item x="68"/>
        <item x="69"/>
        <item x="29"/>
        <item x="26"/>
        <item x="65"/>
        <item x="57"/>
        <item x="22"/>
        <item x="23"/>
        <item t="default"/>
      </items>
    </pivotField>
    <pivotField showAll="0">
      <items count="4">
        <item h="1" x="1"/>
        <item x="0"/>
        <item h="1" x="2"/>
        <item t="default"/>
      </items>
    </pivotField>
    <pivotField axis="axisRow" showAll="0" sortType="descending">
      <items count="7">
        <item x="2"/>
        <item x="1"/>
        <item x="0"/>
        <item x="4"/>
        <item x="3"/>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dataField="1" numFmtId="164" showAll="0"/>
    <pivotField showAll="0"/>
    <pivotField showAll="0"/>
    <pivotField showAll="0">
      <items count="6">
        <item x="0"/>
        <item x="4"/>
        <item x="1"/>
        <item x="2"/>
        <item x="3"/>
        <item t="default"/>
      </items>
    </pivotField>
    <pivotField showAll="0">
      <items count="3">
        <item x="0"/>
        <item x="1"/>
        <item t="default"/>
      </items>
    </pivotField>
  </pivotFields>
  <rowFields count="1">
    <field x="3"/>
  </rowFields>
  <rowItems count="7">
    <i>
      <x v="4"/>
    </i>
    <i>
      <x v="3"/>
    </i>
    <i>
      <x/>
    </i>
    <i>
      <x v="5"/>
    </i>
    <i>
      <x v="2"/>
    </i>
    <i>
      <x v="1"/>
    </i>
    <i t="grand">
      <x/>
    </i>
  </rowItems>
  <colItems count="1">
    <i/>
  </colItems>
  <dataFields count="1">
    <dataField name="Average_treatment_cost" fld="8"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A965D9-F2F6-4998-8A3D-8C42F6B41BBE}" name="PivotTable2"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Department">
  <location ref="A3:B10" firstHeaderRow="1" firstDataRow="1" firstDataCol="1" rowPageCount="1" colPageCount="1"/>
  <pivotFields count="13">
    <pivotField dataField="1" showAll="0"/>
    <pivotField showAll="0"/>
    <pivotField axis="axisPage" showAll="0">
      <items count="4">
        <item x="1"/>
        <item x="0"/>
        <item x="2"/>
        <item t="default"/>
      </items>
    </pivotField>
    <pivotField axis="axisRow" showAll="0" sortType="descending">
      <items count="7">
        <item x="2"/>
        <item x="1"/>
        <item x="0"/>
        <item x="4"/>
        <item x="3"/>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numFmtId="164" showAll="0"/>
    <pivotField showAll="0"/>
    <pivotField showAll="0"/>
    <pivotField showAll="0">
      <items count="6">
        <item x="0"/>
        <item x="4"/>
        <item x="1"/>
        <item x="2"/>
        <item x="3"/>
        <item t="default"/>
      </items>
    </pivotField>
    <pivotField showAll="0">
      <items count="3">
        <item x="0"/>
        <item x="1"/>
        <item t="default"/>
      </items>
    </pivotField>
  </pivotFields>
  <rowFields count="1">
    <field x="3"/>
  </rowFields>
  <rowItems count="7">
    <i>
      <x v="1"/>
    </i>
    <i>
      <x v="2"/>
    </i>
    <i>
      <x v="5"/>
    </i>
    <i>
      <x/>
    </i>
    <i>
      <x v="4"/>
    </i>
    <i>
      <x v="3"/>
    </i>
    <i t="grand">
      <x/>
    </i>
  </rowItems>
  <colItems count="1">
    <i/>
  </colItems>
  <pageFields count="1">
    <pageField fld="2" item="1" hier="-1"/>
  </pageFields>
  <dataFields count="1">
    <dataField name="Number of Patients"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32C3E1-8E0B-4A50-999B-7C9205230E3A}"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_group">
  <location ref="D1:E7" firstHeaderRow="1" firstDataRow="1" firstDataCol="1"/>
  <pivotFields count="13">
    <pivotField showAll="0"/>
    <pivotField showAll="0"/>
    <pivotField showAll="0">
      <items count="4">
        <item h="1" x="1"/>
        <item x="0"/>
        <item h="1" x="2"/>
        <item t="default"/>
      </items>
    </pivotField>
    <pivotField showAll="0">
      <items count="7">
        <item x="2"/>
        <item x="1"/>
        <item x="0"/>
        <item x="4"/>
        <item x="3"/>
        <item x="5"/>
        <item t="default"/>
      </items>
    </pivotField>
    <pivotField showAll="0">
      <items count="4">
        <item x="0"/>
        <item x="2"/>
        <item x="1"/>
        <item t="default"/>
      </items>
    </pivotField>
    <pivotField showAll="0"/>
    <pivotField showAll="0"/>
    <pivotField dataField="1" showAll="0"/>
    <pivotField numFmtId="164" showAll="0"/>
    <pivotField showAll="0"/>
    <pivotField showAll="0"/>
    <pivotField axis="axisRow" showAll="0" sortType="de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1"/>
  </rowFields>
  <rowItems count="6">
    <i>
      <x v="4"/>
    </i>
    <i>
      <x v="3"/>
    </i>
    <i>
      <x/>
    </i>
    <i>
      <x v="2"/>
    </i>
    <i>
      <x v="1"/>
    </i>
    <i t="grand">
      <x/>
    </i>
  </rowItems>
  <colItems count="1">
    <i/>
  </colItems>
  <dataFields count="1">
    <dataField name="Average_day_stay_length" fld="7" subtotal="average" baseField="11"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517C0C-6192-4A31-8237-E3A9BE0E59D0}" sourceName="gender">
  <pivotTables>
    <pivotTable tabId="3" name="PivotTable4"/>
    <pivotTable tabId="3" name="PivotTable1"/>
    <pivotTable tabId="3" name="PivotTable2"/>
    <pivotTable tabId="3" name="PivotTable5"/>
    <pivotTable tabId="3" name="PivotTable6"/>
    <pivotTable tabId="3" name="PivotTable7"/>
    <pivotTable tabId="3" name="PivotTable9"/>
  </pivotTables>
  <data>
    <tabular pivotCacheId="1913008106">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A201E62-9F79-4910-9CBC-7B9F3D849F6A}" sourceName="department">
  <pivotTables>
    <pivotTable tabId="3" name="PivotTable4"/>
    <pivotTable tabId="3" name="PivotTable1"/>
    <pivotTable tabId="3" name="PivotTable2"/>
    <pivotTable tabId="3" name="PivotTable5"/>
    <pivotTable tabId="3" name="PivotTable6"/>
    <pivotTable tabId="3" name="PivotTable7"/>
    <pivotTable tabId="3" name="PivotTable9"/>
  </pivotTables>
  <data>
    <tabular pivotCacheId="1913008106">
      <items count="6">
        <i x="2" s="1"/>
        <i x="1" s="1"/>
        <i x="0"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31801F64-ED05-4332-8B64-08207131EA8F}" sourceName="admission_type">
  <pivotTables>
    <pivotTable tabId="3" name="PivotTable9"/>
    <pivotTable tabId="3" name="PivotTable1"/>
    <pivotTable tabId="3" name="PivotTable2"/>
    <pivotTable tabId="3" name="PivotTable4"/>
    <pivotTable tabId="3" name="PivotTable5"/>
    <pivotTable tabId="3" name="PivotTable6"/>
    <pivotTable tabId="3" name="PivotTable7"/>
  </pivotTables>
  <data>
    <tabular pivotCacheId="191300810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3E2E320-3E1D-44DE-AD67-FCDD2D00BF65}" sourceName="age_group">
  <pivotTables>
    <pivotTable tabId="3" name="PivotTable9"/>
    <pivotTable tabId="3" name="PivotTable1"/>
    <pivotTable tabId="3" name="PivotTable2"/>
    <pivotTable tabId="3" name="PivotTable4"/>
    <pivotTable tabId="3" name="PivotTable5"/>
    <pivotTable tabId="3" name="PivotTable6"/>
    <pivotTable tabId="3" name="PivotTable7"/>
  </pivotTables>
  <data>
    <tabular pivotCacheId="1913008106">
      <items count="5">
        <i x="0" s="1"/>
        <i x="4"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ng_Stay" xr10:uid="{6BFE48DF-9DFB-4D0E-89B5-4C369A9D38A7}" sourceName="Long_Stay">
  <pivotTables>
    <pivotTable tabId="3" name="PivotTable9"/>
    <pivotTable tabId="3" name="PivotTable1"/>
    <pivotTable tabId="3" name="PivotTable2"/>
    <pivotTable tabId="3" name="PivotTable4"/>
    <pivotTable tabId="3" name="PivotTable5"/>
    <pivotTable tabId="3" name="PivotTable6"/>
    <pivotTable tabId="3" name="PivotTable7"/>
  </pivotTables>
  <data>
    <tabular pivotCacheId="19130081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F2F797-B040-4AAF-BA2C-AC61F7189E9C}" cache="Slicer_gender" caption="Gender" style="SlicerStyleLight5" rowHeight="234950"/>
  <slicer name="department" xr10:uid="{06985933-88A9-4FDE-BF42-558E42BA30A4}" cache="Slicer_department" caption="Department" columnCount="2" style="SlicerStyleLight5" rowHeight="234950"/>
  <slicer name="admission_type" xr10:uid="{FD59BE05-EDA8-4B7D-AE44-9225DD3E3DF7}" cache="Slicer_admission_type" caption="Admission Type" style="SlicerStyleLight5" rowHeight="234950"/>
  <slicer name="age_group" xr10:uid="{D4C83000-7BE7-424C-A5E0-2C6B4B3A87B8}" cache="Slicer_age_group" caption="Age Group" columnCount="2" style="SlicerStyleLight5" rowHeight="234950"/>
  <slicer name="Long_Stay" xr10:uid="{0D014EDB-82DC-473C-A3F0-8BB20064A0F9}" cache="Slicer_Long_Stay" caption="Long Stay ?"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4871AD-2A35-4D4C-A743-DE6F25A3AB24}" name="Table1" displayName="Table1" ref="A1:M3001" totalsRowShown="0" headerRowDxfId="5" headerRowBorderDxfId="4" tableBorderDxfId="3">
  <autoFilter ref="A1:M3001" xr:uid="{00000000-0009-0000-0000-000000000000}"/>
  <tableColumns count="13">
    <tableColumn id="1" xr3:uid="{E8119411-5CBB-4321-8D3D-E0F4B56DC968}" name="patient_id"/>
    <tableColumn id="2" xr3:uid="{FF1A33FD-8C85-4956-A9F8-5ACEF19361AC}" name="age"/>
    <tableColumn id="3" xr3:uid="{95ACB6D0-4A26-4A87-B4F3-B22A5025099C}" name="gender"/>
    <tableColumn id="4" xr3:uid="{A0F145EA-30DA-4DC3-AD5F-F52BD8333F83}" name="department"/>
    <tableColumn id="5" xr3:uid="{EEF5450C-C9FC-4640-AD5C-31CBF87C4811}" name="admission_type"/>
    <tableColumn id="6" xr3:uid="{7BD328B5-1C36-4A65-8631-05779261F739}" name="admission_date"/>
    <tableColumn id="7" xr3:uid="{95132A3F-A06A-4289-A438-724E186832B1}" name="discharge_date"/>
    <tableColumn id="8" xr3:uid="{D250751C-6B49-466C-8323-F48A826ECE08}" name="length_of_stay_days"/>
    <tableColumn id="9" xr3:uid="{F3AC281E-3B05-4AE1-AC02-340DF1732A23}" name="treatment_cost_cad" dataDxfId="2"/>
    <tableColumn id="10" xr3:uid="{C328E648-00DA-4000-A8F6-AD210C339B15}" name="readmitted_within_30_days"/>
    <tableColumn id="11" xr3:uid="{2407D796-1D4E-483F-927C-5C117AD957B5}" name="discharge_outcome"/>
    <tableColumn id="12" xr3:uid="{7158DFA5-C817-42D6-804F-57C0A4029442}" name="age_group" dataDxfId="1">
      <calculatedColumnFormula array="1">_xlfn.IFS(B2&lt;30,"18-29",B2&lt;45,"30-44",B2&lt;60,"45-59",B2&lt;75,"60-74",B2&lt;=90,"75-90")</calculatedColumnFormula>
    </tableColumn>
    <tableColumn id="13" xr3:uid="{57DBEED4-C443-43C5-ABD0-2EB84FB1958E}" name="Long_Stay" dataDxfId="0">
      <calculatedColumnFormula>IF(Table1[[#This Row],[length_of_stay_days]]&gt;7,"Yes","No")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CA969-608A-469D-9E00-864CCBC8554F}">
  <dimension ref="A1"/>
  <sheetViews>
    <sheetView showGridLines="0" tabSelected="1" workbookViewId="0">
      <selection activeCell="AB10" sqref="AB10"/>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D03E6-9A2C-4AE9-BF1A-281163D50275}">
  <dimension ref="A1:K26"/>
  <sheetViews>
    <sheetView workbookViewId="0">
      <selection activeCell="E36" sqref="E36"/>
    </sheetView>
  </sheetViews>
  <sheetFormatPr defaultRowHeight="14.4" x14ac:dyDescent="0.3"/>
  <cols>
    <col min="1" max="1" width="13" bestFit="1" customWidth="1"/>
    <col min="2" max="2" width="6.109375" bestFit="1" customWidth="1"/>
    <col min="4" max="4" width="12.21875" bestFit="1" customWidth="1"/>
    <col min="5" max="5" width="23.44140625" bestFit="1" customWidth="1"/>
    <col min="6" max="6" width="10.44140625" bestFit="1" customWidth="1"/>
    <col min="7" max="7" width="12.88671875" bestFit="1" customWidth="1"/>
    <col min="8" max="8" width="10.6640625" bestFit="1" customWidth="1"/>
    <col min="10" max="10" width="16.88671875" bestFit="1" customWidth="1"/>
    <col min="11" max="11" width="23.21875" bestFit="1" customWidth="1"/>
  </cols>
  <sheetData>
    <row r="1" spans="1:11" x14ac:dyDescent="0.3">
      <c r="A1" s="4" t="s">
        <v>2</v>
      </c>
      <c r="B1" t="s">
        <v>12</v>
      </c>
      <c r="D1" s="4" t="s">
        <v>3412</v>
      </c>
      <c r="E1" t="s">
        <v>3420</v>
      </c>
      <c r="G1" s="4" t="s">
        <v>3410</v>
      </c>
      <c r="H1" t="s">
        <v>3418</v>
      </c>
      <c r="J1" s="4" t="s">
        <v>4</v>
      </c>
      <c r="K1" t="s">
        <v>3419</v>
      </c>
    </row>
    <row r="2" spans="1:11" x14ac:dyDescent="0.3">
      <c r="D2" s="5" t="s">
        <v>3417</v>
      </c>
      <c r="E2" s="7">
        <v>6.1298701298701301</v>
      </c>
      <c r="G2" s="5" t="s">
        <v>46</v>
      </c>
      <c r="H2" s="1">
        <v>13533.284740259738</v>
      </c>
      <c r="J2" s="5" t="s">
        <v>14</v>
      </c>
      <c r="K2" s="7">
        <v>4.5514705882352944</v>
      </c>
    </row>
    <row r="3" spans="1:11" x14ac:dyDescent="0.3">
      <c r="A3" s="4" t="s">
        <v>3410</v>
      </c>
      <c r="B3" t="s">
        <v>3411</v>
      </c>
      <c r="D3" s="5" t="s">
        <v>3416</v>
      </c>
      <c r="E3" s="7">
        <v>5.5340501792114694</v>
      </c>
      <c r="G3" s="5" t="s">
        <v>51</v>
      </c>
      <c r="H3" s="1">
        <v>11909.500458015265</v>
      </c>
      <c r="J3" s="5" t="s">
        <v>21</v>
      </c>
      <c r="K3" s="7">
        <v>5.3582554517133953</v>
      </c>
    </row>
    <row r="4" spans="1:11" x14ac:dyDescent="0.3">
      <c r="A4" s="5" t="s">
        <v>28</v>
      </c>
      <c r="B4" s="9">
        <v>398</v>
      </c>
      <c r="D4" s="5" t="s">
        <v>3413</v>
      </c>
      <c r="E4" s="7">
        <v>5.2452830188679247</v>
      </c>
      <c r="G4" s="5" t="s">
        <v>32</v>
      </c>
      <c r="H4" s="1">
        <v>11278.309856459337</v>
      </c>
      <c r="J4" s="5" t="s">
        <v>28</v>
      </c>
      <c r="K4" s="7">
        <v>5.8901569186875893</v>
      </c>
    </row>
    <row r="5" spans="1:11" x14ac:dyDescent="0.3">
      <c r="A5" s="5" t="s">
        <v>13</v>
      </c>
      <c r="B5" s="9">
        <v>300</v>
      </c>
      <c r="D5" s="5" t="s">
        <v>3415</v>
      </c>
      <c r="E5" s="7">
        <v>5.0409556313993171</v>
      </c>
      <c r="G5" s="5" t="s">
        <v>55</v>
      </c>
      <c r="H5" s="1">
        <v>9771.5106302521017</v>
      </c>
      <c r="J5" s="5" t="s">
        <v>3409</v>
      </c>
      <c r="K5" s="7">
        <v>5.3888111888111885</v>
      </c>
    </row>
    <row r="6" spans="1:11" x14ac:dyDescent="0.3">
      <c r="A6" s="5" t="s">
        <v>55</v>
      </c>
      <c r="B6" s="9">
        <v>238</v>
      </c>
      <c r="D6" s="5" t="s">
        <v>3414</v>
      </c>
      <c r="E6" s="7">
        <v>4.9368421052631577</v>
      </c>
      <c r="G6" s="5" t="s">
        <v>13</v>
      </c>
      <c r="H6" s="1">
        <v>7059.6823999999988</v>
      </c>
    </row>
    <row r="7" spans="1:11" x14ac:dyDescent="0.3">
      <c r="A7" s="5" t="s">
        <v>32</v>
      </c>
      <c r="B7" s="9">
        <v>209</v>
      </c>
      <c r="D7" s="5" t="s">
        <v>3409</v>
      </c>
      <c r="E7" s="7">
        <v>5.3888111888111885</v>
      </c>
      <c r="G7" s="5" t="s">
        <v>28</v>
      </c>
      <c r="H7" s="1">
        <v>5572.1719095477411</v>
      </c>
    </row>
    <row r="8" spans="1:11" x14ac:dyDescent="0.3">
      <c r="A8" s="5" t="s">
        <v>46</v>
      </c>
      <c r="B8" s="9">
        <v>154</v>
      </c>
      <c r="G8" s="5" t="s">
        <v>3409</v>
      </c>
      <c r="H8" s="1">
        <v>8855.0250629370566</v>
      </c>
    </row>
    <row r="9" spans="1:11" x14ac:dyDescent="0.3">
      <c r="A9" s="5" t="s">
        <v>51</v>
      </c>
      <c r="B9" s="9">
        <v>131</v>
      </c>
    </row>
    <row r="10" spans="1:11" x14ac:dyDescent="0.3">
      <c r="A10" s="5" t="s">
        <v>3409</v>
      </c>
      <c r="B10" s="9">
        <v>1430</v>
      </c>
    </row>
    <row r="11" spans="1:11" x14ac:dyDescent="0.3">
      <c r="G11" s="4" t="s">
        <v>3421</v>
      </c>
      <c r="H11" t="s">
        <v>3422</v>
      </c>
    </row>
    <row r="12" spans="1:11" x14ac:dyDescent="0.3">
      <c r="G12" s="5" t="s">
        <v>17</v>
      </c>
      <c r="H12" s="8">
        <v>0.84685314685314683</v>
      </c>
    </row>
    <row r="13" spans="1:11" x14ac:dyDescent="0.3">
      <c r="A13" s="4" t="s">
        <v>3410</v>
      </c>
      <c r="B13" t="s">
        <v>3423</v>
      </c>
      <c r="G13" s="5" t="s">
        <v>49</v>
      </c>
      <c r="H13" s="8">
        <v>0.15314685314685314</v>
      </c>
    </row>
    <row r="14" spans="1:11" x14ac:dyDescent="0.3">
      <c r="A14" s="5" t="s">
        <v>46</v>
      </c>
      <c r="B14" s="7">
        <v>6.7857142857142856</v>
      </c>
      <c r="G14" s="5" t="s">
        <v>3409</v>
      </c>
      <c r="H14" s="8">
        <v>1</v>
      </c>
    </row>
    <row r="15" spans="1:11" x14ac:dyDescent="0.3">
      <c r="A15" s="5" t="s">
        <v>51</v>
      </c>
      <c r="B15" s="7">
        <v>6.7251908396946565</v>
      </c>
    </row>
    <row r="16" spans="1:11" x14ac:dyDescent="0.3">
      <c r="A16" s="5" t="s">
        <v>32</v>
      </c>
      <c r="B16" s="7">
        <v>6.2009569377990434</v>
      </c>
    </row>
    <row r="17" spans="1:2" x14ac:dyDescent="0.3">
      <c r="A17" s="5" t="s">
        <v>55</v>
      </c>
      <c r="B17" s="7">
        <v>5.3907563025210088</v>
      </c>
    </row>
    <row r="18" spans="1:2" x14ac:dyDescent="0.3">
      <c r="A18" s="5" t="s">
        <v>13</v>
      </c>
      <c r="B18" s="7">
        <v>5.0166666666666666</v>
      </c>
    </row>
    <row r="19" spans="1:2" x14ac:dyDescent="0.3">
      <c r="A19" s="5" t="s">
        <v>28</v>
      </c>
      <c r="B19" s="7">
        <v>4.2613065326633164</v>
      </c>
    </row>
    <row r="20" spans="1:2" x14ac:dyDescent="0.3">
      <c r="A20" s="5" t="s">
        <v>3409</v>
      </c>
      <c r="B20" s="7">
        <v>5.3888111888111885</v>
      </c>
    </row>
    <row r="23" spans="1:2" x14ac:dyDescent="0.3">
      <c r="A23" s="4" t="s">
        <v>3425</v>
      </c>
      <c r="B23" t="s">
        <v>3426</v>
      </c>
    </row>
    <row r="24" spans="1:2" x14ac:dyDescent="0.3">
      <c r="A24" s="5" t="s">
        <v>17</v>
      </c>
      <c r="B24" s="9">
        <v>1162</v>
      </c>
    </row>
    <row r="25" spans="1:2" x14ac:dyDescent="0.3">
      <c r="A25" s="5" t="s">
        <v>49</v>
      </c>
      <c r="B25" s="9">
        <v>268</v>
      </c>
    </row>
    <row r="26" spans="1:2" x14ac:dyDescent="0.3">
      <c r="A26" s="5" t="s">
        <v>3409</v>
      </c>
      <c r="B26" s="9">
        <v>1430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1"/>
  <sheetViews>
    <sheetView workbookViewId="0">
      <pane ySplit="1" topLeftCell="A2" activePane="bottomLeft" state="frozen"/>
      <selection pane="bottomLeft" activeCell="M2" sqref="M2"/>
    </sheetView>
  </sheetViews>
  <sheetFormatPr defaultRowHeight="14.4" x14ac:dyDescent="0.3"/>
  <cols>
    <col min="1" max="1" width="14.33203125" bestFit="1" customWidth="1"/>
    <col min="2" max="2" width="12" customWidth="1"/>
    <col min="3" max="3" width="20" customWidth="1"/>
    <col min="4" max="4" width="18" customWidth="1"/>
    <col min="5" max="6" width="19.109375" bestFit="1" customWidth="1"/>
    <col min="7" max="7" width="18.5546875" bestFit="1" customWidth="1"/>
    <col min="8" max="8" width="23.33203125" bestFit="1" customWidth="1"/>
    <col min="9" max="9" width="22.77734375" bestFit="1" customWidth="1"/>
    <col min="10" max="10" width="30" bestFit="1" customWidth="1"/>
    <col min="11" max="11" width="22.44140625" bestFit="1" customWidth="1"/>
    <col min="12" max="12" width="14.44140625" bestFit="1" customWidth="1"/>
  </cols>
  <sheetData>
    <row r="1" spans="1:13" x14ac:dyDescent="0.3">
      <c r="A1" s="3" t="s">
        <v>0</v>
      </c>
      <c r="B1" s="3" t="s">
        <v>1</v>
      </c>
      <c r="C1" s="3" t="s">
        <v>2</v>
      </c>
      <c r="D1" s="3" t="s">
        <v>3</v>
      </c>
      <c r="E1" s="3" t="s">
        <v>4</v>
      </c>
      <c r="F1" s="3" t="s">
        <v>5</v>
      </c>
      <c r="G1" s="3" t="s">
        <v>6</v>
      </c>
      <c r="H1" s="3" t="s">
        <v>7</v>
      </c>
      <c r="I1" s="3" t="s">
        <v>8</v>
      </c>
      <c r="J1" s="3" t="s">
        <v>9</v>
      </c>
      <c r="K1" s="3" t="s">
        <v>10</v>
      </c>
      <c r="L1" s="6" t="s">
        <v>3412</v>
      </c>
      <c r="M1" s="6" t="s">
        <v>3424</v>
      </c>
    </row>
    <row r="2" spans="1:13" x14ac:dyDescent="0.3">
      <c r="A2" t="s">
        <v>11</v>
      </c>
      <c r="B2">
        <v>27</v>
      </c>
      <c r="C2" t="s">
        <v>12</v>
      </c>
      <c r="D2" t="s">
        <v>13</v>
      </c>
      <c r="E2" t="s">
        <v>14</v>
      </c>
      <c r="F2" t="s">
        <v>15</v>
      </c>
      <c r="G2" t="s">
        <v>16</v>
      </c>
      <c r="H2">
        <v>5</v>
      </c>
      <c r="I2" s="1">
        <v>6891.8</v>
      </c>
      <c r="J2" t="s">
        <v>17</v>
      </c>
      <c r="K2" t="s">
        <v>18</v>
      </c>
      <c r="L2" t="str" cm="1">
        <f t="array" ref="L2">_xlfn.IFS(B2&lt;30,"18-29",B2&lt;45,"30-44",B2&lt;60,"45-59",B2&lt;75,"60-74",B2&lt;=90,"75-90")</f>
        <v>18-29</v>
      </c>
      <c r="M2" t="str">
        <f>IF(Table1[[#This Row],[length_of_stay_days]]&gt;7,"Yes","No")</f>
        <v>No</v>
      </c>
    </row>
    <row r="3" spans="1:13" x14ac:dyDescent="0.3">
      <c r="A3" t="s">
        <v>19</v>
      </c>
      <c r="B3">
        <v>28</v>
      </c>
      <c r="C3" t="s">
        <v>20</v>
      </c>
      <c r="D3" t="s">
        <v>13</v>
      </c>
      <c r="E3" t="s">
        <v>21</v>
      </c>
      <c r="F3" t="s">
        <v>22</v>
      </c>
      <c r="G3" t="s">
        <v>23</v>
      </c>
      <c r="H3">
        <v>3</v>
      </c>
      <c r="I3" s="1">
        <v>6722.78</v>
      </c>
      <c r="J3" t="s">
        <v>17</v>
      </c>
      <c r="K3" t="s">
        <v>18</v>
      </c>
      <c r="L3" t="str" cm="1">
        <f t="array" ref="L3">_xlfn.IFS(B3&lt;30,"18-29",B3&lt;45,"30-44",B3&lt;60,"45-59",B3&lt;75,"60-74",B3&lt;=90,"75-90")</f>
        <v>18-29</v>
      </c>
      <c r="M3" t="str">
        <f>IF(Table1[[#This Row],[length_of_stay_days]]&gt;7,"Yes","No")</f>
        <v>No</v>
      </c>
    </row>
    <row r="4" spans="1:13" x14ac:dyDescent="0.3">
      <c r="A4" t="s">
        <v>24</v>
      </c>
      <c r="B4">
        <v>49</v>
      </c>
      <c r="C4" t="s">
        <v>20</v>
      </c>
      <c r="D4" t="s">
        <v>13</v>
      </c>
      <c r="E4" t="s">
        <v>14</v>
      </c>
      <c r="F4" t="s">
        <v>25</v>
      </c>
      <c r="G4" t="s">
        <v>26</v>
      </c>
      <c r="H4">
        <v>4</v>
      </c>
      <c r="I4" s="1">
        <v>5762.72</v>
      </c>
      <c r="J4" t="s">
        <v>17</v>
      </c>
      <c r="K4" t="s">
        <v>18</v>
      </c>
      <c r="L4" t="str" cm="1">
        <f t="array" ref="L4">_xlfn.IFS(B4&lt;30,"18-29",B4&lt;45,"30-44",B4&lt;60,"45-59",B4&lt;75,"60-74",B4&lt;=90,"75-90")</f>
        <v>45-59</v>
      </c>
      <c r="M4" t="str">
        <f>IF(Table1[[#This Row],[length_of_stay_days]]&gt;7,"Yes","No")</f>
        <v>No</v>
      </c>
    </row>
    <row r="5" spans="1:13" x14ac:dyDescent="0.3">
      <c r="A5" t="s">
        <v>27</v>
      </c>
      <c r="B5">
        <v>18</v>
      </c>
      <c r="C5" t="s">
        <v>20</v>
      </c>
      <c r="D5" t="s">
        <v>28</v>
      </c>
      <c r="E5" t="s">
        <v>14</v>
      </c>
      <c r="F5" t="s">
        <v>29</v>
      </c>
      <c r="G5" t="s">
        <v>30</v>
      </c>
      <c r="H5">
        <v>5</v>
      </c>
      <c r="I5" s="1">
        <v>7010.41</v>
      </c>
      <c r="J5" t="s">
        <v>17</v>
      </c>
      <c r="K5" t="s">
        <v>18</v>
      </c>
      <c r="L5" t="str" cm="1">
        <f t="array" ref="L5">_xlfn.IFS(B5&lt;30,"18-29",B5&lt;45,"30-44",B5&lt;60,"45-59",B5&lt;75,"60-74",B5&lt;=90,"75-90")</f>
        <v>18-29</v>
      </c>
      <c r="M5" t="str">
        <f>IF(Table1[[#This Row],[length_of_stay_days]]&gt;7,"Yes","No")</f>
        <v>No</v>
      </c>
    </row>
    <row r="6" spans="1:13" x14ac:dyDescent="0.3">
      <c r="A6" t="s">
        <v>31</v>
      </c>
      <c r="B6">
        <v>68</v>
      </c>
      <c r="C6" t="s">
        <v>20</v>
      </c>
      <c r="D6" t="s">
        <v>32</v>
      </c>
      <c r="E6" t="s">
        <v>14</v>
      </c>
      <c r="F6" t="s">
        <v>33</v>
      </c>
      <c r="G6" t="s">
        <v>34</v>
      </c>
      <c r="H6">
        <v>2</v>
      </c>
      <c r="I6" s="1">
        <v>9232.7999999999993</v>
      </c>
      <c r="J6" t="s">
        <v>17</v>
      </c>
      <c r="K6" t="s">
        <v>18</v>
      </c>
      <c r="L6" t="str" cm="1">
        <f t="array" ref="L6">_xlfn.IFS(B6&lt;30,"18-29",B6&lt;45,"30-44",B6&lt;60,"45-59",B6&lt;75,"60-74",B6&lt;=90,"75-90")</f>
        <v>60-74</v>
      </c>
      <c r="M6" t="str">
        <f>IF(Table1[[#This Row],[length_of_stay_days]]&gt;7,"Yes","No")</f>
        <v>No</v>
      </c>
    </row>
    <row r="7" spans="1:13" x14ac:dyDescent="0.3">
      <c r="A7" t="s">
        <v>35</v>
      </c>
      <c r="B7">
        <v>29</v>
      </c>
      <c r="C7" t="s">
        <v>20</v>
      </c>
      <c r="D7" t="s">
        <v>28</v>
      </c>
      <c r="E7" t="s">
        <v>14</v>
      </c>
      <c r="F7" t="s">
        <v>36</v>
      </c>
      <c r="G7" t="s">
        <v>37</v>
      </c>
      <c r="H7">
        <v>4</v>
      </c>
      <c r="I7" s="1">
        <v>3041.89</v>
      </c>
      <c r="J7" t="s">
        <v>17</v>
      </c>
      <c r="K7" t="s">
        <v>18</v>
      </c>
      <c r="L7" t="str" cm="1">
        <f t="array" ref="L7">_xlfn.IFS(B7&lt;30,"18-29",B7&lt;45,"30-44",B7&lt;60,"45-59",B7&lt;75,"60-74",B7&lt;=90,"75-90")</f>
        <v>18-29</v>
      </c>
      <c r="M7" t="str">
        <f>IF(Table1[[#This Row],[length_of_stay_days]]&gt;7,"Yes","No")</f>
        <v>No</v>
      </c>
    </row>
    <row r="8" spans="1:13" x14ac:dyDescent="0.3">
      <c r="A8" t="s">
        <v>38</v>
      </c>
      <c r="B8">
        <v>77</v>
      </c>
      <c r="C8" t="s">
        <v>12</v>
      </c>
      <c r="D8" t="s">
        <v>28</v>
      </c>
      <c r="E8" t="s">
        <v>28</v>
      </c>
      <c r="F8" t="s">
        <v>39</v>
      </c>
      <c r="G8" t="s">
        <v>40</v>
      </c>
      <c r="H8">
        <v>3</v>
      </c>
      <c r="I8" s="1">
        <v>5710.54</v>
      </c>
      <c r="J8" t="s">
        <v>17</v>
      </c>
      <c r="K8" t="s">
        <v>18</v>
      </c>
      <c r="L8" t="str" cm="1">
        <f t="array" ref="L8">_xlfn.IFS(B8&lt;30,"18-29",B8&lt;45,"30-44",B8&lt;60,"45-59",B8&lt;75,"60-74",B8&lt;=90,"75-90")</f>
        <v>75-90</v>
      </c>
      <c r="M8" t="str">
        <f>IF(Table1[[#This Row],[length_of_stay_days]]&gt;7,"Yes","No")</f>
        <v>No</v>
      </c>
    </row>
    <row r="9" spans="1:13" x14ac:dyDescent="0.3">
      <c r="A9" t="s">
        <v>41</v>
      </c>
      <c r="B9">
        <v>36</v>
      </c>
      <c r="C9" t="s">
        <v>12</v>
      </c>
      <c r="D9" t="s">
        <v>32</v>
      </c>
      <c r="E9" t="s">
        <v>28</v>
      </c>
      <c r="F9" t="s">
        <v>42</v>
      </c>
      <c r="G9" t="s">
        <v>43</v>
      </c>
      <c r="H9">
        <v>4</v>
      </c>
      <c r="I9" s="1">
        <v>9229.14</v>
      </c>
      <c r="J9" t="s">
        <v>17</v>
      </c>
      <c r="K9" t="s">
        <v>44</v>
      </c>
      <c r="L9" t="str" cm="1">
        <f t="array" ref="L9">_xlfn.IFS(B9&lt;30,"18-29",B9&lt;45,"30-44",B9&lt;60,"45-59",B9&lt;75,"60-74",B9&lt;=90,"75-90")</f>
        <v>30-44</v>
      </c>
      <c r="M9" t="str">
        <f>IF(Table1[[#This Row],[length_of_stay_days]]&gt;7,"Yes","No")</f>
        <v>No</v>
      </c>
    </row>
    <row r="10" spans="1:13" x14ac:dyDescent="0.3">
      <c r="A10" t="s">
        <v>45</v>
      </c>
      <c r="B10">
        <v>78</v>
      </c>
      <c r="C10" t="s">
        <v>12</v>
      </c>
      <c r="D10" t="s">
        <v>46</v>
      </c>
      <c r="E10" t="s">
        <v>21</v>
      </c>
      <c r="F10" t="s">
        <v>47</v>
      </c>
      <c r="G10" t="s">
        <v>48</v>
      </c>
      <c r="H10">
        <v>9</v>
      </c>
      <c r="I10" s="1">
        <v>15904.48</v>
      </c>
      <c r="J10" t="s">
        <v>49</v>
      </c>
      <c r="K10" t="s">
        <v>18</v>
      </c>
      <c r="L10" t="str" cm="1">
        <f t="array" ref="L10">_xlfn.IFS(B10&lt;30,"18-29",B10&lt;45,"30-44",B10&lt;60,"45-59",B10&lt;75,"60-74",B10&lt;=90,"75-90")</f>
        <v>75-90</v>
      </c>
      <c r="M10" t="str">
        <f>IF(Table1[[#This Row],[length_of_stay_days]]&gt;7,"Yes","No")</f>
        <v>Yes</v>
      </c>
    </row>
    <row r="11" spans="1:13" x14ac:dyDescent="0.3">
      <c r="A11" t="s">
        <v>50</v>
      </c>
      <c r="B11">
        <v>28</v>
      </c>
      <c r="C11" t="s">
        <v>12</v>
      </c>
      <c r="D11" t="s">
        <v>51</v>
      </c>
      <c r="E11" t="s">
        <v>21</v>
      </c>
      <c r="F11" t="s">
        <v>52</v>
      </c>
      <c r="G11" t="s">
        <v>53</v>
      </c>
      <c r="H11">
        <v>9</v>
      </c>
      <c r="I11" s="1">
        <v>12892.82</v>
      </c>
      <c r="J11" t="s">
        <v>17</v>
      </c>
      <c r="K11" t="s">
        <v>18</v>
      </c>
      <c r="L11" t="str" cm="1">
        <f t="array" ref="L11">_xlfn.IFS(B11&lt;30,"18-29",B11&lt;45,"30-44",B11&lt;60,"45-59",B11&lt;75,"60-74",B11&lt;=90,"75-90")</f>
        <v>18-29</v>
      </c>
      <c r="M11" t="str">
        <f>IF(Table1[[#This Row],[length_of_stay_days]]&gt;7,"Yes","No")</f>
        <v>Yes</v>
      </c>
    </row>
    <row r="12" spans="1:13" x14ac:dyDescent="0.3">
      <c r="A12" t="s">
        <v>54</v>
      </c>
      <c r="B12">
        <v>40</v>
      </c>
      <c r="C12" t="s">
        <v>12</v>
      </c>
      <c r="D12" t="s">
        <v>55</v>
      </c>
      <c r="E12" t="s">
        <v>28</v>
      </c>
      <c r="F12" t="s">
        <v>56</v>
      </c>
      <c r="H12">
        <v>8</v>
      </c>
      <c r="I12" s="1">
        <v>11781.63</v>
      </c>
      <c r="J12" t="s">
        <v>17</v>
      </c>
      <c r="K12" t="s">
        <v>18</v>
      </c>
      <c r="L12" t="str" cm="1">
        <f t="array" ref="L12">_xlfn.IFS(B12&lt;30,"18-29",B12&lt;45,"30-44",B12&lt;60,"45-59",B12&lt;75,"60-74",B12&lt;=90,"75-90")</f>
        <v>30-44</v>
      </c>
      <c r="M12" t="str">
        <f>IF(Table1[[#This Row],[length_of_stay_days]]&gt;7,"Yes","No")</f>
        <v>Yes</v>
      </c>
    </row>
    <row r="13" spans="1:13" x14ac:dyDescent="0.3">
      <c r="A13" t="s">
        <v>57</v>
      </c>
      <c r="B13">
        <v>38</v>
      </c>
      <c r="C13" t="s">
        <v>20</v>
      </c>
      <c r="D13" t="s">
        <v>46</v>
      </c>
      <c r="E13" t="s">
        <v>28</v>
      </c>
      <c r="F13" t="s">
        <v>58</v>
      </c>
      <c r="G13" t="s">
        <v>59</v>
      </c>
      <c r="H13">
        <v>5</v>
      </c>
      <c r="I13" s="1">
        <v>12763.14</v>
      </c>
      <c r="J13" t="s">
        <v>17</v>
      </c>
      <c r="K13" t="s">
        <v>18</v>
      </c>
      <c r="L13" t="str" cm="1">
        <f t="array" ref="L13">_xlfn.IFS(B13&lt;30,"18-29",B13&lt;45,"30-44",B13&lt;60,"45-59",B13&lt;75,"60-74",B13&lt;=90,"75-90")</f>
        <v>30-44</v>
      </c>
      <c r="M13" t="str">
        <f>IF(Table1[[#This Row],[length_of_stay_days]]&gt;7,"Yes","No")</f>
        <v>No</v>
      </c>
    </row>
    <row r="14" spans="1:13" x14ac:dyDescent="0.3">
      <c r="A14" t="s">
        <v>60</v>
      </c>
      <c r="B14">
        <v>18</v>
      </c>
      <c r="C14" t="s">
        <v>12</v>
      </c>
      <c r="D14" t="s">
        <v>51</v>
      </c>
      <c r="E14" t="s">
        <v>28</v>
      </c>
      <c r="F14" t="s">
        <v>61</v>
      </c>
      <c r="G14" t="s">
        <v>62</v>
      </c>
      <c r="H14">
        <v>2</v>
      </c>
      <c r="I14" s="1">
        <v>9582.1299999999992</v>
      </c>
      <c r="J14" t="s">
        <v>17</v>
      </c>
      <c r="K14" t="s">
        <v>18</v>
      </c>
      <c r="L14" t="str" cm="1">
        <f t="array" ref="L14">_xlfn.IFS(B14&lt;30,"18-29",B14&lt;45,"30-44",B14&lt;60,"45-59",B14&lt;75,"60-74",B14&lt;=90,"75-90")</f>
        <v>18-29</v>
      </c>
      <c r="M14" t="str">
        <f>IF(Table1[[#This Row],[length_of_stay_days]]&gt;7,"Yes","No")</f>
        <v>No</v>
      </c>
    </row>
    <row r="15" spans="1:13" x14ac:dyDescent="0.3">
      <c r="A15" t="s">
        <v>63</v>
      </c>
      <c r="B15">
        <v>72</v>
      </c>
      <c r="C15" t="s">
        <v>20</v>
      </c>
      <c r="D15" t="s">
        <v>51</v>
      </c>
      <c r="E15" t="s">
        <v>14</v>
      </c>
      <c r="F15" t="s">
        <v>64</v>
      </c>
      <c r="G15" t="s">
        <v>65</v>
      </c>
      <c r="H15">
        <v>7</v>
      </c>
      <c r="I15" s="1">
        <v>12291.27</v>
      </c>
      <c r="J15" t="s">
        <v>17</v>
      </c>
      <c r="K15" t="s">
        <v>18</v>
      </c>
      <c r="L15" t="str" cm="1">
        <f t="array" ref="L15">_xlfn.IFS(B15&lt;30,"18-29",B15&lt;45,"30-44",B15&lt;60,"45-59",B15&lt;75,"60-74",B15&lt;=90,"75-90")</f>
        <v>60-74</v>
      </c>
      <c r="M15" t="str">
        <f>IF(Table1[[#This Row],[length_of_stay_days]]&gt;7,"Yes","No")</f>
        <v>No</v>
      </c>
    </row>
    <row r="16" spans="1:13" x14ac:dyDescent="0.3">
      <c r="A16" t="s">
        <v>66</v>
      </c>
      <c r="B16">
        <v>66</v>
      </c>
      <c r="C16" t="s">
        <v>20</v>
      </c>
      <c r="D16" t="s">
        <v>32</v>
      </c>
      <c r="E16" t="s">
        <v>21</v>
      </c>
      <c r="F16" t="s">
        <v>67</v>
      </c>
      <c r="G16" t="s">
        <v>68</v>
      </c>
      <c r="H16">
        <v>7</v>
      </c>
      <c r="I16" s="1">
        <v>11375.14</v>
      </c>
      <c r="J16" t="s">
        <v>17</v>
      </c>
      <c r="K16" t="s">
        <v>44</v>
      </c>
      <c r="L16" t="str" cm="1">
        <f t="array" ref="L16">_xlfn.IFS(B16&lt;30,"18-29",B16&lt;45,"30-44",B16&lt;60,"45-59",B16&lt;75,"60-74",B16&lt;=90,"75-90")</f>
        <v>60-74</v>
      </c>
      <c r="M16" t="str">
        <f>IF(Table1[[#This Row],[length_of_stay_days]]&gt;7,"Yes","No")</f>
        <v>No</v>
      </c>
    </row>
    <row r="17" spans="1:13" x14ac:dyDescent="0.3">
      <c r="A17" t="s">
        <v>69</v>
      </c>
      <c r="B17">
        <v>51</v>
      </c>
      <c r="C17" t="s">
        <v>70</v>
      </c>
      <c r="D17" t="s">
        <v>28</v>
      </c>
      <c r="E17" t="s">
        <v>14</v>
      </c>
      <c r="F17" t="s">
        <v>71</v>
      </c>
      <c r="G17" t="s">
        <v>72</v>
      </c>
      <c r="H17">
        <v>1</v>
      </c>
      <c r="I17" s="1">
        <v>2977.67</v>
      </c>
      <c r="J17" t="s">
        <v>17</v>
      </c>
      <c r="K17" t="s">
        <v>18</v>
      </c>
      <c r="L17" t="str" cm="1">
        <f t="array" ref="L17">_xlfn.IFS(B17&lt;30,"18-29",B17&lt;45,"30-44",B17&lt;60,"45-59",B17&lt;75,"60-74",B17&lt;=90,"75-90")</f>
        <v>45-59</v>
      </c>
      <c r="M17" t="str">
        <f>IF(Table1[[#This Row],[length_of_stay_days]]&gt;7,"Yes","No")</f>
        <v>No</v>
      </c>
    </row>
    <row r="18" spans="1:13" x14ac:dyDescent="0.3">
      <c r="A18" t="s">
        <v>73</v>
      </c>
      <c r="B18">
        <v>23</v>
      </c>
      <c r="C18" t="s">
        <v>20</v>
      </c>
      <c r="D18" t="s">
        <v>28</v>
      </c>
      <c r="E18" t="s">
        <v>14</v>
      </c>
      <c r="F18" t="s">
        <v>74</v>
      </c>
      <c r="G18" t="s">
        <v>75</v>
      </c>
      <c r="H18">
        <v>4</v>
      </c>
      <c r="I18" s="1">
        <v>5261.29</v>
      </c>
      <c r="J18" t="s">
        <v>17</v>
      </c>
      <c r="K18" t="s">
        <v>18</v>
      </c>
      <c r="L18" t="str" cm="1">
        <f t="array" ref="L18">_xlfn.IFS(B18&lt;30,"18-29",B18&lt;45,"30-44",B18&lt;60,"45-59",B18&lt;75,"60-74",B18&lt;=90,"75-90")</f>
        <v>18-29</v>
      </c>
      <c r="M18" t="str">
        <f>IF(Table1[[#This Row],[length_of_stay_days]]&gt;7,"Yes","No")</f>
        <v>No</v>
      </c>
    </row>
    <row r="19" spans="1:13" x14ac:dyDescent="0.3">
      <c r="A19" t="s">
        <v>76</v>
      </c>
      <c r="B19">
        <v>29</v>
      </c>
      <c r="C19" t="s">
        <v>20</v>
      </c>
      <c r="D19" t="s">
        <v>55</v>
      </c>
      <c r="E19" t="s">
        <v>21</v>
      </c>
      <c r="F19" t="s">
        <v>77</v>
      </c>
      <c r="G19" t="s">
        <v>78</v>
      </c>
      <c r="H19">
        <v>6</v>
      </c>
      <c r="I19" s="1">
        <v>12386.24</v>
      </c>
      <c r="J19" t="s">
        <v>17</v>
      </c>
      <c r="K19" t="s">
        <v>18</v>
      </c>
      <c r="L19" t="str" cm="1">
        <f t="array" ref="L19">_xlfn.IFS(B19&lt;30,"18-29",B19&lt;45,"30-44",B19&lt;60,"45-59",B19&lt;75,"60-74",B19&lt;=90,"75-90")</f>
        <v>18-29</v>
      </c>
      <c r="M19" t="str">
        <f>IF(Table1[[#This Row],[length_of_stay_days]]&gt;7,"Yes","No")</f>
        <v>No</v>
      </c>
    </row>
    <row r="20" spans="1:13" x14ac:dyDescent="0.3">
      <c r="A20" t="s">
        <v>79</v>
      </c>
      <c r="B20">
        <v>50</v>
      </c>
      <c r="C20" t="s">
        <v>20</v>
      </c>
      <c r="D20" t="s">
        <v>28</v>
      </c>
      <c r="E20" t="s">
        <v>14</v>
      </c>
      <c r="F20" t="s">
        <v>80</v>
      </c>
      <c r="G20" t="s">
        <v>81</v>
      </c>
      <c r="H20">
        <v>6</v>
      </c>
      <c r="I20" s="1">
        <v>6048.46</v>
      </c>
      <c r="J20" t="s">
        <v>17</v>
      </c>
      <c r="K20" t="s">
        <v>18</v>
      </c>
      <c r="L20" t="str" cm="1">
        <f t="array" ref="L20">_xlfn.IFS(B20&lt;30,"18-29",B20&lt;45,"30-44",B20&lt;60,"45-59",B20&lt;75,"60-74",B20&lt;=90,"75-90")</f>
        <v>45-59</v>
      </c>
      <c r="M20" t="str">
        <f>IF(Table1[[#This Row],[length_of_stay_days]]&gt;7,"Yes","No")</f>
        <v>No</v>
      </c>
    </row>
    <row r="21" spans="1:13" x14ac:dyDescent="0.3">
      <c r="A21" t="s">
        <v>82</v>
      </c>
      <c r="B21">
        <v>43</v>
      </c>
      <c r="C21" t="s">
        <v>20</v>
      </c>
      <c r="D21" t="s">
        <v>51</v>
      </c>
      <c r="E21" t="s">
        <v>28</v>
      </c>
      <c r="F21" t="s">
        <v>83</v>
      </c>
      <c r="G21" t="s">
        <v>84</v>
      </c>
      <c r="H21">
        <v>7</v>
      </c>
      <c r="I21" s="1">
        <v>13384.61</v>
      </c>
      <c r="J21" t="s">
        <v>17</v>
      </c>
      <c r="K21" t="s">
        <v>18</v>
      </c>
      <c r="L21" t="str" cm="1">
        <f t="array" ref="L21">_xlfn.IFS(B21&lt;30,"18-29",B21&lt;45,"30-44",B21&lt;60,"45-59",B21&lt;75,"60-74",B21&lt;=90,"75-90")</f>
        <v>30-44</v>
      </c>
      <c r="M21" t="str">
        <f>IF(Table1[[#This Row],[length_of_stay_days]]&gt;7,"Yes","No")</f>
        <v>No</v>
      </c>
    </row>
    <row r="22" spans="1:13" x14ac:dyDescent="0.3">
      <c r="A22" t="s">
        <v>85</v>
      </c>
      <c r="B22">
        <v>61</v>
      </c>
      <c r="C22" t="s">
        <v>20</v>
      </c>
      <c r="D22" t="s">
        <v>46</v>
      </c>
      <c r="E22" t="s">
        <v>28</v>
      </c>
      <c r="F22" t="s">
        <v>86</v>
      </c>
      <c r="G22" t="s">
        <v>87</v>
      </c>
      <c r="H22">
        <v>9</v>
      </c>
      <c r="I22" s="1">
        <v>14463.58</v>
      </c>
      <c r="J22" t="s">
        <v>17</v>
      </c>
      <c r="K22" t="s">
        <v>44</v>
      </c>
      <c r="L22" t="str" cm="1">
        <f t="array" ref="L22">_xlfn.IFS(B22&lt;30,"18-29",B22&lt;45,"30-44",B22&lt;60,"45-59",B22&lt;75,"60-74",B22&lt;=90,"75-90")</f>
        <v>60-74</v>
      </c>
      <c r="M22" t="str">
        <f>IF(Table1[[#This Row],[length_of_stay_days]]&gt;7,"Yes","No")</f>
        <v>Yes</v>
      </c>
    </row>
    <row r="23" spans="1:13" x14ac:dyDescent="0.3">
      <c r="A23" t="s">
        <v>88</v>
      </c>
      <c r="B23">
        <v>75</v>
      </c>
      <c r="C23" t="s">
        <v>20</v>
      </c>
      <c r="D23" t="s">
        <v>13</v>
      </c>
      <c r="E23" t="s">
        <v>28</v>
      </c>
      <c r="F23" t="s">
        <v>89</v>
      </c>
      <c r="G23" t="s">
        <v>90</v>
      </c>
      <c r="H23">
        <v>8</v>
      </c>
      <c r="I23" s="1">
        <v>10205.77</v>
      </c>
      <c r="J23" t="s">
        <v>17</v>
      </c>
      <c r="K23" t="s">
        <v>18</v>
      </c>
      <c r="L23" t="str" cm="1">
        <f t="array" ref="L23">_xlfn.IFS(B23&lt;30,"18-29",B23&lt;45,"30-44",B23&lt;60,"45-59",B23&lt;75,"60-74",B23&lt;=90,"75-90")</f>
        <v>75-90</v>
      </c>
      <c r="M23" t="str">
        <f>IF(Table1[[#This Row],[length_of_stay_days]]&gt;7,"Yes","No")</f>
        <v>Yes</v>
      </c>
    </row>
    <row r="24" spans="1:13" x14ac:dyDescent="0.3">
      <c r="A24" t="s">
        <v>91</v>
      </c>
      <c r="B24">
        <v>71</v>
      </c>
      <c r="C24" t="s">
        <v>12</v>
      </c>
      <c r="D24" t="s">
        <v>51</v>
      </c>
      <c r="E24" t="s">
        <v>21</v>
      </c>
      <c r="F24" t="s">
        <v>92</v>
      </c>
      <c r="G24" t="s">
        <v>93</v>
      </c>
      <c r="H24">
        <v>8</v>
      </c>
      <c r="I24" s="1">
        <v>14260.9</v>
      </c>
      <c r="J24" t="s">
        <v>17</v>
      </c>
      <c r="K24" t="s">
        <v>18</v>
      </c>
      <c r="L24" t="str" cm="1">
        <f t="array" ref="L24">_xlfn.IFS(B24&lt;30,"18-29",B24&lt;45,"30-44",B24&lt;60,"45-59",B24&lt;75,"60-74",B24&lt;=90,"75-90")</f>
        <v>60-74</v>
      </c>
      <c r="M24" t="str">
        <f>IF(Table1[[#This Row],[length_of_stay_days]]&gt;7,"Yes","No")</f>
        <v>Yes</v>
      </c>
    </row>
    <row r="25" spans="1:13" x14ac:dyDescent="0.3">
      <c r="A25" t="s">
        <v>94</v>
      </c>
      <c r="B25">
        <v>22</v>
      </c>
      <c r="C25" t="s">
        <v>12</v>
      </c>
      <c r="D25" t="s">
        <v>28</v>
      </c>
      <c r="E25" t="s">
        <v>14</v>
      </c>
      <c r="F25" t="s">
        <v>95</v>
      </c>
      <c r="G25" t="s">
        <v>96</v>
      </c>
      <c r="H25">
        <v>3</v>
      </c>
      <c r="I25" s="1">
        <v>5034.6899999999996</v>
      </c>
      <c r="J25" t="s">
        <v>17</v>
      </c>
      <c r="K25" t="s">
        <v>18</v>
      </c>
      <c r="L25" t="str" cm="1">
        <f t="array" ref="L25">_xlfn.IFS(B25&lt;30,"18-29",B25&lt;45,"30-44",B25&lt;60,"45-59",B25&lt;75,"60-74",B25&lt;=90,"75-90")</f>
        <v>18-29</v>
      </c>
      <c r="M25" t="str">
        <f>IF(Table1[[#This Row],[length_of_stay_days]]&gt;7,"Yes","No")</f>
        <v>No</v>
      </c>
    </row>
    <row r="26" spans="1:13" x14ac:dyDescent="0.3">
      <c r="A26" t="s">
        <v>97</v>
      </c>
      <c r="B26">
        <v>41</v>
      </c>
      <c r="C26" t="s">
        <v>20</v>
      </c>
      <c r="D26" t="s">
        <v>51</v>
      </c>
      <c r="E26" t="s">
        <v>21</v>
      </c>
      <c r="F26" t="s">
        <v>98</v>
      </c>
      <c r="G26" t="s">
        <v>99</v>
      </c>
      <c r="H26">
        <v>5</v>
      </c>
      <c r="I26" s="1">
        <v>10002.02</v>
      </c>
      <c r="J26" t="s">
        <v>17</v>
      </c>
      <c r="K26" t="s">
        <v>18</v>
      </c>
      <c r="L26" t="str" cm="1">
        <f t="array" ref="L26">_xlfn.IFS(B26&lt;30,"18-29",B26&lt;45,"30-44",B26&lt;60,"45-59",B26&lt;75,"60-74",B26&lt;=90,"75-90")</f>
        <v>30-44</v>
      </c>
      <c r="M26" t="str">
        <f>IF(Table1[[#This Row],[length_of_stay_days]]&gt;7,"Yes","No")</f>
        <v>No</v>
      </c>
    </row>
    <row r="27" spans="1:13" x14ac:dyDescent="0.3">
      <c r="A27" t="s">
        <v>100</v>
      </c>
      <c r="B27">
        <v>38</v>
      </c>
      <c r="C27" t="s">
        <v>12</v>
      </c>
      <c r="D27" t="s">
        <v>28</v>
      </c>
      <c r="E27" t="s">
        <v>28</v>
      </c>
      <c r="F27" t="s">
        <v>101</v>
      </c>
      <c r="G27" t="s">
        <v>61</v>
      </c>
      <c r="H27">
        <v>2</v>
      </c>
      <c r="I27" s="1">
        <v>6669.65</v>
      </c>
      <c r="J27" t="s">
        <v>49</v>
      </c>
      <c r="K27" t="s">
        <v>44</v>
      </c>
      <c r="L27" t="str" cm="1">
        <f t="array" ref="L27">_xlfn.IFS(B27&lt;30,"18-29",B27&lt;45,"30-44",B27&lt;60,"45-59",B27&lt;75,"60-74",B27&lt;=90,"75-90")</f>
        <v>30-44</v>
      </c>
      <c r="M27" t="str">
        <f>IF(Table1[[#This Row],[length_of_stay_days]]&gt;7,"Yes","No")</f>
        <v>No</v>
      </c>
    </row>
    <row r="28" spans="1:13" x14ac:dyDescent="0.3">
      <c r="A28" t="s">
        <v>102</v>
      </c>
      <c r="B28">
        <v>89</v>
      </c>
      <c r="C28" t="s">
        <v>20</v>
      </c>
      <c r="D28" t="s">
        <v>46</v>
      </c>
      <c r="E28" t="s">
        <v>21</v>
      </c>
      <c r="F28" t="s">
        <v>43</v>
      </c>
      <c r="G28" t="s">
        <v>103</v>
      </c>
      <c r="H28">
        <v>9</v>
      </c>
      <c r="I28" s="1">
        <v>14130.12</v>
      </c>
      <c r="J28" t="s">
        <v>17</v>
      </c>
      <c r="K28" t="s">
        <v>18</v>
      </c>
      <c r="L28" t="str" cm="1">
        <f t="array" ref="L28">_xlfn.IFS(B28&lt;30,"18-29",B28&lt;45,"30-44",B28&lt;60,"45-59",B28&lt;75,"60-74",B28&lt;=90,"75-90")</f>
        <v>75-90</v>
      </c>
      <c r="M28" t="str">
        <f>IF(Table1[[#This Row],[length_of_stay_days]]&gt;7,"Yes","No")</f>
        <v>Yes</v>
      </c>
    </row>
    <row r="29" spans="1:13" x14ac:dyDescent="0.3">
      <c r="A29" t="s">
        <v>104</v>
      </c>
      <c r="B29">
        <v>72</v>
      </c>
      <c r="C29" t="s">
        <v>20</v>
      </c>
      <c r="D29" t="s">
        <v>13</v>
      </c>
      <c r="E29" t="s">
        <v>28</v>
      </c>
      <c r="F29" t="s">
        <v>105</v>
      </c>
      <c r="G29" t="s">
        <v>106</v>
      </c>
      <c r="H29">
        <v>6</v>
      </c>
      <c r="I29" s="1">
        <v>8313.68</v>
      </c>
      <c r="J29" t="s">
        <v>17</v>
      </c>
      <c r="K29" t="s">
        <v>18</v>
      </c>
      <c r="L29" t="str" cm="1">
        <f t="array" ref="L29">_xlfn.IFS(B29&lt;30,"18-29",B29&lt;45,"30-44",B29&lt;60,"45-59",B29&lt;75,"60-74",B29&lt;=90,"75-90")</f>
        <v>60-74</v>
      </c>
      <c r="M29" t="str">
        <f>IF(Table1[[#This Row],[length_of_stay_days]]&gt;7,"Yes","No")</f>
        <v>No</v>
      </c>
    </row>
    <row r="30" spans="1:13" x14ac:dyDescent="0.3">
      <c r="A30" t="s">
        <v>107</v>
      </c>
      <c r="B30">
        <v>66</v>
      </c>
      <c r="C30" t="s">
        <v>12</v>
      </c>
      <c r="D30" t="s">
        <v>13</v>
      </c>
      <c r="E30" t="s">
        <v>28</v>
      </c>
      <c r="F30" t="s">
        <v>108</v>
      </c>
      <c r="G30" t="s">
        <v>109</v>
      </c>
      <c r="H30">
        <v>6</v>
      </c>
      <c r="I30" s="1">
        <v>8922.07</v>
      </c>
      <c r="J30" t="s">
        <v>49</v>
      </c>
      <c r="K30" t="s">
        <v>18</v>
      </c>
      <c r="L30" t="str" cm="1">
        <f t="array" ref="L30">_xlfn.IFS(B30&lt;30,"18-29",B30&lt;45,"30-44",B30&lt;60,"45-59",B30&lt;75,"60-74",B30&lt;=90,"75-90")</f>
        <v>60-74</v>
      </c>
      <c r="M30" t="str">
        <f>IF(Table1[[#This Row],[length_of_stay_days]]&gt;7,"Yes","No")</f>
        <v>No</v>
      </c>
    </row>
    <row r="31" spans="1:13" x14ac:dyDescent="0.3">
      <c r="A31" t="s">
        <v>110</v>
      </c>
      <c r="B31">
        <v>90</v>
      </c>
      <c r="C31" t="s">
        <v>20</v>
      </c>
      <c r="D31" t="s">
        <v>32</v>
      </c>
      <c r="E31" t="s">
        <v>28</v>
      </c>
      <c r="F31" t="s">
        <v>111</v>
      </c>
      <c r="G31" t="s">
        <v>112</v>
      </c>
      <c r="H31">
        <v>9</v>
      </c>
      <c r="I31" s="1">
        <v>14873.03</v>
      </c>
      <c r="J31" t="s">
        <v>49</v>
      </c>
      <c r="K31" t="s">
        <v>18</v>
      </c>
      <c r="L31" t="str" cm="1">
        <f t="array" ref="L31">_xlfn.IFS(B31&lt;30,"18-29",B31&lt;45,"30-44",B31&lt;60,"45-59",B31&lt;75,"60-74",B31&lt;=90,"75-90")</f>
        <v>75-90</v>
      </c>
      <c r="M31" t="str">
        <f>IF(Table1[[#This Row],[length_of_stay_days]]&gt;7,"Yes","No")</f>
        <v>Yes</v>
      </c>
    </row>
    <row r="32" spans="1:13" x14ac:dyDescent="0.3">
      <c r="A32" t="s">
        <v>113</v>
      </c>
      <c r="B32">
        <v>69</v>
      </c>
      <c r="C32" t="s">
        <v>20</v>
      </c>
      <c r="D32" t="s">
        <v>51</v>
      </c>
      <c r="E32" t="s">
        <v>21</v>
      </c>
      <c r="F32" t="s">
        <v>67</v>
      </c>
      <c r="G32" t="s">
        <v>114</v>
      </c>
      <c r="H32">
        <v>6</v>
      </c>
      <c r="I32" s="1">
        <v>10913.93</v>
      </c>
      <c r="J32" t="s">
        <v>17</v>
      </c>
      <c r="K32" t="s">
        <v>18</v>
      </c>
      <c r="L32" t="str" cm="1">
        <f t="array" ref="L32">_xlfn.IFS(B32&lt;30,"18-29",B32&lt;45,"30-44",B32&lt;60,"45-59",B32&lt;75,"60-74",B32&lt;=90,"75-90")</f>
        <v>60-74</v>
      </c>
      <c r="M32" t="str">
        <f>IF(Table1[[#This Row],[length_of_stay_days]]&gt;7,"Yes","No")</f>
        <v>No</v>
      </c>
    </row>
    <row r="33" spans="1:13" x14ac:dyDescent="0.3">
      <c r="A33" t="s">
        <v>115</v>
      </c>
      <c r="B33">
        <v>63</v>
      </c>
      <c r="C33" t="s">
        <v>20</v>
      </c>
      <c r="D33" t="s">
        <v>51</v>
      </c>
      <c r="E33" t="s">
        <v>28</v>
      </c>
      <c r="F33" t="s">
        <v>30</v>
      </c>
      <c r="G33" t="s">
        <v>116</v>
      </c>
      <c r="H33">
        <v>9</v>
      </c>
      <c r="I33" s="1">
        <v>16946.82</v>
      </c>
      <c r="J33" t="s">
        <v>49</v>
      </c>
      <c r="K33" t="s">
        <v>18</v>
      </c>
      <c r="L33" t="str" cm="1">
        <f t="array" ref="L33">_xlfn.IFS(B33&lt;30,"18-29",B33&lt;45,"30-44",B33&lt;60,"45-59",B33&lt;75,"60-74",B33&lt;=90,"75-90")</f>
        <v>60-74</v>
      </c>
      <c r="M33" t="str">
        <f>IF(Table1[[#This Row],[length_of_stay_days]]&gt;7,"Yes","No")</f>
        <v>Yes</v>
      </c>
    </row>
    <row r="34" spans="1:13" x14ac:dyDescent="0.3">
      <c r="A34" t="s">
        <v>117</v>
      </c>
      <c r="B34">
        <v>86</v>
      </c>
      <c r="C34" t="s">
        <v>20</v>
      </c>
      <c r="D34" t="s">
        <v>28</v>
      </c>
      <c r="E34" t="s">
        <v>21</v>
      </c>
      <c r="F34" t="s">
        <v>118</v>
      </c>
      <c r="G34" t="s">
        <v>119</v>
      </c>
      <c r="H34">
        <v>6</v>
      </c>
      <c r="I34" s="1">
        <v>6243.16</v>
      </c>
      <c r="J34" t="s">
        <v>17</v>
      </c>
      <c r="K34" t="s">
        <v>18</v>
      </c>
      <c r="L34" t="str" cm="1">
        <f t="array" ref="L34">_xlfn.IFS(B34&lt;30,"18-29",B34&lt;45,"30-44",B34&lt;60,"45-59",B34&lt;75,"60-74",B34&lt;=90,"75-90")</f>
        <v>75-90</v>
      </c>
      <c r="M34" t="str">
        <f>IF(Table1[[#This Row],[length_of_stay_days]]&gt;7,"Yes","No")</f>
        <v>No</v>
      </c>
    </row>
    <row r="35" spans="1:13" x14ac:dyDescent="0.3">
      <c r="A35" t="s">
        <v>120</v>
      </c>
      <c r="B35">
        <v>46</v>
      </c>
      <c r="C35" t="s">
        <v>20</v>
      </c>
      <c r="D35" t="s">
        <v>46</v>
      </c>
      <c r="E35" t="s">
        <v>14</v>
      </c>
      <c r="F35" t="s">
        <v>121</v>
      </c>
      <c r="G35" t="s">
        <v>42</v>
      </c>
      <c r="H35">
        <v>7</v>
      </c>
      <c r="I35" s="1">
        <v>14095.04</v>
      </c>
      <c r="J35" t="s">
        <v>17</v>
      </c>
      <c r="K35" t="s">
        <v>18</v>
      </c>
      <c r="L35" t="str" cm="1">
        <f t="array" ref="L35">_xlfn.IFS(B35&lt;30,"18-29",B35&lt;45,"30-44",B35&lt;60,"45-59",B35&lt;75,"60-74",B35&lt;=90,"75-90")</f>
        <v>45-59</v>
      </c>
      <c r="M35" t="str">
        <f>IF(Table1[[#This Row],[length_of_stay_days]]&gt;7,"Yes","No")</f>
        <v>No</v>
      </c>
    </row>
    <row r="36" spans="1:13" x14ac:dyDescent="0.3">
      <c r="A36" t="s">
        <v>122</v>
      </c>
      <c r="B36">
        <v>39</v>
      </c>
      <c r="C36" t="s">
        <v>12</v>
      </c>
      <c r="D36" t="s">
        <v>28</v>
      </c>
      <c r="E36" t="s">
        <v>21</v>
      </c>
      <c r="F36" t="s">
        <v>123</v>
      </c>
      <c r="G36" t="s">
        <v>124</v>
      </c>
      <c r="H36">
        <v>7</v>
      </c>
      <c r="I36" s="1">
        <v>8175.07</v>
      </c>
      <c r="J36" t="s">
        <v>49</v>
      </c>
      <c r="K36" t="s">
        <v>18</v>
      </c>
      <c r="L36" t="str" cm="1">
        <f t="array" ref="L36">_xlfn.IFS(B36&lt;30,"18-29",B36&lt;45,"30-44",B36&lt;60,"45-59",B36&lt;75,"60-74",B36&lt;=90,"75-90")</f>
        <v>30-44</v>
      </c>
      <c r="M36" t="str">
        <f>IF(Table1[[#This Row],[length_of_stay_days]]&gt;7,"Yes","No")</f>
        <v>No</v>
      </c>
    </row>
    <row r="37" spans="1:13" x14ac:dyDescent="0.3">
      <c r="A37" t="s">
        <v>125</v>
      </c>
      <c r="B37">
        <v>85</v>
      </c>
      <c r="C37" t="s">
        <v>12</v>
      </c>
      <c r="D37" t="s">
        <v>28</v>
      </c>
      <c r="E37" t="s">
        <v>28</v>
      </c>
      <c r="F37" t="s">
        <v>126</v>
      </c>
      <c r="G37" t="s">
        <v>127</v>
      </c>
      <c r="H37">
        <v>8</v>
      </c>
      <c r="I37" s="1">
        <v>8810.93</v>
      </c>
      <c r="J37" t="s">
        <v>17</v>
      </c>
      <c r="K37" t="s">
        <v>18</v>
      </c>
      <c r="L37" t="str" cm="1">
        <f t="array" ref="L37">_xlfn.IFS(B37&lt;30,"18-29",B37&lt;45,"30-44",B37&lt;60,"45-59",B37&lt;75,"60-74",B37&lt;=90,"75-90")</f>
        <v>75-90</v>
      </c>
      <c r="M37" t="str">
        <f>IF(Table1[[#This Row],[length_of_stay_days]]&gt;7,"Yes","No")</f>
        <v>Yes</v>
      </c>
    </row>
    <row r="38" spans="1:13" x14ac:dyDescent="0.3">
      <c r="A38" t="s">
        <v>128</v>
      </c>
      <c r="B38">
        <v>27</v>
      </c>
      <c r="C38" t="s">
        <v>20</v>
      </c>
      <c r="D38" t="s">
        <v>13</v>
      </c>
      <c r="E38" t="s">
        <v>28</v>
      </c>
      <c r="F38" t="s">
        <v>129</v>
      </c>
      <c r="G38" t="s">
        <v>130</v>
      </c>
      <c r="H38">
        <v>3</v>
      </c>
      <c r="I38" s="1">
        <v>5250.48</v>
      </c>
      <c r="J38" t="s">
        <v>49</v>
      </c>
      <c r="K38" t="s">
        <v>18</v>
      </c>
      <c r="L38" t="str" cm="1">
        <f t="array" ref="L38">_xlfn.IFS(B38&lt;30,"18-29",B38&lt;45,"30-44",B38&lt;60,"45-59",B38&lt;75,"60-74",B38&lt;=90,"75-90")</f>
        <v>18-29</v>
      </c>
      <c r="M38" t="str">
        <f>IF(Table1[[#This Row],[length_of_stay_days]]&gt;7,"Yes","No")</f>
        <v>No</v>
      </c>
    </row>
    <row r="39" spans="1:13" x14ac:dyDescent="0.3">
      <c r="A39" t="s">
        <v>131</v>
      </c>
      <c r="B39">
        <v>24</v>
      </c>
      <c r="C39" t="s">
        <v>20</v>
      </c>
      <c r="D39" t="s">
        <v>51</v>
      </c>
      <c r="E39" t="s">
        <v>28</v>
      </c>
      <c r="F39" t="s">
        <v>132</v>
      </c>
      <c r="G39" t="s">
        <v>133</v>
      </c>
      <c r="H39">
        <v>9</v>
      </c>
      <c r="I39" s="1">
        <v>13369.49</v>
      </c>
      <c r="J39" t="s">
        <v>17</v>
      </c>
      <c r="K39" t="s">
        <v>18</v>
      </c>
      <c r="L39" t="str" cm="1">
        <f t="array" ref="L39">_xlfn.IFS(B39&lt;30,"18-29",B39&lt;45,"30-44",B39&lt;60,"45-59",B39&lt;75,"60-74",B39&lt;=90,"75-90")</f>
        <v>18-29</v>
      </c>
      <c r="M39" t="str">
        <f>IF(Table1[[#This Row],[length_of_stay_days]]&gt;7,"Yes","No")</f>
        <v>Yes</v>
      </c>
    </row>
    <row r="40" spans="1:13" x14ac:dyDescent="0.3">
      <c r="A40" t="s">
        <v>134</v>
      </c>
      <c r="B40">
        <v>73</v>
      </c>
      <c r="C40" t="s">
        <v>12</v>
      </c>
      <c r="D40" t="s">
        <v>46</v>
      </c>
      <c r="E40" t="s">
        <v>14</v>
      </c>
      <c r="F40" t="s">
        <v>135</v>
      </c>
      <c r="G40" t="s">
        <v>92</v>
      </c>
      <c r="H40">
        <v>7</v>
      </c>
      <c r="I40" s="1">
        <v>12705.96</v>
      </c>
      <c r="J40" t="s">
        <v>17</v>
      </c>
      <c r="K40" t="s">
        <v>18</v>
      </c>
      <c r="L40" t="str" cm="1">
        <f t="array" ref="L40">_xlfn.IFS(B40&lt;30,"18-29",B40&lt;45,"30-44",B40&lt;60,"45-59",B40&lt;75,"60-74",B40&lt;=90,"75-90")</f>
        <v>60-74</v>
      </c>
      <c r="M40" t="str">
        <f>IF(Table1[[#This Row],[length_of_stay_days]]&gt;7,"Yes","No")</f>
        <v>No</v>
      </c>
    </row>
    <row r="41" spans="1:13" x14ac:dyDescent="0.3">
      <c r="A41" t="s">
        <v>136</v>
      </c>
      <c r="B41">
        <v>27</v>
      </c>
      <c r="C41" t="s">
        <v>12</v>
      </c>
      <c r="D41" t="s">
        <v>28</v>
      </c>
      <c r="E41" t="s">
        <v>14</v>
      </c>
      <c r="F41" t="s">
        <v>137</v>
      </c>
      <c r="G41" t="s">
        <v>138</v>
      </c>
      <c r="H41">
        <v>2</v>
      </c>
      <c r="I41" s="1">
        <v>2965.92</v>
      </c>
      <c r="J41" t="s">
        <v>17</v>
      </c>
      <c r="K41" t="s">
        <v>18</v>
      </c>
      <c r="L41" t="str" cm="1">
        <f t="array" ref="L41">_xlfn.IFS(B41&lt;30,"18-29",B41&lt;45,"30-44",B41&lt;60,"45-59",B41&lt;75,"60-74",B41&lt;=90,"75-90")</f>
        <v>18-29</v>
      </c>
      <c r="M41" t="str">
        <f>IF(Table1[[#This Row],[length_of_stay_days]]&gt;7,"Yes","No")</f>
        <v>No</v>
      </c>
    </row>
    <row r="42" spans="1:13" x14ac:dyDescent="0.3">
      <c r="A42" t="s">
        <v>139</v>
      </c>
      <c r="B42">
        <v>89</v>
      </c>
      <c r="C42" t="s">
        <v>20</v>
      </c>
      <c r="D42" t="s">
        <v>13</v>
      </c>
      <c r="E42" t="s">
        <v>21</v>
      </c>
      <c r="F42" t="s">
        <v>140</v>
      </c>
      <c r="G42" t="s">
        <v>141</v>
      </c>
      <c r="H42">
        <v>4</v>
      </c>
      <c r="I42" s="1">
        <v>3129.76</v>
      </c>
      <c r="J42" t="s">
        <v>17</v>
      </c>
      <c r="K42" t="s">
        <v>18</v>
      </c>
      <c r="L42" t="str" cm="1">
        <f t="array" ref="L42">_xlfn.IFS(B42&lt;30,"18-29",B42&lt;45,"30-44",B42&lt;60,"45-59",B42&lt;75,"60-74",B42&lt;=90,"75-90")</f>
        <v>75-90</v>
      </c>
      <c r="M42" t="str">
        <f>IF(Table1[[#This Row],[length_of_stay_days]]&gt;7,"Yes","No")</f>
        <v>No</v>
      </c>
    </row>
    <row r="43" spans="1:13" x14ac:dyDescent="0.3">
      <c r="A43" t="s">
        <v>142</v>
      </c>
      <c r="B43">
        <v>18</v>
      </c>
      <c r="C43" t="s">
        <v>20</v>
      </c>
      <c r="D43" t="s">
        <v>28</v>
      </c>
      <c r="E43" t="s">
        <v>28</v>
      </c>
      <c r="F43" t="s">
        <v>143</v>
      </c>
      <c r="G43" t="s">
        <v>144</v>
      </c>
      <c r="H43">
        <v>2</v>
      </c>
      <c r="I43" s="1">
        <v>1876.61</v>
      </c>
      <c r="J43" t="s">
        <v>17</v>
      </c>
      <c r="K43" t="s">
        <v>18</v>
      </c>
      <c r="L43" t="str" cm="1">
        <f t="array" ref="L43">_xlfn.IFS(B43&lt;30,"18-29",B43&lt;45,"30-44",B43&lt;60,"45-59",B43&lt;75,"60-74",B43&lt;=90,"75-90")</f>
        <v>18-29</v>
      </c>
      <c r="M43" t="str">
        <f>IF(Table1[[#This Row],[length_of_stay_days]]&gt;7,"Yes","No")</f>
        <v>No</v>
      </c>
    </row>
    <row r="44" spans="1:13" x14ac:dyDescent="0.3">
      <c r="A44" t="s">
        <v>145</v>
      </c>
      <c r="B44">
        <v>49</v>
      </c>
      <c r="C44" t="s">
        <v>20</v>
      </c>
      <c r="D44" t="s">
        <v>51</v>
      </c>
      <c r="E44" t="s">
        <v>28</v>
      </c>
      <c r="F44" t="s">
        <v>75</v>
      </c>
      <c r="G44" t="s">
        <v>146</v>
      </c>
      <c r="H44">
        <v>5</v>
      </c>
      <c r="I44" s="1">
        <v>12535.91</v>
      </c>
      <c r="J44" t="s">
        <v>17</v>
      </c>
      <c r="K44" t="s">
        <v>18</v>
      </c>
      <c r="L44" t="str" cm="1">
        <f t="array" ref="L44">_xlfn.IFS(B44&lt;30,"18-29",B44&lt;45,"30-44",B44&lt;60,"45-59",B44&lt;75,"60-74",B44&lt;=90,"75-90")</f>
        <v>45-59</v>
      </c>
      <c r="M44" t="str">
        <f>IF(Table1[[#This Row],[length_of_stay_days]]&gt;7,"Yes","No")</f>
        <v>No</v>
      </c>
    </row>
    <row r="45" spans="1:13" x14ac:dyDescent="0.3">
      <c r="A45" t="s">
        <v>147</v>
      </c>
      <c r="B45">
        <v>81</v>
      </c>
      <c r="C45" t="s">
        <v>12</v>
      </c>
      <c r="D45" t="s">
        <v>13</v>
      </c>
      <c r="E45" t="s">
        <v>28</v>
      </c>
      <c r="F45" t="s">
        <v>148</v>
      </c>
      <c r="G45" t="s">
        <v>149</v>
      </c>
      <c r="H45">
        <v>7</v>
      </c>
      <c r="I45" s="1">
        <v>6026.85</v>
      </c>
      <c r="J45" t="s">
        <v>17</v>
      </c>
      <c r="K45" t="s">
        <v>44</v>
      </c>
      <c r="L45" t="str" cm="1">
        <f t="array" ref="L45">_xlfn.IFS(B45&lt;30,"18-29",B45&lt;45,"30-44",B45&lt;60,"45-59",B45&lt;75,"60-74",B45&lt;=90,"75-90")</f>
        <v>75-90</v>
      </c>
      <c r="M45" t="str">
        <f>IF(Table1[[#This Row],[length_of_stay_days]]&gt;7,"Yes","No")</f>
        <v>No</v>
      </c>
    </row>
    <row r="46" spans="1:13" x14ac:dyDescent="0.3">
      <c r="A46" t="s">
        <v>150</v>
      </c>
      <c r="B46">
        <v>27</v>
      </c>
      <c r="C46" t="s">
        <v>20</v>
      </c>
      <c r="D46" t="s">
        <v>28</v>
      </c>
      <c r="E46" t="s">
        <v>14</v>
      </c>
      <c r="F46" t="s">
        <v>151</v>
      </c>
      <c r="G46" t="s">
        <v>152</v>
      </c>
      <c r="H46">
        <v>3</v>
      </c>
      <c r="I46" s="1">
        <v>6009.14</v>
      </c>
      <c r="J46" t="s">
        <v>17</v>
      </c>
      <c r="K46" t="s">
        <v>18</v>
      </c>
      <c r="L46" t="str" cm="1">
        <f t="array" ref="L46">_xlfn.IFS(B46&lt;30,"18-29",B46&lt;45,"30-44",B46&lt;60,"45-59",B46&lt;75,"60-74",B46&lt;=90,"75-90")</f>
        <v>18-29</v>
      </c>
      <c r="M46" t="str">
        <f>IF(Table1[[#This Row],[length_of_stay_days]]&gt;7,"Yes","No")</f>
        <v>No</v>
      </c>
    </row>
    <row r="47" spans="1:13" x14ac:dyDescent="0.3">
      <c r="A47" t="s">
        <v>153</v>
      </c>
      <c r="B47">
        <v>74</v>
      </c>
      <c r="C47" t="s">
        <v>12</v>
      </c>
      <c r="D47" t="s">
        <v>13</v>
      </c>
      <c r="E47" t="s">
        <v>14</v>
      </c>
      <c r="F47" t="s">
        <v>154</v>
      </c>
      <c r="G47" t="s">
        <v>155</v>
      </c>
      <c r="H47">
        <v>5</v>
      </c>
      <c r="I47" s="1">
        <v>3996.35</v>
      </c>
      <c r="J47" t="s">
        <v>49</v>
      </c>
      <c r="K47" t="s">
        <v>18</v>
      </c>
      <c r="L47" t="str" cm="1">
        <f t="array" ref="L47">_xlfn.IFS(B47&lt;30,"18-29",B47&lt;45,"30-44",B47&lt;60,"45-59",B47&lt;75,"60-74",B47&lt;=90,"75-90")</f>
        <v>60-74</v>
      </c>
      <c r="M47" t="str">
        <f>IF(Table1[[#This Row],[length_of_stay_days]]&gt;7,"Yes","No")</f>
        <v>No</v>
      </c>
    </row>
    <row r="48" spans="1:13" x14ac:dyDescent="0.3">
      <c r="A48" t="s">
        <v>156</v>
      </c>
      <c r="B48">
        <v>72</v>
      </c>
      <c r="C48" t="s">
        <v>12</v>
      </c>
      <c r="D48" t="s">
        <v>46</v>
      </c>
      <c r="E48" t="s">
        <v>28</v>
      </c>
      <c r="F48" t="s">
        <v>157</v>
      </c>
      <c r="G48" t="s">
        <v>158</v>
      </c>
      <c r="H48">
        <v>6</v>
      </c>
      <c r="I48" s="1">
        <v>11163.23</v>
      </c>
      <c r="J48" t="s">
        <v>17</v>
      </c>
      <c r="K48" t="s">
        <v>18</v>
      </c>
      <c r="L48" t="str" cm="1">
        <f t="array" ref="L48">_xlfn.IFS(B48&lt;30,"18-29",B48&lt;45,"30-44",B48&lt;60,"45-59",B48&lt;75,"60-74",B48&lt;=90,"75-90")</f>
        <v>60-74</v>
      </c>
      <c r="M48" t="str">
        <f>IF(Table1[[#This Row],[length_of_stay_days]]&gt;7,"Yes","No")</f>
        <v>No</v>
      </c>
    </row>
    <row r="49" spans="1:13" x14ac:dyDescent="0.3">
      <c r="A49" t="s">
        <v>159</v>
      </c>
      <c r="B49">
        <v>61</v>
      </c>
      <c r="C49" t="s">
        <v>12</v>
      </c>
      <c r="D49" t="s">
        <v>13</v>
      </c>
      <c r="E49" t="s">
        <v>28</v>
      </c>
      <c r="F49" t="s">
        <v>158</v>
      </c>
      <c r="G49" t="s">
        <v>53</v>
      </c>
      <c r="H49">
        <v>7</v>
      </c>
      <c r="I49" s="1">
        <v>7806.04</v>
      </c>
      <c r="J49" t="s">
        <v>17</v>
      </c>
      <c r="K49" t="s">
        <v>18</v>
      </c>
      <c r="L49" t="str" cm="1">
        <f t="array" ref="L49">_xlfn.IFS(B49&lt;30,"18-29",B49&lt;45,"30-44",B49&lt;60,"45-59",B49&lt;75,"60-74",B49&lt;=90,"75-90")</f>
        <v>60-74</v>
      </c>
      <c r="M49" t="str">
        <f>IF(Table1[[#This Row],[length_of_stay_days]]&gt;7,"Yes","No")</f>
        <v>No</v>
      </c>
    </row>
    <row r="50" spans="1:13" x14ac:dyDescent="0.3">
      <c r="A50" t="s">
        <v>160</v>
      </c>
      <c r="B50">
        <v>77</v>
      </c>
      <c r="C50" t="s">
        <v>20</v>
      </c>
      <c r="D50" t="s">
        <v>51</v>
      </c>
      <c r="E50" t="s">
        <v>28</v>
      </c>
      <c r="F50" t="s">
        <v>106</v>
      </c>
      <c r="G50" t="s">
        <v>59</v>
      </c>
      <c r="H50">
        <v>8</v>
      </c>
      <c r="I50" s="1">
        <v>12924.18</v>
      </c>
      <c r="J50" t="s">
        <v>17</v>
      </c>
      <c r="K50" t="s">
        <v>18</v>
      </c>
      <c r="L50" t="str" cm="1">
        <f t="array" ref="L50">_xlfn.IFS(B50&lt;30,"18-29",B50&lt;45,"30-44",B50&lt;60,"45-59",B50&lt;75,"60-74",B50&lt;=90,"75-90")</f>
        <v>75-90</v>
      </c>
      <c r="M50" t="str">
        <f>IF(Table1[[#This Row],[length_of_stay_days]]&gt;7,"Yes","No")</f>
        <v>Yes</v>
      </c>
    </row>
    <row r="51" spans="1:13" x14ac:dyDescent="0.3">
      <c r="A51" t="s">
        <v>161</v>
      </c>
      <c r="B51">
        <v>40</v>
      </c>
      <c r="C51" t="s">
        <v>12</v>
      </c>
      <c r="D51" t="s">
        <v>28</v>
      </c>
      <c r="E51" t="s">
        <v>21</v>
      </c>
      <c r="F51" t="s">
        <v>162</v>
      </c>
      <c r="G51" t="s">
        <v>163</v>
      </c>
      <c r="H51">
        <v>9</v>
      </c>
      <c r="I51" s="1">
        <v>7071.67</v>
      </c>
      <c r="J51" t="s">
        <v>17</v>
      </c>
      <c r="K51" t="s">
        <v>18</v>
      </c>
      <c r="L51" t="str" cm="1">
        <f t="array" ref="L51">_xlfn.IFS(B51&lt;30,"18-29",B51&lt;45,"30-44",B51&lt;60,"45-59",B51&lt;75,"60-74",B51&lt;=90,"75-90")</f>
        <v>30-44</v>
      </c>
      <c r="M51" t="str">
        <f>IF(Table1[[#This Row],[length_of_stay_days]]&gt;7,"Yes","No")</f>
        <v>Yes</v>
      </c>
    </row>
    <row r="52" spans="1:13" x14ac:dyDescent="0.3">
      <c r="A52" t="s">
        <v>164</v>
      </c>
      <c r="B52">
        <v>46</v>
      </c>
      <c r="C52" t="s">
        <v>20</v>
      </c>
      <c r="D52" t="s">
        <v>55</v>
      </c>
      <c r="E52" t="s">
        <v>14</v>
      </c>
      <c r="F52" t="s">
        <v>165</v>
      </c>
      <c r="G52" t="s">
        <v>166</v>
      </c>
      <c r="H52">
        <v>1</v>
      </c>
      <c r="I52" s="1">
        <v>5681.66</v>
      </c>
      <c r="J52" t="s">
        <v>17</v>
      </c>
      <c r="K52" t="s">
        <v>18</v>
      </c>
      <c r="L52" t="str" cm="1">
        <f t="array" ref="L52">_xlfn.IFS(B52&lt;30,"18-29",B52&lt;45,"30-44",B52&lt;60,"45-59",B52&lt;75,"60-74",B52&lt;=90,"75-90")</f>
        <v>45-59</v>
      </c>
      <c r="M52" t="str">
        <f>IF(Table1[[#This Row],[length_of_stay_days]]&gt;7,"Yes","No")</f>
        <v>No</v>
      </c>
    </row>
    <row r="53" spans="1:13" x14ac:dyDescent="0.3">
      <c r="A53" t="s">
        <v>167</v>
      </c>
      <c r="B53">
        <v>67</v>
      </c>
      <c r="C53" t="s">
        <v>20</v>
      </c>
      <c r="D53" t="s">
        <v>51</v>
      </c>
      <c r="E53" t="s">
        <v>14</v>
      </c>
      <c r="F53" t="s">
        <v>168</v>
      </c>
      <c r="G53" t="s">
        <v>169</v>
      </c>
      <c r="H53">
        <v>6</v>
      </c>
      <c r="I53" s="1">
        <v>11240.7</v>
      </c>
      <c r="J53" t="s">
        <v>17</v>
      </c>
      <c r="K53" t="s">
        <v>18</v>
      </c>
      <c r="L53" t="str" cm="1">
        <f t="array" ref="L53">_xlfn.IFS(B53&lt;30,"18-29",B53&lt;45,"30-44",B53&lt;60,"45-59",B53&lt;75,"60-74",B53&lt;=90,"75-90")</f>
        <v>60-74</v>
      </c>
      <c r="M53" t="str">
        <f>IF(Table1[[#This Row],[length_of_stay_days]]&gt;7,"Yes","No")</f>
        <v>No</v>
      </c>
    </row>
    <row r="54" spans="1:13" x14ac:dyDescent="0.3">
      <c r="A54" t="s">
        <v>170</v>
      </c>
      <c r="B54">
        <v>36</v>
      </c>
      <c r="C54" t="s">
        <v>12</v>
      </c>
      <c r="D54" t="s">
        <v>13</v>
      </c>
      <c r="E54" t="s">
        <v>14</v>
      </c>
      <c r="F54" t="s">
        <v>171</v>
      </c>
      <c r="G54" t="s">
        <v>126</v>
      </c>
      <c r="H54">
        <v>2</v>
      </c>
      <c r="I54" s="1">
        <v>4353.57</v>
      </c>
      <c r="J54" t="s">
        <v>17</v>
      </c>
      <c r="K54" t="s">
        <v>44</v>
      </c>
      <c r="L54" t="str" cm="1">
        <f t="array" ref="L54">_xlfn.IFS(B54&lt;30,"18-29",B54&lt;45,"30-44",B54&lt;60,"45-59",B54&lt;75,"60-74",B54&lt;=90,"75-90")</f>
        <v>30-44</v>
      </c>
      <c r="M54" t="str">
        <f>IF(Table1[[#This Row],[length_of_stay_days]]&gt;7,"Yes","No")</f>
        <v>No</v>
      </c>
    </row>
    <row r="55" spans="1:13" x14ac:dyDescent="0.3">
      <c r="A55" t="s">
        <v>172</v>
      </c>
      <c r="B55">
        <v>32</v>
      </c>
      <c r="C55" t="s">
        <v>12</v>
      </c>
      <c r="D55" t="s">
        <v>32</v>
      </c>
      <c r="E55" t="s">
        <v>28</v>
      </c>
      <c r="F55" t="s">
        <v>173</v>
      </c>
      <c r="G55" t="s">
        <v>174</v>
      </c>
      <c r="H55">
        <v>7</v>
      </c>
      <c r="I55" s="1">
        <v>14998.35</v>
      </c>
      <c r="J55" t="s">
        <v>17</v>
      </c>
      <c r="K55" t="s">
        <v>18</v>
      </c>
      <c r="L55" t="str" cm="1">
        <f t="array" ref="L55">_xlfn.IFS(B55&lt;30,"18-29",B55&lt;45,"30-44",B55&lt;60,"45-59",B55&lt;75,"60-74",B55&lt;=90,"75-90")</f>
        <v>30-44</v>
      </c>
      <c r="M55" t="str">
        <f>IF(Table1[[#This Row],[length_of_stay_days]]&gt;7,"Yes","No")</f>
        <v>No</v>
      </c>
    </row>
    <row r="56" spans="1:13" x14ac:dyDescent="0.3">
      <c r="A56" t="s">
        <v>175</v>
      </c>
      <c r="B56">
        <v>46</v>
      </c>
      <c r="C56" t="s">
        <v>70</v>
      </c>
      <c r="D56" t="s">
        <v>46</v>
      </c>
      <c r="E56" t="s">
        <v>21</v>
      </c>
      <c r="F56" t="s">
        <v>58</v>
      </c>
      <c r="G56" t="s">
        <v>151</v>
      </c>
      <c r="H56">
        <v>6</v>
      </c>
      <c r="I56" s="1">
        <v>12907.5</v>
      </c>
      <c r="J56" t="s">
        <v>17</v>
      </c>
      <c r="K56" t="s">
        <v>18</v>
      </c>
      <c r="L56" t="str" cm="1">
        <f t="array" ref="L56">_xlfn.IFS(B56&lt;30,"18-29",B56&lt;45,"30-44",B56&lt;60,"45-59",B56&lt;75,"60-74",B56&lt;=90,"75-90")</f>
        <v>45-59</v>
      </c>
      <c r="M56" t="str">
        <f>IF(Table1[[#This Row],[length_of_stay_days]]&gt;7,"Yes","No")</f>
        <v>No</v>
      </c>
    </row>
    <row r="57" spans="1:13" x14ac:dyDescent="0.3">
      <c r="A57" t="s">
        <v>176</v>
      </c>
      <c r="B57">
        <v>50</v>
      </c>
      <c r="C57" t="s">
        <v>20</v>
      </c>
      <c r="D57" t="s">
        <v>13</v>
      </c>
      <c r="E57" t="s">
        <v>14</v>
      </c>
      <c r="F57" t="s">
        <v>177</v>
      </c>
      <c r="G57" t="s">
        <v>151</v>
      </c>
      <c r="H57">
        <v>5</v>
      </c>
      <c r="I57" s="1">
        <v>3357.02</v>
      </c>
      <c r="J57" t="s">
        <v>17</v>
      </c>
      <c r="K57" t="s">
        <v>18</v>
      </c>
      <c r="L57" t="str" cm="1">
        <f t="array" ref="L57">_xlfn.IFS(B57&lt;30,"18-29",B57&lt;45,"30-44",B57&lt;60,"45-59",B57&lt;75,"60-74",B57&lt;=90,"75-90")</f>
        <v>45-59</v>
      </c>
      <c r="M57" t="str">
        <f>IF(Table1[[#This Row],[length_of_stay_days]]&gt;7,"Yes","No")</f>
        <v>No</v>
      </c>
    </row>
    <row r="58" spans="1:13" x14ac:dyDescent="0.3">
      <c r="A58" t="s">
        <v>178</v>
      </c>
      <c r="B58">
        <v>43</v>
      </c>
      <c r="C58" t="s">
        <v>12</v>
      </c>
      <c r="D58" t="s">
        <v>13</v>
      </c>
      <c r="E58" t="s">
        <v>28</v>
      </c>
      <c r="F58" t="s">
        <v>179</v>
      </c>
      <c r="G58" t="s">
        <v>180</v>
      </c>
      <c r="H58">
        <v>7</v>
      </c>
      <c r="I58" s="1">
        <v>9927.8799999999992</v>
      </c>
      <c r="J58" t="s">
        <v>49</v>
      </c>
      <c r="K58" t="s">
        <v>18</v>
      </c>
      <c r="L58" t="str" cm="1">
        <f t="array" ref="L58">_xlfn.IFS(B58&lt;30,"18-29",B58&lt;45,"30-44",B58&lt;60,"45-59",B58&lt;75,"60-74",B58&lt;=90,"75-90")</f>
        <v>30-44</v>
      </c>
      <c r="M58" t="str">
        <f>IF(Table1[[#This Row],[length_of_stay_days]]&gt;7,"Yes","No")</f>
        <v>No</v>
      </c>
    </row>
    <row r="59" spans="1:13" x14ac:dyDescent="0.3">
      <c r="A59" t="s">
        <v>181</v>
      </c>
      <c r="B59">
        <v>69</v>
      </c>
      <c r="C59" t="s">
        <v>20</v>
      </c>
      <c r="D59" t="s">
        <v>55</v>
      </c>
      <c r="E59" t="s">
        <v>28</v>
      </c>
      <c r="F59" t="s">
        <v>22</v>
      </c>
      <c r="G59" t="s">
        <v>182</v>
      </c>
      <c r="H59">
        <v>11</v>
      </c>
      <c r="I59" s="1">
        <v>13377.48</v>
      </c>
      <c r="J59" t="s">
        <v>17</v>
      </c>
      <c r="K59" t="s">
        <v>18</v>
      </c>
      <c r="L59" t="str" cm="1">
        <f t="array" ref="L59">_xlfn.IFS(B59&lt;30,"18-29",B59&lt;45,"30-44",B59&lt;60,"45-59",B59&lt;75,"60-74",B59&lt;=90,"75-90")</f>
        <v>60-74</v>
      </c>
      <c r="M59" t="str">
        <f>IF(Table1[[#This Row],[length_of_stay_days]]&gt;7,"Yes","No")</f>
        <v>Yes</v>
      </c>
    </row>
    <row r="60" spans="1:13" x14ac:dyDescent="0.3">
      <c r="A60" t="s">
        <v>183</v>
      </c>
      <c r="B60">
        <v>55</v>
      </c>
      <c r="C60" t="s">
        <v>12</v>
      </c>
      <c r="D60" t="s">
        <v>46</v>
      </c>
      <c r="E60" t="s">
        <v>28</v>
      </c>
      <c r="F60" t="s">
        <v>184</v>
      </c>
      <c r="G60" t="s">
        <v>118</v>
      </c>
      <c r="H60">
        <v>8</v>
      </c>
      <c r="I60" s="1">
        <v>13548.92</v>
      </c>
      <c r="J60" t="s">
        <v>17</v>
      </c>
      <c r="K60" t="s">
        <v>18</v>
      </c>
      <c r="L60" t="str" cm="1">
        <f t="array" ref="L60">_xlfn.IFS(B60&lt;30,"18-29",B60&lt;45,"30-44",B60&lt;60,"45-59",B60&lt;75,"60-74",B60&lt;=90,"75-90")</f>
        <v>45-59</v>
      </c>
      <c r="M60" t="str">
        <f>IF(Table1[[#This Row],[length_of_stay_days]]&gt;7,"Yes","No")</f>
        <v>Yes</v>
      </c>
    </row>
    <row r="61" spans="1:13" x14ac:dyDescent="0.3">
      <c r="A61" t="s">
        <v>185</v>
      </c>
      <c r="B61">
        <v>67</v>
      </c>
      <c r="C61" t="s">
        <v>12</v>
      </c>
      <c r="D61" t="s">
        <v>28</v>
      </c>
      <c r="E61" t="s">
        <v>14</v>
      </c>
      <c r="F61" t="s">
        <v>186</v>
      </c>
      <c r="G61" t="s">
        <v>25</v>
      </c>
      <c r="H61">
        <v>4</v>
      </c>
      <c r="I61" s="1">
        <v>5790.9</v>
      </c>
      <c r="J61" t="s">
        <v>17</v>
      </c>
      <c r="K61" t="s">
        <v>44</v>
      </c>
      <c r="L61" t="str" cm="1">
        <f t="array" ref="L61">_xlfn.IFS(B61&lt;30,"18-29",B61&lt;45,"30-44",B61&lt;60,"45-59",B61&lt;75,"60-74",B61&lt;=90,"75-90")</f>
        <v>60-74</v>
      </c>
      <c r="M61" t="str">
        <f>IF(Table1[[#This Row],[length_of_stay_days]]&gt;7,"Yes","No")</f>
        <v>No</v>
      </c>
    </row>
    <row r="62" spans="1:13" x14ac:dyDescent="0.3">
      <c r="A62" t="s">
        <v>187</v>
      </c>
      <c r="B62">
        <v>45</v>
      </c>
      <c r="C62" t="s">
        <v>20</v>
      </c>
      <c r="D62" t="s">
        <v>28</v>
      </c>
      <c r="E62" t="s">
        <v>28</v>
      </c>
      <c r="F62" t="s">
        <v>151</v>
      </c>
      <c r="H62">
        <v>1</v>
      </c>
      <c r="I62" s="1">
        <v>3956.13</v>
      </c>
      <c r="J62" t="s">
        <v>17</v>
      </c>
      <c r="K62" t="s">
        <v>18</v>
      </c>
      <c r="L62" t="str" cm="1">
        <f t="array" ref="L62">_xlfn.IFS(B62&lt;30,"18-29",B62&lt;45,"30-44",B62&lt;60,"45-59",B62&lt;75,"60-74",B62&lt;=90,"75-90")</f>
        <v>45-59</v>
      </c>
      <c r="M62" t="str">
        <f>IF(Table1[[#This Row],[length_of_stay_days]]&gt;7,"Yes","No")</f>
        <v>No</v>
      </c>
    </row>
    <row r="63" spans="1:13" x14ac:dyDescent="0.3">
      <c r="A63" t="s">
        <v>188</v>
      </c>
      <c r="B63">
        <v>19</v>
      </c>
      <c r="C63" t="s">
        <v>12</v>
      </c>
      <c r="D63" t="s">
        <v>13</v>
      </c>
      <c r="E63" t="s">
        <v>28</v>
      </c>
      <c r="F63" t="s">
        <v>189</v>
      </c>
      <c r="G63" t="s">
        <v>190</v>
      </c>
      <c r="H63">
        <v>6</v>
      </c>
      <c r="I63" s="1">
        <v>8505.34</v>
      </c>
      <c r="J63" t="s">
        <v>17</v>
      </c>
      <c r="K63" t="s">
        <v>18</v>
      </c>
      <c r="L63" t="str" cm="1">
        <f t="array" ref="L63">_xlfn.IFS(B63&lt;30,"18-29",B63&lt;45,"30-44",B63&lt;60,"45-59",B63&lt;75,"60-74",B63&lt;=90,"75-90")</f>
        <v>18-29</v>
      </c>
      <c r="M63" t="str">
        <f>IF(Table1[[#This Row],[length_of_stay_days]]&gt;7,"Yes","No")</f>
        <v>No</v>
      </c>
    </row>
    <row r="64" spans="1:13" x14ac:dyDescent="0.3">
      <c r="A64" t="s">
        <v>191</v>
      </c>
      <c r="B64">
        <v>75</v>
      </c>
      <c r="C64" t="s">
        <v>12</v>
      </c>
      <c r="D64" t="s">
        <v>28</v>
      </c>
      <c r="E64" t="s">
        <v>21</v>
      </c>
      <c r="F64" t="s">
        <v>192</v>
      </c>
      <c r="G64" t="s">
        <v>180</v>
      </c>
      <c r="H64">
        <v>8</v>
      </c>
      <c r="I64" s="1">
        <v>8512.24</v>
      </c>
      <c r="J64" t="s">
        <v>49</v>
      </c>
      <c r="K64" t="s">
        <v>18</v>
      </c>
      <c r="L64" t="str" cm="1">
        <f t="array" ref="L64">_xlfn.IFS(B64&lt;30,"18-29",B64&lt;45,"30-44",B64&lt;60,"45-59",B64&lt;75,"60-74",B64&lt;=90,"75-90")</f>
        <v>75-90</v>
      </c>
      <c r="M64" t="str">
        <f>IF(Table1[[#This Row],[length_of_stay_days]]&gt;7,"Yes","No")</f>
        <v>Yes</v>
      </c>
    </row>
    <row r="65" spans="1:13" x14ac:dyDescent="0.3">
      <c r="A65" t="s">
        <v>193</v>
      </c>
      <c r="B65">
        <v>24</v>
      </c>
      <c r="C65" t="s">
        <v>20</v>
      </c>
      <c r="D65" t="s">
        <v>28</v>
      </c>
      <c r="E65" t="s">
        <v>28</v>
      </c>
      <c r="F65" t="s">
        <v>194</v>
      </c>
      <c r="G65" t="s">
        <v>195</v>
      </c>
      <c r="H65">
        <v>3</v>
      </c>
      <c r="I65" s="1">
        <v>7228.8</v>
      </c>
      <c r="J65" t="s">
        <v>17</v>
      </c>
      <c r="K65" t="s">
        <v>18</v>
      </c>
      <c r="L65" t="str" cm="1">
        <f t="array" ref="L65">_xlfn.IFS(B65&lt;30,"18-29",B65&lt;45,"30-44",B65&lt;60,"45-59",B65&lt;75,"60-74",B65&lt;=90,"75-90")</f>
        <v>18-29</v>
      </c>
      <c r="M65" t="str">
        <f>IF(Table1[[#This Row],[length_of_stay_days]]&gt;7,"Yes","No")</f>
        <v>No</v>
      </c>
    </row>
    <row r="66" spans="1:13" x14ac:dyDescent="0.3">
      <c r="A66" t="s">
        <v>196</v>
      </c>
      <c r="B66">
        <v>46</v>
      </c>
      <c r="C66" t="s">
        <v>12</v>
      </c>
      <c r="D66" t="s">
        <v>13</v>
      </c>
      <c r="E66" t="s">
        <v>14</v>
      </c>
      <c r="F66" t="s">
        <v>62</v>
      </c>
      <c r="G66" t="s">
        <v>43</v>
      </c>
      <c r="H66">
        <v>5</v>
      </c>
      <c r="I66" s="1">
        <v>5114.43</v>
      </c>
      <c r="J66" t="s">
        <v>17</v>
      </c>
      <c r="K66" t="s">
        <v>18</v>
      </c>
      <c r="L66" t="str" cm="1">
        <f t="array" ref="L66">_xlfn.IFS(B66&lt;30,"18-29",B66&lt;45,"30-44",B66&lt;60,"45-59",B66&lt;75,"60-74",B66&lt;=90,"75-90")</f>
        <v>45-59</v>
      </c>
      <c r="M66" t="str">
        <f>IF(Table1[[#This Row],[length_of_stay_days]]&gt;7,"Yes","No")</f>
        <v>No</v>
      </c>
    </row>
    <row r="67" spans="1:13" x14ac:dyDescent="0.3">
      <c r="A67" t="s">
        <v>197</v>
      </c>
      <c r="B67">
        <v>44</v>
      </c>
      <c r="C67" t="s">
        <v>20</v>
      </c>
      <c r="D67" t="s">
        <v>28</v>
      </c>
      <c r="E67" t="s">
        <v>14</v>
      </c>
      <c r="F67" t="s">
        <v>36</v>
      </c>
      <c r="G67" t="s">
        <v>198</v>
      </c>
      <c r="H67">
        <v>2</v>
      </c>
      <c r="I67" s="1">
        <v>6781.95</v>
      </c>
      <c r="J67" t="s">
        <v>17</v>
      </c>
      <c r="K67" t="s">
        <v>18</v>
      </c>
      <c r="L67" t="str" cm="1">
        <f t="array" ref="L67">_xlfn.IFS(B67&lt;30,"18-29",B67&lt;45,"30-44",B67&lt;60,"45-59",B67&lt;75,"60-74",B67&lt;=90,"75-90")</f>
        <v>30-44</v>
      </c>
      <c r="M67" t="str">
        <f>IF(Table1[[#This Row],[length_of_stay_days]]&gt;7,"Yes","No")</f>
        <v>No</v>
      </c>
    </row>
    <row r="68" spans="1:13" x14ac:dyDescent="0.3">
      <c r="A68" t="s">
        <v>199</v>
      </c>
      <c r="B68">
        <v>86</v>
      </c>
      <c r="C68" t="s">
        <v>20</v>
      </c>
      <c r="D68" t="s">
        <v>28</v>
      </c>
      <c r="E68" t="s">
        <v>28</v>
      </c>
      <c r="F68" t="s">
        <v>200</v>
      </c>
      <c r="G68" t="s">
        <v>201</v>
      </c>
      <c r="H68">
        <v>5</v>
      </c>
      <c r="I68" s="1">
        <v>5173.18</v>
      </c>
      <c r="J68" t="s">
        <v>17</v>
      </c>
      <c r="K68" t="s">
        <v>18</v>
      </c>
      <c r="L68" t="str" cm="1">
        <f t="array" ref="L68">_xlfn.IFS(B68&lt;30,"18-29",B68&lt;45,"30-44",B68&lt;60,"45-59",B68&lt;75,"60-74",B68&lt;=90,"75-90")</f>
        <v>75-90</v>
      </c>
      <c r="M68" t="str">
        <f>IF(Table1[[#This Row],[length_of_stay_days]]&gt;7,"Yes","No")</f>
        <v>No</v>
      </c>
    </row>
    <row r="69" spans="1:13" x14ac:dyDescent="0.3">
      <c r="A69" t="s">
        <v>202</v>
      </c>
      <c r="B69">
        <v>23</v>
      </c>
      <c r="C69" t="s">
        <v>20</v>
      </c>
      <c r="D69" t="s">
        <v>28</v>
      </c>
      <c r="E69" t="s">
        <v>21</v>
      </c>
      <c r="F69" t="s">
        <v>75</v>
      </c>
      <c r="G69" t="s">
        <v>203</v>
      </c>
      <c r="H69">
        <v>4</v>
      </c>
      <c r="I69" s="1">
        <v>5647.29</v>
      </c>
      <c r="J69" t="s">
        <v>49</v>
      </c>
      <c r="K69" t="s">
        <v>18</v>
      </c>
      <c r="L69" t="str" cm="1">
        <f t="array" ref="L69">_xlfn.IFS(B69&lt;30,"18-29",B69&lt;45,"30-44",B69&lt;60,"45-59",B69&lt;75,"60-74",B69&lt;=90,"75-90")</f>
        <v>18-29</v>
      </c>
      <c r="M69" t="str">
        <f>IF(Table1[[#This Row],[length_of_stay_days]]&gt;7,"Yes","No")</f>
        <v>No</v>
      </c>
    </row>
    <row r="70" spans="1:13" x14ac:dyDescent="0.3">
      <c r="A70" t="s">
        <v>204</v>
      </c>
      <c r="B70">
        <v>41</v>
      </c>
      <c r="C70" t="s">
        <v>20</v>
      </c>
      <c r="D70" t="s">
        <v>46</v>
      </c>
      <c r="E70" t="s">
        <v>28</v>
      </c>
      <c r="F70" t="s">
        <v>171</v>
      </c>
      <c r="G70" t="s">
        <v>205</v>
      </c>
      <c r="H70">
        <v>6</v>
      </c>
      <c r="I70" s="1">
        <v>14153.05</v>
      </c>
      <c r="J70" t="s">
        <v>17</v>
      </c>
      <c r="K70" t="s">
        <v>18</v>
      </c>
      <c r="L70" t="str" cm="1">
        <f t="array" ref="L70">_xlfn.IFS(B70&lt;30,"18-29",B70&lt;45,"30-44",B70&lt;60,"45-59",B70&lt;75,"60-74",B70&lt;=90,"75-90")</f>
        <v>30-44</v>
      </c>
      <c r="M70" t="str">
        <f>IF(Table1[[#This Row],[length_of_stay_days]]&gt;7,"Yes","No")</f>
        <v>No</v>
      </c>
    </row>
    <row r="71" spans="1:13" x14ac:dyDescent="0.3">
      <c r="A71" t="s">
        <v>206</v>
      </c>
      <c r="B71">
        <v>71</v>
      </c>
      <c r="C71" t="s">
        <v>20</v>
      </c>
      <c r="D71" t="s">
        <v>46</v>
      </c>
      <c r="E71" t="s">
        <v>28</v>
      </c>
      <c r="F71" t="s">
        <v>207</v>
      </c>
      <c r="G71" t="s">
        <v>208</v>
      </c>
      <c r="H71">
        <v>8</v>
      </c>
      <c r="I71" s="1">
        <v>14360.9</v>
      </c>
      <c r="J71" t="s">
        <v>17</v>
      </c>
      <c r="K71" t="s">
        <v>18</v>
      </c>
      <c r="L71" t="str" cm="1">
        <f t="array" ref="L71">_xlfn.IFS(B71&lt;30,"18-29",B71&lt;45,"30-44",B71&lt;60,"45-59",B71&lt;75,"60-74",B71&lt;=90,"75-90")</f>
        <v>60-74</v>
      </c>
      <c r="M71" t="str">
        <f>IF(Table1[[#This Row],[length_of_stay_days]]&gt;7,"Yes","No")</f>
        <v>Yes</v>
      </c>
    </row>
    <row r="72" spans="1:13" x14ac:dyDescent="0.3">
      <c r="A72" t="s">
        <v>209</v>
      </c>
      <c r="B72">
        <v>59</v>
      </c>
      <c r="C72" t="s">
        <v>12</v>
      </c>
      <c r="D72" t="s">
        <v>28</v>
      </c>
      <c r="E72" t="s">
        <v>14</v>
      </c>
      <c r="F72" t="s">
        <v>52</v>
      </c>
      <c r="G72" t="s">
        <v>210</v>
      </c>
      <c r="H72">
        <v>4</v>
      </c>
      <c r="I72" s="1">
        <v>5717.45</v>
      </c>
      <c r="J72" t="s">
        <v>17</v>
      </c>
      <c r="K72" t="s">
        <v>18</v>
      </c>
      <c r="L72" t="str" cm="1">
        <f t="array" ref="L72">_xlfn.IFS(B72&lt;30,"18-29",B72&lt;45,"30-44",B72&lt;60,"45-59",B72&lt;75,"60-74",B72&lt;=90,"75-90")</f>
        <v>45-59</v>
      </c>
      <c r="M72" t="str">
        <f>IF(Table1[[#This Row],[length_of_stay_days]]&gt;7,"Yes","No")</f>
        <v>No</v>
      </c>
    </row>
    <row r="73" spans="1:13" x14ac:dyDescent="0.3">
      <c r="A73" t="s">
        <v>211</v>
      </c>
      <c r="B73">
        <v>46</v>
      </c>
      <c r="C73" t="s">
        <v>12</v>
      </c>
      <c r="D73" t="s">
        <v>28</v>
      </c>
      <c r="E73" t="s">
        <v>14</v>
      </c>
      <c r="F73" t="s">
        <v>33</v>
      </c>
      <c r="G73" t="s">
        <v>212</v>
      </c>
      <c r="H73">
        <v>1</v>
      </c>
      <c r="I73" s="1">
        <v>1933.06</v>
      </c>
      <c r="J73" t="s">
        <v>17</v>
      </c>
      <c r="K73" t="s">
        <v>18</v>
      </c>
      <c r="L73" t="str" cm="1">
        <f t="array" ref="L73">_xlfn.IFS(B73&lt;30,"18-29",B73&lt;45,"30-44",B73&lt;60,"45-59",B73&lt;75,"60-74",B73&lt;=90,"75-90")</f>
        <v>45-59</v>
      </c>
      <c r="M73" t="str">
        <f>IF(Table1[[#This Row],[length_of_stay_days]]&gt;7,"Yes","No")</f>
        <v>No</v>
      </c>
    </row>
    <row r="74" spans="1:13" x14ac:dyDescent="0.3">
      <c r="A74" t="s">
        <v>213</v>
      </c>
      <c r="B74">
        <v>52</v>
      </c>
      <c r="C74" t="s">
        <v>20</v>
      </c>
      <c r="D74" t="s">
        <v>13</v>
      </c>
      <c r="E74" t="s">
        <v>28</v>
      </c>
      <c r="F74" t="s">
        <v>214</v>
      </c>
      <c r="G74" t="s">
        <v>89</v>
      </c>
      <c r="H74">
        <v>2</v>
      </c>
      <c r="I74" s="1">
        <v>4275.82</v>
      </c>
      <c r="J74" t="s">
        <v>17</v>
      </c>
      <c r="K74" t="s">
        <v>18</v>
      </c>
      <c r="L74" t="str" cm="1">
        <f t="array" ref="L74">_xlfn.IFS(B74&lt;30,"18-29",B74&lt;45,"30-44",B74&lt;60,"45-59",B74&lt;75,"60-74",B74&lt;=90,"75-90")</f>
        <v>45-59</v>
      </c>
      <c r="M74" t="str">
        <f>IF(Table1[[#This Row],[length_of_stay_days]]&gt;7,"Yes","No")</f>
        <v>No</v>
      </c>
    </row>
    <row r="75" spans="1:13" x14ac:dyDescent="0.3">
      <c r="A75" t="s">
        <v>215</v>
      </c>
      <c r="B75">
        <v>19</v>
      </c>
      <c r="C75" t="s">
        <v>20</v>
      </c>
      <c r="D75" t="s">
        <v>46</v>
      </c>
      <c r="E75" t="s">
        <v>28</v>
      </c>
      <c r="F75" t="s">
        <v>216</v>
      </c>
      <c r="G75" t="s">
        <v>217</v>
      </c>
      <c r="H75">
        <v>8</v>
      </c>
      <c r="I75" s="1">
        <v>15764.41</v>
      </c>
      <c r="J75" t="s">
        <v>17</v>
      </c>
      <c r="K75" t="s">
        <v>18</v>
      </c>
      <c r="L75" t="str" cm="1">
        <f t="array" ref="L75">_xlfn.IFS(B75&lt;30,"18-29",B75&lt;45,"30-44",B75&lt;60,"45-59",B75&lt;75,"60-74",B75&lt;=90,"75-90")</f>
        <v>18-29</v>
      </c>
      <c r="M75" t="str">
        <f>IF(Table1[[#This Row],[length_of_stay_days]]&gt;7,"Yes","No")</f>
        <v>Yes</v>
      </c>
    </row>
    <row r="76" spans="1:13" x14ac:dyDescent="0.3">
      <c r="A76" t="s">
        <v>218</v>
      </c>
      <c r="B76">
        <v>18</v>
      </c>
      <c r="C76" t="s">
        <v>20</v>
      </c>
      <c r="D76" t="s">
        <v>13</v>
      </c>
      <c r="E76" t="s">
        <v>28</v>
      </c>
      <c r="F76" t="s">
        <v>219</v>
      </c>
      <c r="G76" t="s">
        <v>83</v>
      </c>
      <c r="H76">
        <v>7</v>
      </c>
      <c r="I76" s="1">
        <v>8868.33</v>
      </c>
      <c r="J76" t="s">
        <v>17</v>
      </c>
      <c r="K76" t="s">
        <v>18</v>
      </c>
      <c r="L76" t="str" cm="1">
        <f t="array" ref="L76">_xlfn.IFS(B76&lt;30,"18-29",B76&lt;45,"30-44",B76&lt;60,"45-59",B76&lt;75,"60-74",B76&lt;=90,"75-90")</f>
        <v>18-29</v>
      </c>
      <c r="M76" t="str">
        <f>IF(Table1[[#This Row],[length_of_stay_days]]&gt;7,"Yes","No")</f>
        <v>No</v>
      </c>
    </row>
    <row r="77" spans="1:13" x14ac:dyDescent="0.3">
      <c r="A77" t="s">
        <v>220</v>
      </c>
      <c r="B77">
        <v>22</v>
      </c>
      <c r="C77" t="s">
        <v>20</v>
      </c>
      <c r="D77" t="s">
        <v>13</v>
      </c>
      <c r="E77" t="s">
        <v>21</v>
      </c>
      <c r="F77" t="s">
        <v>221</v>
      </c>
      <c r="G77" t="s">
        <v>222</v>
      </c>
      <c r="H77">
        <v>4</v>
      </c>
      <c r="I77" s="1">
        <v>8737.73</v>
      </c>
      <c r="J77" t="s">
        <v>17</v>
      </c>
      <c r="K77" t="s">
        <v>223</v>
      </c>
      <c r="L77" t="str" cm="1">
        <f t="array" ref="L77">_xlfn.IFS(B77&lt;30,"18-29",B77&lt;45,"30-44",B77&lt;60,"45-59",B77&lt;75,"60-74",B77&lt;=90,"75-90")</f>
        <v>18-29</v>
      </c>
      <c r="M77" t="str">
        <f>IF(Table1[[#This Row],[length_of_stay_days]]&gt;7,"Yes","No")</f>
        <v>No</v>
      </c>
    </row>
    <row r="78" spans="1:13" x14ac:dyDescent="0.3">
      <c r="A78" t="s">
        <v>224</v>
      </c>
      <c r="B78">
        <v>23</v>
      </c>
      <c r="C78" t="s">
        <v>20</v>
      </c>
      <c r="D78" t="s">
        <v>28</v>
      </c>
      <c r="E78" t="s">
        <v>14</v>
      </c>
      <c r="F78" t="s">
        <v>225</v>
      </c>
      <c r="G78" t="s">
        <v>226</v>
      </c>
      <c r="H78">
        <v>5</v>
      </c>
      <c r="I78" s="1">
        <v>4623.8</v>
      </c>
      <c r="J78" t="s">
        <v>17</v>
      </c>
      <c r="K78" t="s">
        <v>18</v>
      </c>
      <c r="L78" t="str" cm="1">
        <f t="array" ref="L78">_xlfn.IFS(B78&lt;30,"18-29",B78&lt;45,"30-44",B78&lt;60,"45-59",B78&lt;75,"60-74",B78&lt;=90,"75-90")</f>
        <v>18-29</v>
      </c>
      <c r="M78" t="str">
        <f>IF(Table1[[#This Row],[length_of_stay_days]]&gt;7,"Yes","No")</f>
        <v>No</v>
      </c>
    </row>
    <row r="79" spans="1:13" x14ac:dyDescent="0.3">
      <c r="A79" t="s">
        <v>227</v>
      </c>
      <c r="B79">
        <v>33</v>
      </c>
      <c r="C79" t="s">
        <v>12</v>
      </c>
      <c r="D79" t="s">
        <v>32</v>
      </c>
      <c r="E79" t="s">
        <v>28</v>
      </c>
      <c r="F79" t="s">
        <v>228</v>
      </c>
      <c r="G79" t="s">
        <v>229</v>
      </c>
      <c r="H79">
        <v>4</v>
      </c>
      <c r="I79" s="1">
        <v>11154.45</v>
      </c>
      <c r="J79" t="s">
        <v>17</v>
      </c>
      <c r="K79" t="s">
        <v>18</v>
      </c>
      <c r="L79" t="str" cm="1">
        <f t="array" ref="L79">_xlfn.IFS(B79&lt;30,"18-29",B79&lt;45,"30-44",B79&lt;60,"45-59",B79&lt;75,"60-74",B79&lt;=90,"75-90")</f>
        <v>30-44</v>
      </c>
      <c r="M79" t="str">
        <f>IF(Table1[[#This Row],[length_of_stay_days]]&gt;7,"Yes","No")</f>
        <v>No</v>
      </c>
    </row>
    <row r="80" spans="1:13" x14ac:dyDescent="0.3">
      <c r="A80" t="s">
        <v>230</v>
      </c>
      <c r="B80">
        <v>46</v>
      </c>
      <c r="C80" t="s">
        <v>12</v>
      </c>
      <c r="D80" t="s">
        <v>46</v>
      </c>
      <c r="E80" t="s">
        <v>28</v>
      </c>
      <c r="F80" t="s">
        <v>231</v>
      </c>
      <c r="G80" t="s">
        <v>232</v>
      </c>
      <c r="H80">
        <v>9</v>
      </c>
      <c r="I80" s="1">
        <v>13914.45</v>
      </c>
      <c r="J80" t="s">
        <v>17</v>
      </c>
      <c r="K80" t="s">
        <v>18</v>
      </c>
      <c r="L80" t="str" cm="1">
        <f t="array" ref="L80">_xlfn.IFS(B80&lt;30,"18-29",B80&lt;45,"30-44",B80&lt;60,"45-59",B80&lt;75,"60-74",B80&lt;=90,"75-90")</f>
        <v>45-59</v>
      </c>
      <c r="M80" t="str">
        <f>IF(Table1[[#This Row],[length_of_stay_days]]&gt;7,"Yes","No")</f>
        <v>Yes</v>
      </c>
    </row>
    <row r="81" spans="1:13" x14ac:dyDescent="0.3">
      <c r="A81" t="s">
        <v>233</v>
      </c>
      <c r="B81">
        <v>65</v>
      </c>
      <c r="C81" t="s">
        <v>20</v>
      </c>
      <c r="D81" t="s">
        <v>32</v>
      </c>
      <c r="E81" t="s">
        <v>28</v>
      </c>
      <c r="F81" t="s">
        <v>234</v>
      </c>
      <c r="G81" t="s">
        <v>235</v>
      </c>
      <c r="H81">
        <v>5</v>
      </c>
      <c r="I81" s="1">
        <v>10009.16</v>
      </c>
      <c r="J81" t="s">
        <v>49</v>
      </c>
      <c r="K81" t="s">
        <v>18</v>
      </c>
      <c r="L81" t="str" cm="1">
        <f t="array" ref="L81">_xlfn.IFS(B81&lt;30,"18-29",B81&lt;45,"30-44",B81&lt;60,"45-59",B81&lt;75,"60-74",B81&lt;=90,"75-90")</f>
        <v>60-74</v>
      </c>
      <c r="M81" t="str">
        <f>IF(Table1[[#This Row],[length_of_stay_days]]&gt;7,"Yes","No")</f>
        <v>No</v>
      </c>
    </row>
    <row r="82" spans="1:13" x14ac:dyDescent="0.3">
      <c r="A82" t="s">
        <v>236</v>
      </c>
      <c r="B82">
        <v>36</v>
      </c>
      <c r="C82" t="s">
        <v>20</v>
      </c>
      <c r="D82" t="s">
        <v>51</v>
      </c>
      <c r="E82" t="s">
        <v>14</v>
      </c>
      <c r="F82" t="s">
        <v>119</v>
      </c>
      <c r="G82" t="s">
        <v>15</v>
      </c>
      <c r="H82">
        <v>1</v>
      </c>
      <c r="I82" s="1">
        <v>7298.17</v>
      </c>
      <c r="J82" t="s">
        <v>17</v>
      </c>
      <c r="K82" t="s">
        <v>18</v>
      </c>
      <c r="L82" t="str" cm="1">
        <f t="array" ref="L82">_xlfn.IFS(B82&lt;30,"18-29",B82&lt;45,"30-44",B82&lt;60,"45-59",B82&lt;75,"60-74",B82&lt;=90,"75-90")</f>
        <v>30-44</v>
      </c>
      <c r="M82" t="str">
        <f>IF(Table1[[#This Row],[length_of_stay_days]]&gt;7,"Yes","No")</f>
        <v>No</v>
      </c>
    </row>
    <row r="83" spans="1:13" x14ac:dyDescent="0.3">
      <c r="A83" t="s">
        <v>237</v>
      </c>
      <c r="B83">
        <v>53</v>
      </c>
      <c r="C83" t="s">
        <v>20</v>
      </c>
      <c r="D83" t="s">
        <v>13</v>
      </c>
      <c r="E83" t="s">
        <v>28</v>
      </c>
      <c r="F83" t="s">
        <v>95</v>
      </c>
      <c r="G83" t="s">
        <v>226</v>
      </c>
      <c r="H83">
        <v>4</v>
      </c>
      <c r="I83" s="1">
        <v>7292.25</v>
      </c>
      <c r="J83" t="s">
        <v>17</v>
      </c>
      <c r="K83" t="s">
        <v>18</v>
      </c>
      <c r="L83" t="str" cm="1">
        <f t="array" ref="L83">_xlfn.IFS(B83&lt;30,"18-29",B83&lt;45,"30-44",B83&lt;60,"45-59",B83&lt;75,"60-74",B83&lt;=90,"75-90")</f>
        <v>45-59</v>
      </c>
      <c r="M83" t="str">
        <f>IF(Table1[[#This Row],[length_of_stay_days]]&gt;7,"Yes","No")</f>
        <v>No</v>
      </c>
    </row>
    <row r="84" spans="1:13" x14ac:dyDescent="0.3">
      <c r="A84" t="s">
        <v>238</v>
      </c>
      <c r="B84">
        <v>50</v>
      </c>
      <c r="C84" t="s">
        <v>20</v>
      </c>
      <c r="D84" t="s">
        <v>55</v>
      </c>
      <c r="E84" t="s">
        <v>28</v>
      </c>
      <c r="F84" t="s">
        <v>239</v>
      </c>
      <c r="G84" t="s">
        <v>34</v>
      </c>
      <c r="H84">
        <v>5</v>
      </c>
      <c r="I84" s="1">
        <v>8992.35</v>
      </c>
      <c r="J84" t="s">
        <v>17</v>
      </c>
      <c r="K84" t="s">
        <v>18</v>
      </c>
      <c r="L84" t="str" cm="1">
        <f t="array" ref="L84">_xlfn.IFS(B84&lt;30,"18-29",B84&lt;45,"30-44",B84&lt;60,"45-59",B84&lt;75,"60-74",B84&lt;=90,"75-90")</f>
        <v>45-59</v>
      </c>
      <c r="M84" t="str">
        <f>IF(Table1[[#This Row],[length_of_stay_days]]&gt;7,"Yes","No")</f>
        <v>No</v>
      </c>
    </row>
    <row r="85" spans="1:13" x14ac:dyDescent="0.3">
      <c r="A85" t="s">
        <v>240</v>
      </c>
      <c r="B85">
        <v>86</v>
      </c>
      <c r="C85" t="s">
        <v>20</v>
      </c>
      <c r="D85" t="s">
        <v>32</v>
      </c>
      <c r="E85" t="s">
        <v>14</v>
      </c>
      <c r="F85" t="s">
        <v>241</v>
      </c>
      <c r="G85" t="s">
        <v>68</v>
      </c>
      <c r="H85">
        <v>6</v>
      </c>
      <c r="I85" s="1">
        <v>10027.51</v>
      </c>
      <c r="J85" t="s">
        <v>49</v>
      </c>
      <c r="K85" t="s">
        <v>18</v>
      </c>
      <c r="L85" t="str" cm="1">
        <f t="array" ref="L85">_xlfn.IFS(B85&lt;30,"18-29",B85&lt;45,"30-44",B85&lt;60,"45-59",B85&lt;75,"60-74",B85&lt;=90,"75-90")</f>
        <v>75-90</v>
      </c>
      <c r="M85" t="str">
        <f>IF(Table1[[#This Row],[length_of_stay_days]]&gt;7,"Yes","No")</f>
        <v>No</v>
      </c>
    </row>
    <row r="86" spans="1:13" x14ac:dyDescent="0.3">
      <c r="A86" t="s">
        <v>242</v>
      </c>
      <c r="B86">
        <v>43</v>
      </c>
      <c r="C86" t="s">
        <v>12</v>
      </c>
      <c r="D86" t="s">
        <v>32</v>
      </c>
      <c r="E86" t="s">
        <v>21</v>
      </c>
      <c r="F86" t="s">
        <v>243</v>
      </c>
      <c r="G86" t="s">
        <v>40</v>
      </c>
      <c r="H86">
        <v>5</v>
      </c>
      <c r="I86" s="1">
        <v>11578.71</v>
      </c>
      <c r="J86" t="s">
        <v>17</v>
      </c>
      <c r="K86" t="s">
        <v>18</v>
      </c>
      <c r="L86" t="str" cm="1">
        <f t="array" ref="L86">_xlfn.IFS(B86&lt;30,"18-29",B86&lt;45,"30-44",B86&lt;60,"45-59",B86&lt;75,"60-74",B86&lt;=90,"75-90")</f>
        <v>30-44</v>
      </c>
      <c r="M86" t="str">
        <f>IF(Table1[[#This Row],[length_of_stay_days]]&gt;7,"Yes","No")</f>
        <v>No</v>
      </c>
    </row>
    <row r="87" spans="1:13" x14ac:dyDescent="0.3">
      <c r="A87" t="s">
        <v>244</v>
      </c>
      <c r="B87">
        <v>27</v>
      </c>
      <c r="C87" t="s">
        <v>12</v>
      </c>
      <c r="D87" t="s">
        <v>32</v>
      </c>
      <c r="E87" t="s">
        <v>28</v>
      </c>
      <c r="F87" t="s">
        <v>245</v>
      </c>
      <c r="G87" t="s">
        <v>246</v>
      </c>
      <c r="H87">
        <v>9</v>
      </c>
      <c r="I87" s="1">
        <v>15546.18</v>
      </c>
      <c r="J87" t="s">
        <v>17</v>
      </c>
      <c r="K87" t="s">
        <v>18</v>
      </c>
      <c r="L87" t="str" cm="1">
        <f t="array" ref="L87">_xlfn.IFS(B87&lt;30,"18-29",B87&lt;45,"30-44",B87&lt;60,"45-59",B87&lt;75,"60-74",B87&lt;=90,"75-90")</f>
        <v>18-29</v>
      </c>
      <c r="M87" t="str">
        <f>IF(Table1[[#This Row],[length_of_stay_days]]&gt;7,"Yes","No")</f>
        <v>Yes</v>
      </c>
    </row>
    <row r="88" spans="1:13" x14ac:dyDescent="0.3">
      <c r="A88" t="s">
        <v>247</v>
      </c>
      <c r="B88">
        <v>29</v>
      </c>
      <c r="C88" t="s">
        <v>20</v>
      </c>
      <c r="D88" t="s">
        <v>28</v>
      </c>
      <c r="E88" t="s">
        <v>28</v>
      </c>
      <c r="F88" t="s">
        <v>248</v>
      </c>
      <c r="G88" t="s">
        <v>225</v>
      </c>
      <c r="H88">
        <v>2</v>
      </c>
      <c r="I88" s="1">
        <v>6906</v>
      </c>
      <c r="J88" t="s">
        <v>49</v>
      </c>
      <c r="K88" t="s">
        <v>18</v>
      </c>
      <c r="L88" t="str" cm="1">
        <f t="array" ref="L88">_xlfn.IFS(B88&lt;30,"18-29",B88&lt;45,"30-44",B88&lt;60,"45-59",B88&lt;75,"60-74",B88&lt;=90,"75-90")</f>
        <v>18-29</v>
      </c>
      <c r="M88" t="str">
        <f>IF(Table1[[#This Row],[length_of_stay_days]]&gt;7,"Yes","No")</f>
        <v>No</v>
      </c>
    </row>
    <row r="89" spans="1:13" x14ac:dyDescent="0.3">
      <c r="A89" t="s">
        <v>249</v>
      </c>
      <c r="B89">
        <v>81</v>
      </c>
      <c r="C89" t="s">
        <v>12</v>
      </c>
      <c r="D89" t="s">
        <v>28</v>
      </c>
      <c r="E89" t="s">
        <v>28</v>
      </c>
      <c r="F89" t="s">
        <v>250</v>
      </c>
      <c r="G89" t="s">
        <v>98</v>
      </c>
      <c r="H89">
        <v>7</v>
      </c>
      <c r="I89" s="1">
        <v>7062.54</v>
      </c>
      <c r="J89" t="s">
        <v>17</v>
      </c>
      <c r="K89" t="s">
        <v>18</v>
      </c>
      <c r="L89" t="str" cm="1">
        <f t="array" ref="L89">_xlfn.IFS(B89&lt;30,"18-29",B89&lt;45,"30-44",B89&lt;60,"45-59",B89&lt;75,"60-74",B89&lt;=90,"75-90")</f>
        <v>75-90</v>
      </c>
      <c r="M89" t="str">
        <f>IF(Table1[[#This Row],[length_of_stay_days]]&gt;7,"Yes","No")</f>
        <v>No</v>
      </c>
    </row>
    <row r="90" spans="1:13" x14ac:dyDescent="0.3">
      <c r="A90" t="s">
        <v>251</v>
      </c>
      <c r="B90">
        <v>38</v>
      </c>
      <c r="C90" t="s">
        <v>12</v>
      </c>
      <c r="D90" t="s">
        <v>32</v>
      </c>
      <c r="E90" t="s">
        <v>14</v>
      </c>
      <c r="F90" t="s">
        <v>252</v>
      </c>
      <c r="G90" t="s">
        <v>99</v>
      </c>
      <c r="H90">
        <v>3</v>
      </c>
      <c r="I90" s="1">
        <v>6628.26</v>
      </c>
      <c r="J90" t="s">
        <v>49</v>
      </c>
      <c r="K90" t="s">
        <v>18</v>
      </c>
      <c r="L90" t="str" cm="1">
        <f t="array" ref="L90">_xlfn.IFS(B90&lt;30,"18-29",B90&lt;45,"30-44",B90&lt;60,"45-59",B90&lt;75,"60-74",B90&lt;=90,"75-90")</f>
        <v>30-44</v>
      </c>
      <c r="M90" t="str">
        <f>IF(Table1[[#This Row],[length_of_stay_days]]&gt;7,"Yes","No")</f>
        <v>No</v>
      </c>
    </row>
    <row r="91" spans="1:13" x14ac:dyDescent="0.3">
      <c r="A91" t="s">
        <v>253</v>
      </c>
      <c r="B91">
        <v>58</v>
      </c>
      <c r="C91" t="s">
        <v>12</v>
      </c>
      <c r="D91" t="s">
        <v>13</v>
      </c>
      <c r="E91" t="s">
        <v>14</v>
      </c>
      <c r="F91" t="s">
        <v>207</v>
      </c>
      <c r="G91" t="s">
        <v>221</v>
      </c>
      <c r="H91">
        <v>2</v>
      </c>
      <c r="I91" s="1">
        <v>4737.21</v>
      </c>
      <c r="J91" t="s">
        <v>17</v>
      </c>
      <c r="K91" t="s">
        <v>18</v>
      </c>
      <c r="L91" t="str" cm="1">
        <f t="array" ref="L91">_xlfn.IFS(B91&lt;30,"18-29",B91&lt;45,"30-44",B91&lt;60,"45-59",B91&lt;75,"60-74",B91&lt;=90,"75-90")</f>
        <v>45-59</v>
      </c>
      <c r="M91" t="str">
        <f>IF(Table1[[#This Row],[length_of_stay_days]]&gt;7,"Yes","No")</f>
        <v>No</v>
      </c>
    </row>
    <row r="92" spans="1:13" x14ac:dyDescent="0.3">
      <c r="A92" t="s">
        <v>254</v>
      </c>
      <c r="B92">
        <v>33</v>
      </c>
      <c r="C92" t="s">
        <v>20</v>
      </c>
      <c r="D92" t="s">
        <v>32</v>
      </c>
      <c r="E92" t="s">
        <v>21</v>
      </c>
      <c r="F92" t="s">
        <v>255</v>
      </c>
      <c r="G92" t="s">
        <v>256</v>
      </c>
      <c r="H92">
        <v>7</v>
      </c>
      <c r="I92" s="1">
        <v>11274.22</v>
      </c>
      <c r="J92" t="s">
        <v>17</v>
      </c>
      <c r="K92" t="s">
        <v>18</v>
      </c>
      <c r="L92" t="str" cm="1">
        <f t="array" ref="L92">_xlfn.IFS(B92&lt;30,"18-29",B92&lt;45,"30-44",B92&lt;60,"45-59",B92&lt;75,"60-74",B92&lt;=90,"75-90")</f>
        <v>30-44</v>
      </c>
      <c r="M92" t="str">
        <f>IF(Table1[[#This Row],[length_of_stay_days]]&gt;7,"Yes","No")</f>
        <v>No</v>
      </c>
    </row>
    <row r="93" spans="1:13" x14ac:dyDescent="0.3">
      <c r="A93" t="s">
        <v>257</v>
      </c>
      <c r="B93">
        <v>54</v>
      </c>
      <c r="C93" t="s">
        <v>12</v>
      </c>
      <c r="D93" t="s">
        <v>28</v>
      </c>
      <c r="E93" t="s">
        <v>21</v>
      </c>
      <c r="F93" t="s">
        <v>258</v>
      </c>
      <c r="G93" t="s">
        <v>259</v>
      </c>
      <c r="H93">
        <v>4</v>
      </c>
      <c r="I93" s="1">
        <v>5539.76</v>
      </c>
      <c r="J93" t="s">
        <v>17</v>
      </c>
      <c r="K93" t="s">
        <v>18</v>
      </c>
      <c r="L93" t="str" cm="1">
        <f t="array" ref="L93">_xlfn.IFS(B93&lt;30,"18-29",B93&lt;45,"30-44",B93&lt;60,"45-59",B93&lt;75,"60-74",B93&lt;=90,"75-90")</f>
        <v>45-59</v>
      </c>
      <c r="M93" t="str">
        <f>IF(Table1[[#This Row],[length_of_stay_days]]&gt;7,"Yes","No")</f>
        <v>No</v>
      </c>
    </row>
    <row r="94" spans="1:13" x14ac:dyDescent="0.3">
      <c r="A94" t="s">
        <v>260</v>
      </c>
      <c r="B94">
        <v>34</v>
      </c>
      <c r="C94" t="s">
        <v>12</v>
      </c>
      <c r="D94" t="s">
        <v>55</v>
      </c>
      <c r="E94" t="s">
        <v>14</v>
      </c>
      <c r="F94" t="s">
        <v>111</v>
      </c>
      <c r="G94" t="s">
        <v>261</v>
      </c>
      <c r="H94">
        <v>5</v>
      </c>
      <c r="I94" s="1">
        <v>9717.3799999999992</v>
      </c>
      <c r="J94" t="s">
        <v>17</v>
      </c>
      <c r="K94" t="s">
        <v>18</v>
      </c>
      <c r="L94" t="str" cm="1">
        <f t="array" ref="L94">_xlfn.IFS(B94&lt;30,"18-29",B94&lt;45,"30-44",B94&lt;60,"45-59",B94&lt;75,"60-74",B94&lt;=90,"75-90")</f>
        <v>30-44</v>
      </c>
      <c r="M94" t="str">
        <f>IF(Table1[[#This Row],[length_of_stay_days]]&gt;7,"Yes","No")</f>
        <v>No</v>
      </c>
    </row>
    <row r="95" spans="1:13" x14ac:dyDescent="0.3">
      <c r="A95" t="s">
        <v>262</v>
      </c>
      <c r="B95">
        <v>20</v>
      </c>
      <c r="C95" t="s">
        <v>20</v>
      </c>
      <c r="D95" t="s">
        <v>51</v>
      </c>
      <c r="E95" t="s">
        <v>14</v>
      </c>
      <c r="F95" t="s">
        <v>263</v>
      </c>
      <c r="G95" t="s">
        <v>264</v>
      </c>
      <c r="H95">
        <v>2</v>
      </c>
      <c r="I95" s="1">
        <v>8611.34</v>
      </c>
      <c r="J95" t="s">
        <v>49</v>
      </c>
      <c r="K95" t="s">
        <v>44</v>
      </c>
      <c r="L95" t="str" cm="1">
        <f t="array" ref="L95">_xlfn.IFS(B95&lt;30,"18-29",B95&lt;45,"30-44",B95&lt;60,"45-59",B95&lt;75,"60-74",B95&lt;=90,"75-90")</f>
        <v>18-29</v>
      </c>
      <c r="M95" t="str">
        <f>IF(Table1[[#This Row],[length_of_stay_days]]&gt;7,"Yes","No")</f>
        <v>No</v>
      </c>
    </row>
    <row r="96" spans="1:13" x14ac:dyDescent="0.3">
      <c r="A96" t="s">
        <v>265</v>
      </c>
      <c r="B96">
        <v>26</v>
      </c>
      <c r="C96" t="s">
        <v>20</v>
      </c>
      <c r="D96" t="s">
        <v>32</v>
      </c>
      <c r="E96" t="s">
        <v>14</v>
      </c>
      <c r="F96" t="s">
        <v>109</v>
      </c>
      <c r="G96" t="s">
        <v>266</v>
      </c>
      <c r="H96">
        <v>3</v>
      </c>
      <c r="I96" s="1">
        <v>8939.86</v>
      </c>
      <c r="J96" t="s">
        <v>17</v>
      </c>
      <c r="K96" t="s">
        <v>18</v>
      </c>
      <c r="L96" t="str" cm="1">
        <f t="array" ref="L96">_xlfn.IFS(B96&lt;30,"18-29",B96&lt;45,"30-44",B96&lt;60,"45-59",B96&lt;75,"60-74",B96&lt;=90,"75-90")</f>
        <v>18-29</v>
      </c>
      <c r="M96" t="str">
        <f>IF(Table1[[#This Row],[length_of_stay_days]]&gt;7,"Yes","No")</f>
        <v>No</v>
      </c>
    </row>
    <row r="97" spans="1:13" x14ac:dyDescent="0.3">
      <c r="A97" t="s">
        <v>267</v>
      </c>
      <c r="B97">
        <v>25</v>
      </c>
      <c r="C97" t="s">
        <v>12</v>
      </c>
      <c r="D97" t="s">
        <v>28</v>
      </c>
      <c r="E97" t="s">
        <v>28</v>
      </c>
      <c r="F97" t="s">
        <v>47</v>
      </c>
      <c r="G97" t="s">
        <v>268</v>
      </c>
      <c r="H97">
        <v>4</v>
      </c>
      <c r="I97" s="1">
        <v>4961.3</v>
      </c>
      <c r="J97" t="s">
        <v>17</v>
      </c>
      <c r="K97" t="s">
        <v>18</v>
      </c>
      <c r="L97" t="str" cm="1">
        <f t="array" ref="L97">_xlfn.IFS(B97&lt;30,"18-29",B97&lt;45,"30-44",B97&lt;60,"45-59",B97&lt;75,"60-74",B97&lt;=90,"75-90")</f>
        <v>18-29</v>
      </c>
      <c r="M97" t="str">
        <f>IF(Table1[[#This Row],[length_of_stay_days]]&gt;7,"Yes","No")</f>
        <v>No</v>
      </c>
    </row>
    <row r="98" spans="1:13" x14ac:dyDescent="0.3">
      <c r="A98" t="s">
        <v>269</v>
      </c>
      <c r="B98">
        <v>36</v>
      </c>
      <c r="C98" t="s">
        <v>20</v>
      </c>
      <c r="D98" t="s">
        <v>55</v>
      </c>
      <c r="E98" t="s">
        <v>21</v>
      </c>
      <c r="F98" t="s">
        <v>270</v>
      </c>
      <c r="G98" t="s">
        <v>271</v>
      </c>
      <c r="H98">
        <v>2</v>
      </c>
      <c r="I98" s="1">
        <v>5665.38</v>
      </c>
      <c r="J98" t="s">
        <v>17</v>
      </c>
      <c r="K98" t="s">
        <v>18</v>
      </c>
      <c r="L98" t="str" cm="1">
        <f t="array" ref="L98">_xlfn.IFS(B98&lt;30,"18-29",B98&lt;45,"30-44",B98&lt;60,"45-59",B98&lt;75,"60-74",B98&lt;=90,"75-90")</f>
        <v>30-44</v>
      </c>
      <c r="M98" t="str">
        <f>IF(Table1[[#This Row],[length_of_stay_days]]&gt;7,"Yes","No")</f>
        <v>No</v>
      </c>
    </row>
    <row r="99" spans="1:13" x14ac:dyDescent="0.3">
      <c r="A99" t="s">
        <v>272</v>
      </c>
      <c r="B99">
        <v>53</v>
      </c>
      <c r="C99" t="s">
        <v>12</v>
      </c>
      <c r="D99" t="s">
        <v>32</v>
      </c>
      <c r="E99" t="s">
        <v>28</v>
      </c>
      <c r="F99" t="s">
        <v>135</v>
      </c>
      <c r="G99" t="s">
        <v>273</v>
      </c>
      <c r="H99">
        <v>6</v>
      </c>
      <c r="I99" s="1">
        <v>11364.41</v>
      </c>
      <c r="J99" t="s">
        <v>17</v>
      </c>
      <c r="K99" t="s">
        <v>18</v>
      </c>
      <c r="L99" t="str" cm="1">
        <f t="array" ref="L99">_xlfn.IFS(B99&lt;30,"18-29",B99&lt;45,"30-44",B99&lt;60,"45-59",B99&lt;75,"60-74",B99&lt;=90,"75-90")</f>
        <v>45-59</v>
      </c>
      <c r="M99" t="str">
        <f>IF(Table1[[#This Row],[length_of_stay_days]]&gt;7,"Yes","No")</f>
        <v>No</v>
      </c>
    </row>
    <row r="100" spans="1:13" x14ac:dyDescent="0.3">
      <c r="A100" t="s">
        <v>274</v>
      </c>
      <c r="B100">
        <v>47</v>
      </c>
      <c r="C100" t="s">
        <v>20</v>
      </c>
      <c r="D100" t="s">
        <v>13</v>
      </c>
      <c r="E100" t="s">
        <v>28</v>
      </c>
      <c r="F100" t="s">
        <v>275</v>
      </c>
      <c r="G100" t="s">
        <v>276</v>
      </c>
      <c r="H100">
        <v>7</v>
      </c>
      <c r="I100" s="1">
        <v>10420.24</v>
      </c>
      <c r="J100" t="s">
        <v>17</v>
      </c>
      <c r="K100" t="s">
        <v>18</v>
      </c>
      <c r="L100" t="str" cm="1">
        <f t="array" ref="L100">_xlfn.IFS(B100&lt;30,"18-29",B100&lt;45,"30-44",B100&lt;60,"45-59",B100&lt;75,"60-74",B100&lt;=90,"75-90")</f>
        <v>45-59</v>
      </c>
      <c r="M100" t="str">
        <f>IF(Table1[[#This Row],[length_of_stay_days]]&gt;7,"Yes","No")</f>
        <v>No</v>
      </c>
    </row>
    <row r="101" spans="1:13" x14ac:dyDescent="0.3">
      <c r="A101" t="s">
        <v>277</v>
      </c>
      <c r="B101">
        <v>41</v>
      </c>
      <c r="C101" t="s">
        <v>20</v>
      </c>
      <c r="D101" t="s">
        <v>32</v>
      </c>
      <c r="E101" t="s">
        <v>28</v>
      </c>
      <c r="F101" t="s">
        <v>58</v>
      </c>
      <c r="G101" t="s">
        <v>59</v>
      </c>
      <c r="H101">
        <v>5</v>
      </c>
      <c r="I101" s="1">
        <v>12525.38</v>
      </c>
      <c r="J101" t="s">
        <v>17</v>
      </c>
      <c r="K101" t="s">
        <v>18</v>
      </c>
      <c r="L101" t="str" cm="1">
        <f t="array" ref="L101">_xlfn.IFS(B101&lt;30,"18-29",B101&lt;45,"30-44",B101&lt;60,"45-59",B101&lt;75,"60-74",B101&lt;=90,"75-90")</f>
        <v>30-44</v>
      </c>
      <c r="M101" t="str">
        <f>IF(Table1[[#This Row],[length_of_stay_days]]&gt;7,"Yes","No")</f>
        <v>No</v>
      </c>
    </row>
    <row r="102" spans="1:13" x14ac:dyDescent="0.3">
      <c r="A102" t="s">
        <v>278</v>
      </c>
      <c r="B102">
        <v>66</v>
      </c>
      <c r="C102" t="s">
        <v>20</v>
      </c>
      <c r="D102" t="s">
        <v>55</v>
      </c>
      <c r="E102" t="s">
        <v>14</v>
      </c>
      <c r="F102" t="s">
        <v>141</v>
      </c>
      <c r="G102" t="s">
        <v>190</v>
      </c>
      <c r="H102">
        <v>1</v>
      </c>
      <c r="I102" s="1">
        <v>4658.97</v>
      </c>
      <c r="J102" t="s">
        <v>17</v>
      </c>
      <c r="K102" t="s">
        <v>18</v>
      </c>
      <c r="L102" t="str" cm="1">
        <f t="array" ref="L102">_xlfn.IFS(B102&lt;30,"18-29",B102&lt;45,"30-44",B102&lt;60,"45-59",B102&lt;75,"60-74",B102&lt;=90,"75-90")</f>
        <v>60-74</v>
      </c>
      <c r="M102" t="str">
        <f>IF(Table1[[#This Row],[length_of_stay_days]]&gt;7,"Yes","No")</f>
        <v>No</v>
      </c>
    </row>
    <row r="103" spans="1:13" x14ac:dyDescent="0.3">
      <c r="A103" t="s">
        <v>279</v>
      </c>
      <c r="B103">
        <v>22</v>
      </c>
      <c r="C103" t="s">
        <v>20</v>
      </c>
      <c r="D103" t="s">
        <v>51</v>
      </c>
      <c r="E103" t="s">
        <v>28</v>
      </c>
      <c r="F103" t="s">
        <v>280</v>
      </c>
      <c r="G103" t="s">
        <v>275</v>
      </c>
      <c r="H103">
        <v>4</v>
      </c>
      <c r="I103" s="1">
        <v>10838.92</v>
      </c>
      <c r="J103" t="s">
        <v>17</v>
      </c>
      <c r="K103" t="s">
        <v>18</v>
      </c>
      <c r="L103" t="str" cm="1">
        <f t="array" ref="L103">_xlfn.IFS(B103&lt;30,"18-29",B103&lt;45,"30-44",B103&lt;60,"45-59",B103&lt;75,"60-74",B103&lt;=90,"75-90")</f>
        <v>18-29</v>
      </c>
      <c r="M103" t="str">
        <f>IF(Table1[[#This Row],[length_of_stay_days]]&gt;7,"Yes","No")</f>
        <v>No</v>
      </c>
    </row>
    <row r="104" spans="1:13" x14ac:dyDescent="0.3">
      <c r="A104" t="s">
        <v>281</v>
      </c>
      <c r="B104">
        <v>35</v>
      </c>
      <c r="C104" t="s">
        <v>12</v>
      </c>
      <c r="D104" t="s">
        <v>28</v>
      </c>
      <c r="E104" t="s">
        <v>28</v>
      </c>
      <c r="F104" t="s">
        <v>282</v>
      </c>
      <c r="G104" t="s">
        <v>283</v>
      </c>
      <c r="H104">
        <v>4</v>
      </c>
      <c r="I104" s="1">
        <v>5492</v>
      </c>
      <c r="J104" t="s">
        <v>17</v>
      </c>
      <c r="K104" t="s">
        <v>18</v>
      </c>
      <c r="L104" t="str" cm="1">
        <f t="array" ref="L104">_xlfn.IFS(B104&lt;30,"18-29",B104&lt;45,"30-44",B104&lt;60,"45-59",B104&lt;75,"60-74",B104&lt;=90,"75-90")</f>
        <v>30-44</v>
      </c>
      <c r="M104" t="str">
        <f>IF(Table1[[#This Row],[length_of_stay_days]]&gt;7,"Yes","No")</f>
        <v>No</v>
      </c>
    </row>
    <row r="105" spans="1:13" x14ac:dyDescent="0.3">
      <c r="A105" t="s">
        <v>284</v>
      </c>
      <c r="B105">
        <v>50</v>
      </c>
      <c r="C105" t="s">
        <v>20</v>
      </c>
      <c r="D105" t="s">
        <v>55</v>
      </c>
      <c r="E105" t="s">
        <v>14</v>
      </c>
      <c r="F105" t="s">
        <v>285</v>
      </c>
      <c r="G105" t="s">
        <v>286</v>
      </c>
      <c r="H105">
        <v>2</v>
      </c>
      <c r="I105" s="1">
        <v>8115.53</v>
      </c>
      <c r="J105" t="s">
        <v>17</v>
      </c>
      <c r="K105" t="s">
        <v>18</v>
      </c>
      <c r="L105" t="str" cm="1">
        <f t="array" ref="L105">_xlfn.IFS(B105&lt;30,"18-29",B105&lt;45,"30-44",B105&lt;60,"45-59",B105&lt;75,"60-74",B105&lt;=90,"75-90")</f>
        <v>45-59</v>
      </c>
      <c r="M105" t="str">
        <f>IF(Table1[[#This Row],[length_of_stay_days]]&gt;7,"Yes","No")</f>
        <v>No</v>
      </c>
    </row>
    <row r="106" spans="1:13" x14ac:dyDescent="0.3">
      <c r="A106" t="s">
        <v>287</v>
      </c>
      <c r="B106">
        <v>42</v>
      </c>
      <c r="C106" t="s">
        <v>20</v>
      </c>
      <c r="D106" t="s">
        <v>28</v>
      </c>
      <c r="E106" t="s">
        <v>14</v>
      </c>
      <c r="F106" t="s">
        <v>288</v>
      </c>
      <c r="G106" t="s">
        <v>124</v>
      </c>
      <c r="H106">
        <v>5</v>
      </c>
      <c r="I106" s="1">
        <v>6261.71</v>
      </c>
      <c r="J106" t="s">
        <v>49</v>
      </c>
      <c r="K106" t="s">
        <v>18</v>
      </c>
      <c r="L106" t="str" cm="1">
        <f t="array" ref="L106">_xlfn.IFS(B106&lt;30,"18-29",B106&lt;45,"30-44",B106&lt;60,"45-59",B106&lt;75,"60-74",B106&lt;=90,"75-90")</f>
        <v>30-44</v>
      </c>
      <c r="M106" t="str">
        <f>IF(Table1[[#This Row],[length_of_stay_days]]&gt;7,"Yes","No")</f>
        <v>No</v>
      </c>
    </row>
    <row r="107" spans="1:13" x14ac:dyDescent="0.3">
      <c r="A107" t="s">
        <v>289</v>
      </c>
      <c r="B107">
        <v>65</v>
      </c>
      <c r="C107" t="s">
        <v>20</v>
      </c>
      <c r="D107" t="s">
        <v>46</v>
      </c>
      <c r="E107" t="s">
        <v>14</v>
      </c>
      <c r="F107" t="s">
        <v>166</v>
      </c>
      <c r="G107" t="s">
        <v>290</v>
      </c>
      <c r="H107">
        <v>4</v>
      </c>
      <c r="I107" s="1">
        <v>13468.29</v>
      </c>
      <c r="J107" t="s">
        <v>17</v>
      </c>
      <c r="K107" t="s">
        <v>44</v>
      </c>
      <c r="L107" t="str" cm="1">
        <f t="array" ref="L107">_xlfn.IFS(B107&lt;30,"18-29",B107&lt;45,"30-44",B107&lt;60,"45-59",B107&lt;75,"60-74",B107&lt;=90,"75-90")</f>
        <v>60-74</v>
      </c>
      <c r="M107" t="str">
        <f>IF(Table1[[#This Row],[length_of_stay_days]]&gt;7,"Yes","No")</f>
        <v>No</v>
      </c>
    </row>
    <row r="108" spans="1:13" x14ac:dyDescent="0.3">
      <c r="A108" t="s">
        <v>291</v>
      </c>
      <c r="B108">
        <v>18</v>
      </c>
      <c r="C108" t="s">
        <v>20</v>
      </c>
      <c r="D108" t="s">
        <v>32</v>
      </c>
      <c r="E108" t="s">
        <v>28</v>
      </c>
      <c r="F108" t="s">
        <v>292</v>
      </c>
      <c r="G108" t="s">
        <v>293</v>
      </c>
      <c r="H108">
        <v>6</v>
      </c>
      <c r="I108" s="1">
        <v>10818.4</v>
      </c>
      <c r="J108" t="s">
        <v>17</v>
      </c>
      <c r="K108" t="s">
        <v>18</v>
      </c>
      <c r="L108" t="str" cm="1">
        <f t="array" ref="L108">_xlfn.IFS(B108&lt;30,"18-29",B108&lt;45,"30-44",B108&lt;60,"45-59",B108&lt;75,"60-74",B108&lt;=90,"75-90")</f>
        <v>18-29</v>
      </c>
      <c r="M108" t="str">
        <f>IF(Table1[[#This Row],[length_of_stay_days]]&gt;7,"Yes","No")</f>
        <v>No</v>
      </c>
    </row>
    <row r="109" spans="1:13" x14ac:dyDescent="0.3">
      <c r="A109" t="s">
        <v>294</v>
      </c>
      <c r="B109">
        <v>27</v>
      </c>
      <c r="C109" t="s">
        <v>12</v>
      </c>
      <c r="D109" t="s">
        <v>13</v>
      </c>
      <c r="E109" t="s">
        <v>28</v>
      </c>
      <c r="F109" t="s">
        <v>295</v>
      </c>
      <c r="G109" t="s">
        <v>296</v>
      </c>
      <c r="H109">
        <v>5</v>
      </c>
      <c r="I109" s="1">
        <v>5425.47</v>
      </c>
      <c r="J109" t="s">
        <v>17</v>
      </c>
      <c r="K109" t="s">
        <v>18</v>
      </c>
      <c r="L109" t="str" cm="1">
        <f t="array" ref="L109">_xlfn.IFS(B109&lt;30,"18-29",B109&lt;45,"30-44",B109&lt;60,"45-59",B109&lt;75,"60-74",B109&lt;=90,"75-90")</f>
        <v>18-29</v>
      </c>
      <c r="M109" t="str">
        <f>IF(Table1[[#This Row],[length_of_stay_days]]&gt;7,"Yes","No")</f>
        <v>No</v>
      </c>
    </row>
    <row r="110" spans="1:13" x14ac:dyDescent="0.3">
      <c r="A110" t="s">
        <v>297</v>
      </c>
      <c r="B110">
        <v>24</v>
      </c>
      <c r="C110" t="s">
        <v>20</v>
      </c>
      <c r="D110" t="s">
        <v>28</v>
      </c>
      <c r="E110" t="s">
        <v>28</v>
      </c>
      <c r="F110" t="s">
        <v>298</v>
      </c>
      <c r="G110" t="s">
        <v>299</v>
      </c>
      <c r="H110">
        <v>8</v>
      </c>
      <c r="I110" s="1">
        <v>9547.14</v>
      </c>
      <c r="J110" t="s">
        <v>17</v>
      </c>
      <c r="K110" t="s">
        <v>18</v>
      </c>
      <c r="L110" t="str" cm="1">
        <f t="array" ref="L110">_xlfn.IFS(B110&lt;30,"18-29",B110&lt;45,"30-44",B110&lt;60,"45-59",B110&lt;75,"60-74",B110&lt;=90,"75-90")</f>
        <v>18-29</v>
      </c>
      <c r="M110" t="str">
        <f>IF(Table1[[#This Row],[length_of_stay_days]]&gt;7,"Yes","No")</f>
        <v>Yes</v>
      </c>
    </row>
    <row r="111" spans="1:13" x14ac:dyDescent="0.3">
      <c r="A111" t="s">
        <v>300</v>
      </c>
      <c r="B111">
        <v>62</v>
      </c>
      <c r="C111" t="s">
        <v>20</v>
      </c>
      <c r="D111" t="s">
        <v>28</v>
      </c>
      <c r="E111" t="s">
        <v>28</v>
      </c>
      <c r="F111" t="s">
        <v>295</v>
      </c>
      <c r="G111" t="s">
        <v>301</v>
      </c>
      <c r="H111">
        <v>3</v>
      </c>
      <c r="I111" s="1">
        <v>3796.78</v>
      </c>
      <c r="J111" t="s">
        <v>17</v>
      </c>
      <c r="K111" t="s">
        <v>18</v>
      </c>
      <c r="L111" t="str" cm="1">
        <f t="array" ref="L111">_xlfn.IFS(B111&lt;30,"18-29",B111&lt;45,"30-44",B111&lt;60,"45-59",B111&lt;75,"60-74",B111&lt;=90,"75-90")</f>
        <v>60-74</v>
      </c>
      <c r="M111" t="str">
        <f>IF(Table1[[#This Row],[length_of_stay_days]]&gt;7,"Yes","No")</f>
        <v>No</v>
      </c>
    </row>
    <row r="112" spans="1:13" x14ac:dyDescent="0.3">
      <c r="A112" t="s">
        <v>302</v>
      </c>
      <c r="B112">
        <v>23</v>
      </c>
      <c r="C112" t="s">
        <v>20</v>
      </c>
      <c r="D112" t="s">
        <v>13</v>
      </c>
      <c r="E112" t="s">
        <v>14</v>
      </c>
      <c r="F112" t="s">
        <v>248</v>
      </c>
      <c r="G112" t="s">
        <v>225</v>
      </c>
      <c r="H112">
        <v>2</v>
      </c>
      <c r="I112" s="1">
        <v>4739.03</v>
      </c>
      <c r="J112" t="s">
        <v>17</v>
      </c>
      <c r="K112" t="s">
        <v>18</v>
      </c>
      <c r="L112" t="str" cm="1">
        <f t="array" ref="L112">_xlfn.IFS(B112&lt;30,"18-29",B112&lt;45,"30-44",B112&lt;60,"45-59",B112&lt;75,"60-74",B112&lt;=90,"75-90")</f>
        <v>18-29</v>
      </c>
      <c r="M112" t="str">
        <f>IF(Table1[[#This Row],[length_of_stay_days]]&gt;7,"Yes","No")</f>
        <v>No</v>
      </c>
    </row>
    <row r="113" spans="1:13" x14ac:dyDescent="0.3">
      <c r="A113" t="s">
        <v>303</v>
      </c>
      <c r="B113">
        <v>71</v>
      </c>
      <c r="C113" t="s">
        <v>20</v>
      </c>
      <c r="D113" t="s">
        <v>46</v>
      </c>
      <c r="E113" t="s">
        <v>14</v>
      </c>
      <c r="F113" t="s">
        <v>72</v>
      </c>
      <c r="G113" t="s">
        <v>304</v>
      </c>
      <c r="H113">
        <v>4</v>
      </c>
      <c r="I113" s="1">
        <v>13313.32</v>
      </c>
      <c r="J113" t="s">
        <v>17</v>
      </c>
      <c r="K113" t="s">
        <v>18</v>
      </c>
      <c r="L113" t="str" cm="1">
        <f t="array" ref="L113">_xlfn.IFS(B113&lt;30,"18-29",B113&lt;45,"30-44",B113&lt;60,"45-59",B113&lt;75,"60-74",B113&lt;=90,"75-90")</f>
        <v>60-74</v>
      </c>
      <c r="M113" t="str">
        <f>IF(Table1[[#This Row],[length_of_stay_days]]&gt;7,"Yes","No")</f>
        <v>No</v>
      </c>
    </row>
    <row r="114" spans="1:13" x14ac:dyDescent="0.3">
      <c r="A114" t="s">
        <v>305</v>
      </c>
      <c r="B114">
        <v>36</v>
      </c>
      <c r="C114" t="s">
        <v>12</v>
      </c>
      <c r="D114" t="s">
        <v>51</v>
      </c>
      <c r="E114" t="s">
        <v>14</v>
      </c>
      <c r="F114" t="s">
        <v>212</v>
      </c>
      <c r="G114" t="s">
        <v>306</v>
      </c>
      <c r="H114">
        <v>5</v>
      </c>
      <c r="I114" s="1">
        <v>11361.79</v>
      </c>
      <c r="J114" t="s">
        <v>17</v>
      </c>
      <c r="K114" t="s">
        <v>18</v>
      </c>
      <c r="L114" t="str" cm="1">
        <f t="array" ref="L114">_xlfn.IFS(B114&lt;30,"18-29",B114&lt;45,"30-44",B114&lt;60,"45-59",B114&lt;75,"60-74",B114&lt;=90,"75-90")</f>
        <v>30-44</v>
      </c>
      <c r="M114" t="str">
        <f>IF(Table1[[#This Row],[length_of_stay_days]]&gt;7,"Yes","No")</f>
        <v>No</v>
      </c>
    </row>
    <row r="115" spans="1:13" x14ac:dyDescent="0.3">
      <c r="A115" t="s">
        <v>307</v>
      </c>
      <c r="B115">
        <v>30</v>
      </c>
      <c r="C115" t="s">
        <v>20</v>
      </c>
      <c r="D115" t="s">
        <v>28</v>
      </c>
      <c r="E115" t="s">
        <v>14</v>
      </c>
      <c r="F115" t="s">
        <v>308</v>
      </c>
      <c r="G115" t="s">
        <v>309</v>
      </c>
      <c r="H115">
        <v>4</v>
      </c>
      <c r="I115" s="1">
        <v>3506.35</v>
      </c>
      <c r="J115" t="s">
        <v>17</v>
      </c>
      <c r="K115" t="s">
        <v>18</v>
      </c>
      <c r="L115" t="str" cm="1">
        <f t="array" ref="L115">_xlfn.IFS(B115&lt;30,"18-29",B115&lt;45,"30-44",B115&lt;60,"45-59",B115&lt;75,"60-74",B115&lt;=90,"75-90")</f>
        <v>30-44</v>
      </c>
      <c r="M115" t="str">
        <f>IF(Table1[[#This Row],[length_of_stay_days]]&gt;7,"Yes","No")</f>
        <v>No</v>
      </c>
    </row>
    <row r="116" spans="1:13" x14ac:dyDescent="0.3">
      <c r="A116" t="s">
        <v>310</v>
      </c>
      <c r="B116">
        <v>21</v>
      </c>
      <c r="C116" t="s">
        <v>20</v>
      </c>
      <c r="D116" t="s">
        <v>55</v>
      </c>
      <c r="E116" t="s">
        <v>28</v>
      </c>
      <c r="F116" t="s">
        <v>311</v>
      </c>
      <c r="G116" t="s">
        <v>312</v>
      </c>
      <c r="H116">
        <v>5</v>
      </c>
      <c r="I116" s="1">
        <v>11267.53</v>
      </c>
      <c r="J116" t="s">
        <v>17</v>
      </c>
      <c r="K116" t="s">
        <v>18</v>
      </c>
      <c r="L116" t="str" cm="1">
        <f t="array" ref="L116">_xlfn.IFS(B116&lt;30,"18-29",B116&lt;45,"30-44",B116&lt;60,"45-59",B116&lt;75,"60-74",B116&lt;=90,"75-90")</f>
        <v>18-29</v>
      </c>
      <c r="M116" t="str">
        <f>IF(Table1[[#This Row],[length_of_stay_days]]&gt;7,"Yes","No")</f>
        <v>No</v>
      </c>
    </row>
    <row r="117" spans="1:13" x14ac:dyDescent="0.3">
      <c r="A117" t="s">
        <v>313</v>
      </c>
      <c r="B117">
        <v>88</v>
      </c>
      <c r="C117" t="s">
        <v>12</v>
      </c>
      <c r="D117" t="s">
        <v>28</v>
      </c>
      <c r="E117" t="s">
        <v>14</v>
      </c>
      <c r="F117" t="s">
        <v>314</v>
      </c>
      <c r="G117" t="s">
        <v>315</v>
      </c>
      <c r="H117">
        <v>3</v>
      </c>
      <c r="I117" s="1">
        <v>2889.48</v>
      </c>
      <c r="J117" t="s">
        <v>17</v>
      </c>
      <c r="K117" t="s">
        <v>18</v>
      </c>
      <c r="L117" t="str" cm="1">
        <f t="array" ref="L117">_xlfn.IFS(B117&lt;30,"18-29",B117&lt;45,"30-44",B117&lt;60,"45-59",B117&lt;75,"60-74",B117&lt;=90,"75-90")</f>
        <v>75-90</v>
      </c>
      <c r="M117" t="str">
        <f>IF(Table1[[#This Row],[length_of_stay_days]]&gt;7,"Yes","No")</f>
        <v>No</v>
      </c>
    </row>
    <row r="118" spans="1:13" x14ac:dyDescent="0.3">
      <c r="A118" t="s">
        <v>316</v>
      </c>
      <c r="B118">
        <v>32</v>
      </c>
      <c r="C118" t="s">
        <v>12</v>
      </c>
      <c r="D118" t="s">
        <v>55</v>
      </c>
      <c r="E118" t="s">
        <v>28</v>
      </c>
      <c r="F118" t="s">
        <v>23</v>
      </c>
      <c r="G118" t="s">
        <v>317</v>
      </c>
      <c r="H118">
        <v>5</v>
      </c>
      <c r="I118" s="1">
        <v>11657.01</v>
      </c>
      <c r="J118" t="s">
        <v>17</v>
      </c>
      <c r="K118" t="s">
        <v>18</v>
      </c>
      <c r="L118" t="str" cm="1">
        <f t="array" ref="L118">_xlfn.IFS(B118&lt;30,"18-29",B118&lt;45,"30-44",B118&lt;60,"45-59",B118&lt;75,"60-74",B118&lt;=90,"75-90")</f>
        <v>30-44</v>
      </c>
      <c r="M118" t="str">
        <f>IF(Table1[[#This Row],[length_of_stay_days]]&gt;7,"Yes","No")</f>
        <v>No</v>
      </c>
    </row>
    <row r="119" spans="1:13" x14ac:dyDescent="0.3">
      <c r="A119" t="s">
        <v>318</v>
      </c>
      <c r="B119">
        <v>34</v>
      </c>
      <c r="C119" t="s">
        <v>12</v>
      </c>
      <c r="D119" t="s">
        <v>55</v>
      </c>
      <c r="E119" t="s">
        <v>28</v>
      </c>
      <c r="F119" t="s">
        <v>319</v>
      </c>
      <c r="G119" t="s">
        <v>320</v>
      </c>
      <c r="H119">
        <v>4</v>
      </c>
      <c r="I119" s="1">
        <v>12641.54</v>
      </c>
      <c r="J119" t="s">
        <v>17</v>
      </c>
      <c r="K119" t="s">
        <v>18</v>
      </c>
      <c r="L119" t="str" cm="1">
        <f t="array" ref="L119">_xlfn.IFS(B119&lt;30,"18-29",B119&lt;45,"30-44",B119&lt;60,"45-59",B119&lt;75,"60-74",B119&lt;=90,"75-90")</f>
        <v>30-44</v>
      </c>
      <c r="M119" t="str">
        <f>IF(Table1[[#This Row],[length_of_stay_days]]&gt;7,"Yes","No")</f>
        <v>No</v>
      </c>
    </row>
    <row r="120" spans="1:13" x14ac:dyDescent="0.3">
      <c r="A120" t="s">
        <v>321</v>
      </c>
      <c r="B120">
        <v>29</v>
      </c>
      <c r="C120" t="s">
        <v>12</v>
      </c>
      <c r="D120" t="s">
        <v>55</v>
      </c>
      <c r="E120" t="s">
        <v>28</v>
      </c>
      <c r="F120" t="s">
        <v>322</v>
      </c>
      <c r="G120" t="s">
        <v>323</v>
      </c>
      <c r="H120">
        <v>1</v>
      </c>
      <c r="I120" s="1">
        <v>8205.39</v>
      </c>
      <c r="J120" t="s">
        <v>49</v>
      </c>
      <c r="K120" t="s">
        <v>18</v>
      </c>
      <c r="L120" t="str" cm="1">
        <f t="array" ref="L120">_xlfn.IFS(B120&lt;30,"18-29",B120&lt;45,"30-44",B120&lt;60,"45-59",B120&lt;75,"60-74",B120&lt;=90,"75-90")</f>
        <v>18-29</v>
      </c>
      <c r="M120" t="str">
        <f>IF(Table1[[#This Row],[length_of_stay_days]]&gt;7,"Yes","No")</f>
        <v>No</v>
      </c>
    </row>
    <row r="121" spans="1:13" x14ac:dyDescent="0.3">
      <c r="A121" t="s">
        <v>324</v>
      </c>
      <c r="B121">
        <v>89</v>
      </c>
      <c r="C121" t="s">
        <v>12</v>
      </c>
      <c r="D121" t="s">
        <v>13</v>
      </c>
      <c r="E121" t="s">
        <v>21</v>
      </c>
      <c r="F121" t="s">
        <v>325</v>
      </c>
      <c r="G121" t="s">
        <v>47</v>
      </c>
      <c r="H121">
        <v>7</v>
      </c>
      <c r="I121" s="1">
        <v>9263.68</v>
      </c>
      <c r="J121" t="s">
        <v>17</v>
      </c>
      <c r="K121" t="s">
        <v>18</v>
      </c>
      <c r="L121" t="str" cm="1">
        <f t="array" ref="L121">_xlfn.IFS(B121&lt;30,"18-29",B121&lt;45,"30-44",B121&lt;60,"45-59",B121&lt;75,"60-74",B121&lt;=90,"75-90")</f>
        <v>75-90</v>
      </c>
      <c r="M121" t="str">
        <f>IF(Table1[[#This Row],[length_of_stay_days]]&gt;7,"Yes","No")</f>
        <v>No</v>
      </c>
    </row>
    <row r="122" spans="1:13" x14ac:dyDescent="0.3">
      <c r="A122" t="s">
        <v>326</v>
      </c>
      <c r="B122">
        <v>29</v>
      </c>
      <c r="C122" t="s">
        <v>12</v>
      </c>
      <c r="D122" t="s">
        <v>13</v>
      </c>
      <c r="E122" t="s">
        <v>28</v>
      </c>
      <c r="F122" t="s">
        <v>327</v>
      </c>
      <c r="G122" t="s">
        <v>328</v>
      </c>
      <c r="H122">
        <v>5</v>
      </c>
      <c r="I122" s="1">
        <v>5752.84</v>
      </c>
      <c r="J122" t="s">
        <v>17</v>
      </c>
      <c r="K122" t="s">
        <v>44</v>
      </c>
      <c r="L122" t="str" cm="1">
        <f t="array" ref="L122">_xlfn.IFS(B122&lt;30,"18-29",B122&lt;45,"30-44",B122&lt;60,"45-59",B122&lt;75,"60-74",B122&lt;=90,"75-90")</f>
        <v>18-29</v>
      </c>
      <c r="M122" t="str">
        <f>IF(Table1[[#This Row],[length_of_stay_days]]&gt;7,"Yes","No")</f>
        <v>No</v>
      </c>
    </row>
    <row r="123" spans="1:13" x14ac:dyDescent="0.3">
      <c r="A123" t="s">
        <v>329</v>
      </c>
      <c r="B123">
        <v>34</v>
      </c>
      <c r="C123" t="s">
        <v>12</v>
      </c>
      <c r="D123" t="s">
        <v>28</v>
      </c>
      <c r="E123" t="s">
        <v>28</v>
      </c>
      <c r="F123" t="s">
        <v>101</v>
      </c>
      <c r="G123" t="s">
        <v>330</v>
      </c>
      <c r="H123">
        <v>3</v>
      </c>
      <c r="I123" s="1">
        <v>2885.16</v>
      </c>
      <c r="J123" t="s">
        <v>17</v>
      </c>
      <c r="K123" t="s">
        <v>18</v>
      </c>
      <c r="L123" t="str" cm="1">
        <f t="array" ref="L123">_xlfn.IFS(B123&lt;30,"18-29",B123&lt;45,"30-44",B123&lt;60,"45-59",B123&lt;75,"60-74",B123&lt;=90,"75-90")</f>
        <v>30-44</v>
      </c>
      <c r="M123" t="str">
        <f>IF(Table1[[#This Row],[length_of_stay_days]]&gt;7,"Yes","No")</f>
        <v>No</v>
      </c>
    </row>
    <row r="124" spans="1:13" x14ac:dyDescent="0.3">
      <c r="A124" t="s">
        <v>331</v>
      </c>
      <c r="B124">
        <v>70</v>
      </c>
      <c r="C124" t="s">
        <v>20</v>
      </c>
      <c r="D124" t="s">
        <v>51</v>
      </c>
      <c r="E124" t="s">
        <v>14</v>
      </c>
      <c r="F124" t="s">
        <v>47</v>
      </c>
      <c r="G124" t="s">
        <v>268</v>
      </c>
      <c r="H124">
        <v>4</v>
      </c>
      <c r="I124" s="1">
        <v>10605.79</v>
      </c>
      <c r="J124" t="s">
        <v>17</v>
      </c>
      <c r="K124" t="s">
        <v>18</v>
      </c>
      <c r="L124" t="str" cm="1">
        <f t="array" ref="L124">_xlfn.IFS(B124&lt;30,"18-29",B124&lt;45,"30-44",B124&lt;60,"45-59",B124&lt;75,"60-74",B124&lt;=90,"75-90")</f>
        <v>60-74</v>
      </c>
      <c r="M124" t="str">
        <f>IF(Table1[[#This Row],[length_of_stay_days]]&gt;7,"Yes","No")</f>
        <v>No</v>
      </c>
    </row>
    <row r="125" spans="1:13" x14ac:dyDescent="0.3">
      <c r="A125" t="s">
        <v>332</v>
      </c>
      <c r="B125">
        <v>62</v>
      </c>
      <c r="C125" t="s">
        <v>12</v>
      </c>
      <c r="D125" t="s">
        <v>55</v>
      </c>
      <c r="E125" t="s">
        <v>14</v>
      </c>
      <c r="F125" t="s">
        <v>118</v>
      </c>
      <c r="G125" t="s">
        <v>333</v>
      </c>
      <c r="H125">
        <v>4</v>
      </c>
      <c r="I125" s="1">
        <v>9585.39</v>
      </c>
      <c r="J125" t="s">
        <v>17</v>
      </c>
      <c r="K125" t="s">
        <v>18</v>
      </c>
      <c r="L125" t="str" cm="1">
        <f t="array" ref="L125">_xlfn.IFS(B125&lt;30,"18-29",B125&lt;45,"30-44",B125&lt;60,"45-59",B125&lt;75,"60-74",B125&lt;=90,"75-90")</f>
        <v>60-74</v>
      </c>
      <c r="M125" t="str">
        <f>IF(Table1[[#This Row],[length_of_stay_days]]&gt;7,"Yes","No")</f>
        <v>No</v>
      </c>
    </row>
    <row r="126" spans="1:13" x14ac:dyDescent="0.3">
      <c r="A126" t="s">
        <v>334</v>
      </c>
      <c r="B126">
        <v>22</v>
      </c>
      <c r="C126" t="s">
        <v>12</v>
      </c>
      <c r="D126" t="s">
        <v>28</v>
      </c>
      <c r="E126" t="s">
        <v>28</v>
      </c>
      <c r="F126" t="s">
        <v>335</v>
      </c>
      <c r="G126" t="s">
        <v>276</v>
      </c>
      <c r="H126">
        <v>8</v>
      </c>
      <c r="I126" s="1">
        <v>7670.95</v>
      </c>
      <c r="J126" t="s">
        <v>17</v>
      </c>
      <c r="K126" t="s">
        <v>18</v>
      </c>
      <c r="L126" t="str" cm="1">
        <f t="array" ref="L126">_xlfn.IFS(B126&lt;30,"18-29",B126&lt;45,"30-44",B126&lt;60,"45-59",B126&lt;75,"60-74",B126&lt;=90,"75-90")</f>
        <v>18-29</v>
      </c>
      <c r="M126" t="str">
        <f>IF(Table1[[#This Row],[length_of_stay_days]]&gt;7,"Yes","No")</f>
        <v>Yes</v>
      </c>
    </row>
    <row r="127" spans="1:13" x14ac:dyDescent="0.3">
      <c r="A127" t="s">
        <v>336</v>
      </c>
      <c r="B127">
        <v>85</v>
      </c>
      <c r="C127" t="s">
        <v>20</v>
      </c>
      <c r="D127" t="s">
        <v>32</v>
      </c>
      <c r="E127" t="s">
        <v>14</v>
      </c>
      <c r="F127" t="s">
        <v>337</v>
      </c>
      <c r="G127" t="s">
        <v>43</v>
      </c>
      <c r="H127">
        <v>3</v>
      </c>
      <c r="I127" s="1">
        <v>8503.2199999999993</v>
      </c>
      <c r="J127" t="s">
        <v>17</v>
      </c>
      <c r="K127" t="s">
        <v>18</v>
      </c>
      <c r="L127" t="str" cm="1">
        <f t="array" ref="L127">_xlfn.IFS(B127&lt;30,"18-29",B127&lt;45,"30-44",B127&lt;60,"45-59",B127&lt;75,"60-74",B127&lt;=90,"75-90")</f>
        <v>75-90</v>
      </c>
      <c r="M127" t="str">
        <f>IF(Table1[[#This Row],[length_of_stay_days]]&gt;7,"Yes","No")</f>
        <v>No</v>
      </c>
    </row>
    <row r="128" spans="1:13" x14ac:dyDescent="0.3">
      <c r="A128" t="s">
        <v>338</v>
      </c>
      <c r="B128">
        <v>40</v>
      </c>
      <c r="C128" t="s">
        <v>20</v>
      </c>
      <c r="D128" t="s">
        <v>46</v>
      </c>
      <c r="E128" t="s">
        <v>21</v>
      </c>
      <c r="F128" t="s">
        <v>339</v>
      </c>
      <c r="G128" t="s">
        <v>133</v>
      </c>
      <c r="H128">
        <v>10</v>
      </c>
      <c r="I128" s="1">
        <v>13478.39</v>
      </c>
      <c r="J128" t="s">
        <v>17</v>
      </c>
      <c r="K128" t="s">
        <v>18</v>
      </c>
      <c r="L128" t="str" cm="1">
        <f t="array" ref="L128">_xlfn.IFS(B128&lt;30,"18-29",B128&lt;45,"30-44",B128&lt;60,"45-59",B128&lt;75,"60-74",B128&lt;=90,"75-90")</f>
        <v>30-44</v>
      </c>
      <c r="M128" t="str">
        <f>IF(Table1[[#This Row],[length_of_stay_days]]&gt;7,"Yes","No")</f>
        <v>Yes</v>
      </c>
    </row>
    <row r="129" spans="1:13" x14ac:dyDescent="0.3">
      <c r="A129" t="s">
        <v>340</v>
      </c>
      <c r="B129">
        <v>19</v>
      </c>
      <c r="C129" t="s">
        <v>20</v>
      </c>
      <c r="D129" t="s">
        <v>28</v>
      </c>
      <c r="E129" t="s">
        <v>28</v>
      </c>
      <c r="F129" t="s">
        <v>341</v>
      </c>
      <c r="G129" t="s">
        <v>342</v>
      </c>
      <c r="H129">
        <v>5</v>
      </c>
      <c r="I129" s="1">
        <v>6957.2</v>
      </c>
      <c r="J129" t="s">
        <v>17</v>
      </c>
      <c r="K129" t="s">
        <v>18</v>
      </c>
      <c r="L129" t="str" cm="1">
        <f t="array" ref="L129">_xlfn.IFS(B129&lt;30,"18-29",B129&lt;45,"30-44",B129&lt;60,"45-59",B129&lt;75,"60-74",B129&lt;=90,"75-90")</f>
        <v>18-29</v>
      </c>
      <c r="M129" t="str">
        <f>IF(Table1[[#This Row],[length_of_stay_days]]&gt;7,"Yes","No")</f>
        <v>No</v>
      </c>
    </row>
    <row r="130" spans="1:13" x14ac:dyDescent="0.3">
      <c r="A130" t="s">
        <v>343</v>
      </c>
      <c r="B130">
        <v>82</v>
      </c>
      <c r="C130" t="s">
        <v>12</v>
      </c>
      <c r="D130" t="s">
        <v>13</v>
      </c>
      <c r="E130" t="s">
        <v>28</v>
      </c>
      <c r="F130" t="s">
        <v>68</v>
      </c>
      <c r="G130" t="s">
        <v>344</v>
      </c>
      <c r="H130">
        <v>3</v>
      </c>
      <c r="I130" s="1">
        <v>4698.6499999999996</v>
      </c>
      <c r="J130" t="s">
        <v>17</v>
      </c>
      <c r="K130" t="s">
        <v>18</v>
      </c>
      <c r="L130" t="str" cm="1">
        <f t="array" ref="L130">_xlfn.IFS(B130&lt;30,"18-29",B130&lt;45,"30-44",B130&lt;60,"45-59",B130&lt;75,"60-74",B130&lt;=90,"75-90")</f>
        <v>75-90</v>
      </c>
      <c r="M130" t="str">
        <f>IF(Table1[[#This Row],[length_of_stay_days]]&gt;7,"Yes","No")</f>
        <v>No</v>
      </c>
    </row>
    <row r="131" spans="1:13" x14ac:dyDescent="0.3">
      <c r="A131" t="s">
        <v>345</v>
      </c>
      <c r="B131">
        <v>89</v>
      </c>
      <c r="C131" t="s">
        <v>20</v>
      </c>
      <c r="D131" t="s">
        <v>46</v>
      </c>
      <c r="E131" t="s">
        <v>14</v>
      </c>
      <c r="F131" t="s">
        <v>158</v>
      </c>
      <c r="G131" t="s">
        <v>346</v>
      </c>
      <c r="H131">
        <v>4</v>
      </c>
      <c r="I131" s="1">
        <v>9323.7800000000007</v>
      </c>
      <c r="J131" t="s">
        <v>49</v>
      </c>
      <c r="K131" t="s">
        <v>18</v>
      </c>
      <c r="L131" t="str" cm="1">
        <f t="array" ref="L131">_xlfn.IFS(B131&lt;30,"18-29",B131&lt;45,"30-44",B131&lt;60,"45-59",B131&lt;75,"60-74",B131&lt;=90,"75-90")</f>
        <v>75-90</v>
      </c>
      <c r="M131" t="str">
        <f>IF(Table1[[#This Row],[length_of_stay_days]]&gt;7,"Yes","No")</f>
        <v>No</v>
      </c>
    </row>
    <row r="132" spans="1:13" x14ac:dyDescent="0.3">
      <c r="A132" t="s">
        <v>347</v>
      </c>
      <c r="B132">
        <v>19</v>
      </c>
      <c r="C132" t="s">
        <v>20</v>
      </c>
      <c r="D132" t="s">
        <v>13</v>
      </c>
      <c r="E132" t="s">
        <v>21</v>
      </c>
      <c r="F132" t="s">
        <v>268</v>
      </c>
      <c r="G132" t="s">
        <v>348</v>
      </c>
      <c r="H132">
        <v>3</v>
      </c>
      <c r="I132" s="1">
        <v>4918.1400000000003</v>
      </c>
      <c r="J132" t="s">
        <v>17</v>
      </c>
      <c r="K132" t="s">
        <v>18</v>
      </c>
      <c r="L132" t="str" cm="1">
        <f t="array" ref="L132">_xlfn.IFS(B132&lt;30,"18-29",B132&lt;45,"30-44",B132&lt;60,"45-59",B132&lt;75,"60-74",B132&lt;=90,"75-90")</f>
        <v>18-29</v>
      </c>
      <c r="M132" t="str">
        <f>IF(Table1[[#This Row],[length_of_stay_days]]&gt;7,"Yes","No")</f>
        <v>No</v>
      </c>
    </row>
    <row r="133" spans="1:13" x14ac:dyDescent="0.3">
      <c r="A133" t="s">
        <v>349</v>
      </c>
      <c r="B133">
        <v>61</v>
      </c>
      <c r="C133" t="s">
        <v>20</v>
      </c>
      <c r="D133" t="s">
        <v>13</v>
      </c>
      <c r="E133" t="s">
        <v>14</v>
      </c>
      <c r="F133" t="s">
        <v>350</v>
      </c>
      <c r="G133" t="s">
        <v>255</v>
      </c>
      <c r="H133">
        <v>4</v>
      </c>
      <c r="I133" s="1">
        <v>8334.84</v>
      </c>
      <c r="J133" t="s">
        <v>17</v>
      </c>
      <c r="K133" t="s">
        <v>18</v>
      </c>
      <c r="L133" t="str" cm="1">
        <f t="array" ref="L133">_xlfn.IFS(B133&lt;30,"18-29",B133&lt;45,"30-44",B133&lt;60,"45-59",B133&lt;75,"60-74",B133&lt;=90,"75-90")</f>
        <v>60-74</v>
      </c>
      <c r="M133" t="str">
        <f>IF(Table1[[#This Row],[length_of_stay_days]]&gt;7,"Yes","No")</f>
        <v>No</v>
      </c>
    </row>
    <row r="134" spans="1:13" x14ac:dyDescent="0.3">
      <c r="A134" t="s">
        <v>351</v>
      </c>
      <c r="B134">
        <v>41</v>
      </c>
      <c r="C134" t="s">
        <v>12</v>
      </c>
      <c r="D134" t="s">
        <v>32</v>
      </c>
      <c r="E134" t="s">
        <v>28</v>
      </c>
      <c r="F134" t="s">
        <v>352</v>
      </c>
      <c r="G134" t="s">
        <v>87</v>
      </c>
      <c r="H134">
        <v>7</v>
      </c>
      <c r="I134" s="1">
        <v>11832.24</v>
      </c>
      <c r="J134" t="s">
        <v>17</v>
      </c>
      <c r="K134" t="s">
        <v>18</v>
      </c>
      <c r="L134" t="str" cm="1">
        <f t="array" ref="L134">_xlfn.IFS(B134&lt;30,"18-29",B134&lt;45,"30-44",B134&lt;60,"45-59",B134&lt;75,"60-74",B134&lt;=90,"75-90")</f>
        <v>30-44</v>
      </c>
      <c r="M134" t="str">
        <f>IF(Table1[[#This Row],[length_of_stay_days]]&gt;7,"Yes","No")</f>
        <v>No</v>
      </c>
    </row>
    <row r="135" spans="1:13" x14ac:dyDescent="0.3">
      <c r="A135" t="s">
        <v>353</v>
      </c>
      <c r="B135">
        <v>58</v>
      </c>
      <c r="C135" t="s">
        <v>12</v>
      </c>
      <c r="D135" t="s">
        <v>51</v>
      </c>
      <c r="E135" t="s">
        <v>21</v>
      </c>
      <c r="F135" t="s">
        <v>354</v>
      </c>
      <c r="G135" t="s">
        <v>355</v>
      </c>
      <c r="H135">
        <v>5</v>
      </c>
      <c r="I135" s="1">
        <v>12688.61</v>
      </c>
      <c r="J135" t="s">
        <v>49</v>
      </c>
      <c r="K135" t="s">
        <v>18</v>
      </c>
      <c r="L135" t="str" cm="1">
        <f t="array" ref="L135">_xlfn.IFS(B135&lt;30,"18-29",B135&lt;45,"30-44",B135&lt;60,"45-59",B135&lt;75,"60-74",B135&lt;=90,"75-90")</f>
        <v>45-59</v>
      </c>
      <c r="M135" t="str">
        <f>IF(Table1[[#This Row],[length_of_stay_days]]&gt;7,"Yes","No")</f>
        <v>No</v>
      </c>
    </row>
    <row r="136" spans="1:13" x14ac:dyDescent="0.3">
      <c r="A136" t="s">
        <v>356</v>
      </c>
      <c r="B136">
        <v>25</v>
      </c>
      <c r="C136" t="s">
        <v>12</v>
      </c>
      <c r="D136" t="s">
        <v>13</v>
      </c>
      <c r="E136" t="s">
        <v>21</v>
      </c>
      <c r="F136" t="s">
        <v>357</v>
      </c>
      <c r="G136" t="s">
        <v>358</v>
      </c>
      <c r="H136">
        <v>5</v>
      </c>
      <c r="I136" s="1">
        <v>4973.03</v>
      </c>
      <c r="J136" t="s">
        <v>49</v>
      </c>
      <c r="K136" t="s">
        <v>18</v>
      </c>
      <c r="L136" t="str" cm="1">
        <f t="array" ref="L136">_xlfn.IFS(B136&lt;30,"18-29",B136&lt;45,"30-44",B136&lt;60,"45-59",B136&lt;75,"60-74",B136&lt;=90,"75-90")</f>
        <v>18-29</v>
      </c>
      <c r="M136" t="str">
        <f>IF(Table1[[#This Row],[length_of_stay_days]]&gt;7,"Yes","No")</f>
        <v>No</v>
      </c>
    </row>
    <row r="137" spans="1:13" x14ac:dyDescent="0.3">
      <c r="A137" t="s">
        <v>359</v>
      </c>
      <c r="B137">
        <v>61</v>
      </c>
      <c r="C137" t="s">
        <v>20</v>
      </c>
      <c r="D137" t="s">
        <v>55</v>
      </c>
      <c r="E137" t="s">
        <v>28</v>
      </c>
      <c r="F137" t="s">
        <v>360</v>
      </c>
      <c r="G137" t="s">
        <v>361</v>
      </c>
      <c r="H137">
        <v>5</v>
      </c>
      <c r="I137" s="1">
        <v>10045.77</v>
      </c>
      <c r="J137" t="s">
        <v>17</v>
      </c>
      <c r="K137" t="s">
        <v>18</v>
      </c>
      <c r="L137" t="str" cm="1">
        <f t="array" ref="L137">_xlfn.IFS(B137&lt;30,"18-29",B137&lt;45,"30-44",B137&lt;60,"45-59",B137&lt;75,"60-74",B137&lt;=90,"75-90")</f>
        <v>60-74</v>
      </c>
      <c r="M137" t="str">
        <f>IF(Table1[[#This Row],[length_of_stay_days]]&gt;7,"Yes","No")</f>
        <v>No</v>
      </c>
    </row>
    <row r="138" spans="1:13" x14ac:dyDescent="0.3">
      <c r="A138" t="s">
        <v>362</v>
      </c>
      <c r="B138">
        <v>23</v>
      </c>
      <c r="C138" t="s">
        <v>20</v>
      </c>
      <c r="D138" t="s">
        <v>13</v>
      </c>
      <c r="E138" t="s">
        <v>28</v>
      </c>
      <c r="F138" t="s">
        <v>363</v>
      </c>
      <c r="G138" t="s">
        <v>364</v>
      </c>
      <c r="H138">
        <v>5</v>
      </c>
      <c r="I138" s="1">
        <v>7181.65</v>
      </c>
      <c r="J138" t="s">
        <v>17</v>
      </c>
      <c r="K138" t="s">
        <v>18</v>
      </c>
      <c r="L138" t="str" cm="1">
        <f t="array" ref="L138">_xlfn.IFS(B138&lt;30,"18-29",B138&lt;45,"30-44",B138&lt;60,"45-59",B138&lt;75,"60-74",B138&lt;=90,"75-90")</f>
        <v>18-29</v>
      </c>
      <c r="M138" t="str">
        <f>IF(Table1[[#This Row],[length_of_stay_days]]&gt;7,"Yes","No")</f>
        <v>No</v>
      </c>
    </row>
    <row r="139" spans="1:13" x14ac:dyDescent="0.3">
      <c r="A139" t="s">
        <v>365</v>
      </c>
      <c r="B139">
        <v>67</v>
      </c>
      <c r="C139" t="s">
        <v>20</v>
      </c>
      <c r="D139" t="s">
        <v>46</v>
      </c>
      <c r="E139" t="s">
        <v>21</v>
      </c>
      <c r="F139" t="s">
        <v>366</v>
      </c>
      <c r="G139" t="s">
        <v>367</v>
      </c>
      <c r="H139">
        <v>11</v>
      </c>
      <c r="I139" s="1">
        <v>14658.23</v>
      </c>
      <c r="J139" t="s">
        <v>17</v>
      </c>
      <c r="K139" t="s">
        <v>18</v>
      </c>
      <c r="L139" t="str" cm="1">
        <f t="array" ref="L139">_xlfn.IFS(B139&lt;30,"18-29",B139&lt;45,"30-44",B139&lt;60,"45-59",B139&lt;75,"60-74",B139&lt;=90,"75-90")</f>
        <v>60-74</v>
      </c>
      <c r="M139" t="str">
        <f>IF(Table1[[#This Row],[length_of_stay_days]]&gt;7,"Yes","No")</f>
        <v>Yes</v>
      </c>
    </row>
    <row r="140" spans="1:13" x14ac:dyDescent="0.3">
      <c r="A140" t="s">
        <v>368</v>
      </c>
      <c r="B140">
        <v>76</v>
      </c>
      <c r="C140" t="s">
        <v>20</v>
      </c>
      <c r="D140" t="s">
        <v>28</v>
      </c>
      <c r="E140" t="s">
        <v>21</v>
      </c>
      <c r="F140" t="s">
        <v>148</v>
      </c>
      <c r="G140" t="s">
        <v>184</v>
      </c>
      <c r="H140">
        <v>2</v>
      </c>
      <c r="I140" s="1">
        <v>3166.06</v>
      </c>
      <c r="J140" t="s">
        <v>17</v>
      </c>
      <c r="K140" t="s">
        <v>18</v>
      </c>
      <c r="L140" t="str" cm="1">
        <f t="array" ref="L140">_xlfn.IFS(B140&lt;30,"18-29",B140&lt;45,"30-44",B140&lt;60,"45-59",B140&lt;75,"60-74",B140&lt;=90,"75-90")</f>
        <v>75-90</v>
      </c>
      <c r="M140" t="str">
        <f>IF(Table1[[#This Row],[length_of_stay_days]]&gt;7,"Yes","No")</f>
        <v>No</v>
      </c>
    </row>
    <row r="141" spans="1:13" x14ac:dyDescent="0.3">
      <c r="A141" t="s">
        <v>369</v>
      </c>
      <c r="B141">
        <v>43</v>
      </c>
      <c r="C141" t="s">
        <v>12</v>
      </c>
      <c r="D141" t="s">
        <v>13</v>
      </c>
      <c r="E141" t="s">
        <v>28</v>
      </c>
      <c r="F141" t="s">
        <v>232</v>
      </c>
      <c r="G141" t="s">
        <v>23</v>
      </c>
      <c r="H141">
        <v>9</v>
      </c>
      <c r="I141" s="1">
        <v>10022.209999999999</v>
      </c>
      <c r="J141" t="s">
        <v>17</v>
      </c>
      <c r="K141" t="s">
        <v>18</v>
      </c>
      <c r="L141" t="str" cm="1">
        <f t="array" ref="L141">_xlfn.IFS(B141&lt;30,"18-29",B141&lt;45,"30-44",B141&lt;60,"45-59",B141&lt;75,"60-74",B141&lt;=90,"75-90")</f>
        <v>30-44</v>
      </c>
      <c r="M141" t="str">
        <f>IF(Table1[[#This Row],[length_of_stay_days]]&gt;7,"Yes","No")</f>
        <v>Yes</v>
      </c>
    </row>
    <row r="142" spans="1:13" x14ac:dyDescent="0.3">
      <c r="A142" t="s">
        <v>370</v>
      </c>
      <c r="B142">
        <v>86</v>
      </c>
      <c r="C142" t="s">
        <v>12</v>
      </c>
      <c r="D142" t="s">
        <v>28</v>
      </c>
      <c r="E142" t="s">
        <v>28</v>
      </c>
      <c r="F142" t="s">
        <v>371</v>
      </c>
      <c r="G142" t="s">
        <v>372</v>
      </c>
      <c r="H142">
        <v>5</v>
      </c>
      <c r="I142" s="1">
        <v>4639.7700000000004</v>
      </c>
      <c r="J142" t="s">
        <v>49</v>
      </c>
      <c r="K142" t="s">
        <v>18</v>
      </c>
      <c r="L142" t="str" cm="1">
        <f t="array" ref="L142">_xlfn.IFS(B142&lt;30,"18-29",B142&lt;45,"30-44",B142&lt;60,"45-59",B142&lt;75,"60-74",B142&lt;=90,"75-90")</f>
        <v>75-90</v>
      </c>
      <c r="M142" t="str">
        <f>IF(Table1[[#This Row],[length_of_stay_days]]&gt;7,"Yes","No")</f>
        <v>No</v>
      </c>
    </row>
    <row r="143" spans="1:13" x14ac:dyDescent="0.3">
      <c r="A143" t="s">
        <v>373</v>
      </c>
      <c r="B143">
        <v>31</v>
      </c>
      <c r="C143" t="s">
        <v>12</v>
      </c>
      <c r="D143" t="s">
        <v>32</v>
      </c>
      <c r="E143" t="s">
        <v>28</v>
      </c>
      <c r="F143" t="s">
        <v>48</v>
      </c>
      <c r="G143" t="s">
        <v>341</v>
      </c>
      <c r="H143">
        <v>7</v>
      </c>
      <c r="I143" s="1">
        <v>9279.02</v>
      </c>
      <c r="J143" t="s">
        <v>17</v>
      </c>
      <c r="K143" t="s">
        <v>18</v>
      </c>
      <c r="L143" t="str" cm="1">
        <f t="array" ref="L143">_xlfn.IFS(B143&lt;30,"18-29",B143&lt;45,"30-44",B143&lt;60,"45-59",B143&lt;75,"60-74",B143&lt;=90,"75-90")</f>
        <v>30-44</v>
      </c>
      <c r="M143" t="str">
        <f>IF(Table1[[#This Row],[length_of_stay_days]]&gt;7,"Yes","No")</f>
        <v>No</v>
      </c>
    </row>
    <row r="144" spans="1:13" x14ac:dyDescent="0.3">
      <c r="A144" t="s">
        <v>374</v>
      </c>
      <c r="B144">
        <v>30</v>
      </c>
      <c r="C144" t="s">
        <v>20</v>
      </c>
      <c r="D144" t="s">
        <v>13</v>
      </c>
      <c r="E144" t="s">
        <v>21</v>
      </c>
      <c r="F144" t="s">
        <v>201</v>
      </c>
      <c r="G144" t="s">
        <v>157</v>
      </c>
      <c r="H144">
        <v>6</v>
      </c>
      <c r="I144" s="1">
        <v>8341.85</v>
      </c>
      <c r="J144" t="s">
        <v>49</v>
      </c>
      <c r="K144" t="s">
        <v>18</v>
      </c>
      <c r="L144" t="str" cm="1">
        <f t="array" ref="L144">_xlfn.IFS(B144&lt;30,"18-29",B144&lt;45,"30-44",B144&lt;60,"45-59",B144&lt;75,"60-74",B144&lt;=90,"75-90")</f>
        <v>30-44</v>
      </c>
      <c r="M144" t="str">
        <f>IF(Table1[[#This Row],[length_of_stay_days]]&gt;7,"Yes","No")</f>
        <v>No</v>
      </c>
    </row>
    <row r="145" spans="1:13" x14ac:dyDescent="0.3">
      <c r="A145" t="s">
        <v>375</v>
      </c>
      <c r="B145">
        <v>64</v>
      </c>
      <c r="C145" t="s">
        <v>20</v>
      </c>
      <c r="D145" t="s">
        <v>32</v>
      </c>
      <c r="E145" t="s">
        <v>28</v>
      </c>
      <c r="F145" t="s">
        <v>296</v>
      </c>
      <c r="G145" t="s">
        <v>376</v>
      </c>
      <c r="H145">
        <v>8</v>
      </c>
      <c r="I145" s="1">
        <v>15404.9</v>
      </c>
      <c r="J145" t="s">
        <v>17</v>
      </c>
      <c r="K145" t="s">
        <v>18</v>
      </c>
      <c r="L145" t="str" cm="1">
        <f t="array" ref="L145">_xlfn.IFS(B145&lt;30,"18-29",B145&lt;45,"30-44",B145&lt;60,"45-59",B145&lt;75,"60-74",B145&lt;=90,"75-90")</f>
        <v>60-74</v>
      </c>
      <c r="M145" t="str">
        <f>IF(Table1[[#This Row],[length_of_stay_days]]&gt;7,"Yes","No")</f>
        <v>Yes</v>
      </c>
    </row>
    <row r="146" spans="1:13" x14ac:dyDescent="0.3">
      <c r="A146" t="s">
        <v>377</v>
      </c>
      <c r="B146">
        <v>70</v>
      </c>
      <c r="C146" t="s">
        <v>20</v>
      </c>
      <c r="D146" t="s">
        <v>32</v>
      </c>
      <c r="E146" t="s">
        <v>14</v>
      </c>
      <c r="F146" t="s">
        <v>378</v>
      </c>
      <c r="G146" t="s">
        <v>190</v>
      </c>
      <c r="H146">
        <v>10</v>
      </c>
      <c r="I146" s="1">
        <v>12529.52</v>
      </c>
      <c r="J146" t="s">
        <v>17</v>
      </c>
      <c r="K146" t="s">
        <v>18</v>
      </c>
      <c r="L146" t="str" cm="1">
        <f t="array" ref="L146">_xlfn.IFS(B146&lt;30,"18-29",B146&lt;45,"30-44",B146&lt;60,"45-59",B146&lt;75,"60-74",B146&lt;=90,"75-90")</f>
        <v>60-74</v>
      </c>
      <c r="M146" t="str">
        <f>IF(Table1[[#This Row],[length_of_stay_days]]&gt;7,"Yes","No")</f>
        <v>Yes</v>
      </c>
    </row>
    <row r="147" spans="1:13" x14ac:dyDescent="0.3">
      <c r="A147" t="s">
        <v>379</v>
      </c>
      <c r="B147">
        <v>44</v>
      </c>
      <c r="C147" t="s">
        <v>12</v>
      </c>
      <c r="D147" t="s">
        <v>28</v>
      </c>
      <c r="E147" t="s">
        <v>14</v>
      </c>
      <c r="F147" t="s">
        <v>314</v>
      </c>
      <c r="G147" t="s">
        <v>315</v>
      </c>
      <c r="H147">
        <v>3</v>
      </c>
      <c r="I147" s="1">
        <v>5149.95</v>
      </c>
      <c r="J147" t="s">
        <v>17</v>
      </c>
      <c r="K147" t="s">
        <v>18</v>
      </c>
      <c r="L147" t="str" cm="1">
        <f t="array" ref="L147">_xlfn.IFS(B147&lt;30,"18-29",B147&lt;45,"30-44",B147&lt;60,"45-59",B147&lt;75,"60-74",B147&lt;=90,"75-90")</f>
        <v>30-44</v>
      </c>
      <c r="M147" t="str">
        <f>IF(Table1[[#This Row],[length_of_stay_days]]&gt;7,"Yes","No")</f>
        <v>No</v>
      </c>
    </row>
    <row r="148" spans="1:13" x14ac:dyDescent="0.3">
      <c r="A148" t="s">
        <v>380</v>
      </c>
      <c r="B148">
        <v>29</v>
      </c>
      <c r="C148" t="s">
        <v>12</v>
      </c>
      <c r="D148" t="s">
        <v>13</v>
      </c>
      <c r="E148" t="s">
        <v>14</v>
      </c>
      <c r="F148" t="s">
        <v>381</v>
      </c>
      <c r="G148" t="s">
        <v>382</v>
      </c>
      <c r="H148">
        <v>5</v>
      </c>
      <c r="I148" s="1">
        <v>5760.25</v>
      </c>
      <c r="J148" t="s">
        <v>17</v>
      </c>
      <c r="K148" t="s">
        <v>18</v>
      </c>
      <c r="L148" t="str" cm="1">
        <f t="array" ref="L148">_xlfn.IFS(B148&lt;30,"18-29",B148&lt;45,"30-44",B148&lt;60,"45-59",B148&lt;75,"60-74",B148&lt;=90,"75-90")</f>
        <v>18-29</v>
      </c>
      <c r="M148" t="str">
        <f>IF(Table1[[#This Row],[length_of_stay_days]]&gt;7,"Yes","No")</f>
        <v>No</v>
      </c>
    </row>
    <row r="149" spans="1:13" x14ac:dyDescent="0.3">
      <c r="A149" t="s">
        <v>383</v>
      </c>
      <c r="B149">
        <v>58</v>
      </c>
      <c r="C149" t="s">
        <v>20</v>
      </c>
      <c r="D149" t="s">
        <v>28</v>
      </c>
      <c r="E149" t="s">
        <v>28</v>
      </c>
      <c r="F149" t="s">
        <v>384</v>
      </c>
      <c r="G149" t="s">
        <v>144</v>
      </c>
      <c r="H149">
        <v>3</v>
      </c>
      <c r="I149" s="1">
        <v>5367.23</v>
      </c>
      <c r="J149" t="s">
        <v>17</v>
      </c>
      <c r="K149" t="s">
        <v>18</v>
      </c>
      <c r="L149" t="str" cm="1">
        <f t="array" ref="L149">_xlfn.IFS(B149&lt;30,"18-29",B149&lt;45,"30-44",B149&lt;60,"45-59",B149&lt;75,"60-74",B149&lt;=90,"75-90")</f>
        <v>45-59</v>
      </c>
      <c r="M149" t="str">
        <f>IF(Table1[[#This Row],[length_of_stay_days]]&gt;7,"Yes","No")</f>
        <v>No</v>
      </c>
    </row>
    <row r="150" spans="1:13" x14ac:dyDescent="0.3">
      <c r="A150" t="s">
        <v>385</v>
      </c>
      <c r="B150">
        <v>50</v>
      </c>
      <c r="C150" t="s">
        <v>12</v>
      </c>
      <c r="D150" t="s">
        <v>13</v>
      </c>
      <c r="E150" t="s">
        <v>21</v>
      </c>
      <c r="F150" t="s">
        <v>129</v>
      </c>
      <c r="G150" t="s">
        <v>386</v>
      </c>
      <c r="H150">
        <v>6</v>
      </c>
      <c r="I150" s="1">
        <v>4971.26</v>
      </c>
      <c r="J150" t="s">
        <v>17</v>
      </c>
      <c r="K150" t="s">
        <v>18</v>
      </c>
      <c r="L150" t="str" cm="1">
        <f t="array" ref="L150">_xlfn.IFS(B150&lt;30,"18-29",B150&lt;45,"30-44",B150&lt;60,"45-59",B150&lt;75,"60-74",B150&lt;=90,"75-90")</f>
        <v>45-59</v>
      </c>
      <c r="M150" t="str">
        <f>IF(Table1[[#This Row],[length_of_stay_days]]&gt;7,"Yes","No")</f>
        <v>No</v>
      </c>
    </row>
    <row r="151" spans="1:13" x14ac:dyDescent="0.3">
      <c r="A151" t="s">
        <v>387</v>
      </c>
      <c r="B151">
        <v>51</v>
      </c>
      <c r="C151" t="s">
        <v>20</v>
      </c>
      <c r="D151" t="s">
        <v>28</v>
      </c>
      <c r="E151" t="s">
        <v>21</v>
      </c>
      <c r="F151" t="s">
        <v>388</v>
      </c>
      <c r="G151" t="s">
        <v>56</v>
      </c>
      <c r="H151">
        <v>1</v>
      </c>
      <c r="I151" s="1">
        <v>4770.7299999999996</v>
      </c>
      <c r="J151" t="s">
        <v>17</v>
      </c>
      <c r="K151" t="s">
        <v>44</v>
      </c>
      <c r="L151" t="str" cm="1">
        <f t="array" ref="L151">_xlfn.IFS(B151&lt;30,"18-29",B151&lt;45,"30-44",B151&lt;60,"45-59",B151&lt;75,"60-74",B151&lt;=90,"75-90")</f>
        <v>45-59</v>
      </c>
      <c r="M151" t="str">
        <f>IF(Table1[[#This Row],[length_of_stay_days]]&gt;7,"Yes","No")</f>
        <v>No</v>
      </c>
    </row>
    <row r="152" spans="1:13" x14ac:dyDescent="0.3">
      <c r="A152" t="s">
        <v>389</v>
      </c>
      <c r="B152">
        <v>70</v>
      </c>
      <c r="C152" t="s">
        <v>20</v>
      </c>
      <c r="D152" t="s">
        <v>32</v>
      </c>
      <c r="E152" t="s">
        <v>28</v>
      </c>
      <c r="F152" t="s">
        <v>151</v>
      </c>
      <c r="G152" t="s">
        <v>390</v>
      </c>
      <c r="H152">
        <v>7</v>
      </c>
      <c r="I152" s="1">
        <v>11599.94</v>
      </c>
      <c r="J152" t="s">
        <v>17</v>
      </c>
      <c r="K152" t="s">
        <v>18</v>
      </c>
      <c r="L152" t="str" cm="1">
        <f t="array" ref="L152">_xlfn.IFS(B152&lt;30,"18-29",B152&lt;45,"30-44",B152&lt;60,"45-59",B152&lt;75,"60-74",B152&lt;=90,"75-90")</f>
        <v>60-74</v>
      </c>
      <c r="M152" t="str">
        <f>IF(Table1[[#This Row],[length_of_stay_days]]&gt;7,"Yes","No")</f>
        <v>No</v>
      </c>
    </row>
    <row r="153" spans="1:13" x14ac:dyDescent="0.3">
      <c r="A153" t="s">
        <v>391</v>
      </c>
      <c r="B153">
        <v>72</v>
      </c>
      <c r="C153" t="s">
        <v>20</v>
      </c>
      <c r="D153" t="s">
        <v>28</v>
      </c>
      <c r="E153" t="s">
        <v>28</v>
      </c>
      <c r="F153" t="s">
        <v>342</v>
      </c>
      <c r="G153" t="s">
        <v>323</v>
      </c>
      <c r="H153">
        <v>7</v>
      </c>
      <c r="I153" s="1">
        <v>6540.54</v>
      </c>
      <c r="J153" t="s">
        <v>17</v>
      </c>
      <c r="K153" t="s">
        <v>18</v>
      </c>
      <c r="L153" t="str" cm="1">
        <f t="array" ref="L153">_xlfn.IFS(B153&lt;30,"18-29",B153&lt;45,"30-44",B153&lt;60,"45-59",B153&lt;75,"60-74",B153&lt;=90,"75-90")</f>
        <v>60-74</v>
      </c>
      <c r="M153" t="str">
        <f>IF(Table1[[#This Row],[length_of_stay_days]]&gt;7,"Yes","No")</f>
        <v>No</v>
      </c>
    </row>
    <row r="154" spans="1:13" x14ac:dyDescent="0.3">
      <c r="A154" t="s">
        <v>392</v>
      </c>
      <c r="B154">
        <v>79</v>
      </c>
      <c r="C154" t="s">
        <v>20</v>
      </c>
      <c r="D154" t="s">
        <v>28</v>
      </c>
      <c r="E154" t="s">
        <v>28</v>
      </c>
      <c r="F154" t="s">
        <v>109</v>
      </c>
      <c r="G154" t="s">
        <v>39</v>
      </c>
      <c r="H154">
        <v>7</v>
      </c>
      <c r="I154" s="1">
        <v>9215.9599999999991</v>
      </c>
      <c r="J154" t="s">
        <v>17</v>
      </c>
      <c r="K154" t="s">
        <v>18</v>
      </c>
      <c r="L154" t="str" cm="1">
        <f t="array" ref="L154">_xlfn.IFS(B154&lt;30,"18-29",B154&lt;45,"30-44",B154&lt;60,"45-59",B154&lt;75,"60-74",B154&lt;=90,"75-90")</f>
        <v>75-90</v>
      </c>
      <c r="M154" t="str">
        <f>IF(Table1[[#This Row],[length_of_stay_days]]&gt;7,"Yes","No")</f>
        <v>No</v>
      </c>
    </row>
    <row r="155" spans="1:13" x14ac:dyDescent="0.3">
      <c r="A155" t="s">
        <v>393</v>
      </c>
      <c r="B155">
        <v>51</v>
      </c>
      <c r="C155" t="s">
        <v>12</v>
      </c>
      <c r="D155" t="s">
        <v>28</v>
      </c>
      <c r="E155" t="s">
        <v>21</v>
      </c>
      <c r="F155" t="s">
        <v>174</v>
      </c>
      <c r="G155" t="s">
        <v>322</v>
      </c>
      <c r="H155">
        <v>2</v>
      </c>
      <c r="I155" s="1">
        <v>3313.43</v>
      </c>
      <c r="J155" t="s">
        <v>17</v>
      </c>
      <c r="K155" t="s">
        <v>18</v>
      </c>
      <c r="L155" t="str" cm="1">
        <f t="array" ref="L155">_xlfn.IFS(B155&lt;30,"18-29",B155&lt;45,"30-44",B155&lt;60,"45-59",B155&lt;75,"60-74",B155&lt;=90,"75-90")</f>
        <v>45-59</v>
      </c>
      <c r="M155" t="str">
        <f>IF(Table1[[#This Row],[length_of_stay_days]]&gt;7,"Yes","No")</f>
        <v>No</v>
      </c>
    </row>
    <row r="156" spans="1:13" x14ac:dyDescent="0.3">
      <c r="A156" t="s">
        <v>394</v>
      </c>
      <c r="B156">
        <v>22</v>
      </c>
      <c r="C156" t="s">
        <v>12</v>
      </c>
      <c r="D156" t="s">
        <v>13</v>
      </c>
      <c r="E156" t="s">
        <v>14</v>
      </c>
      <c r="F156" t="s">
        <v>395</v>
      </c>
      <c r="G156" t="s">
        <v>396</v>
      </c>
      <c r="H156">
        <v>8</v>
      </c>
      <c r="I156" s="1">
        <v>8385.92</v>
      </c>
      <c r="J156" t="s">
        <v>17</v>
      </c>
      <c r="K156" t="s">
        <v>18</v>
      </c>
      <c r="L156" t="str" cm="1">
        <f t="array" ref="L156">_xlfn.IFS(B156&lt;30,"18-29",B156&lt;45,"30-44",B156&lt;60,"45-59",B156&lt;75,"60-74",B156&lt;=90,"75-90")</f>
        <v>18-29</v>
      </c>
      <c r="M156" t="str">
        <f>IF(Table1[[#This Row],[length_of_stay_days]]&gt;7,"Yes","No")</f>
        <v>Yes</v>
      </c>
    </row>
    <row r="157" spans="1:13" x14ac:dyDescent="0.3">
      <c r="A157" t="s">
        <v>397</v>
      </c>
      <c r="B157">
        <v>55</v>
      </c>
      <c r="C157" t="s">
        <v>12</v>
      </c>
      <c r="D157" t="s">
        <v>28</v>
      </c>
      <c r="E157" t="s">
        <v>28</v>
      </c>
      <c r="F157" t="s">
        <v>74</v>
      </c>
      <c r="G157" t="s">
        <v>75</v>
      </c>
      <c r="H157">
        <v>4</v>
      </c>
      <c r="I157" s="1">
        <v>4245.2700000000004</v>
      </c>
      <c r="J157" t="s">
        <v>17</v>
      </c>
      <c r="K157" t="s">
        <v>18</v>
      </c>
      <c r="L157" t="str" cm="1">
        <f t="array" ref="L157">_xlfn.IFS(B157&lt;30,"18-29",B157&lt;45,"30-44",B157&lt;60,"45-59",B157&lt;75,"60-74",B157&lt;=90,"75-90")</f>
        <v>45-59</v>
      </c>
      <c r="M157" t="str">
        <f>IF(Table1[[#This Row],[length_of_stay_days]]&gt;7,"Yes","No")</f>
        <v>No</v>
      </c>
    </row>
    <row r="158" spans="1:13" x14ac:dyDescent="0.3">
      <c r="A158" t="s">
        <v>398</v>
      </c>
      <c r="B158">
        <v>25</v>
      </c>
      <c r="C158" t="s">
        <v>12</v>
      </c>
      <c r="D158" t="s">
        <v>13</v>
      </c>
      <c r="E158" t="s">
        <v>21</v>
      </c>
      <c r="F158" t="s">
        <v>399</v>
      </c>
      <c r="G158" t="s">
        <v>327</v>
      </c>
      <c r="H158">
        <v>6</v>
      </c>
      <c r="I158" s="1">
        <v>5698.51</v>
      </c>
      <c r="J158" t="s">
        <v>17</v>
      </c>
      <c r="K158" t="s">
        <v>18</v>
      </c>
      <c r="L158" t="str" cm="1">
        <f t="array" ref="L158">_xlfn.IFS(B158&lt;30,"18-29",B158&lt;45,"30-44",B158&lt;60,"45-59",B158&lt;75,"60-74",B158&lt;=90,"75-90")</f>
        <v>18-29</v>
      </c>
      <c r="M158" t="str">
        <f>IF(Table1[[#This Row],[length_of_stay_days]]&gt;7,"Yes","No")</f>
        <v>No</v>
      </c>
    </row>
    <row r="159" spans="1:13" x14ac:dyDescent="0.3">
      <c r="A159" t="s">
        <v>400</v>
      </c>
      <c r="B159">
        <v>27</v>
      </c>
      <c r="C159" t="s">
        <v>12</v>
      </c>
      <c r="D159" t="s">
        <v>46</v>
      </c>
      <c r="E159" t="s">
        <v>28</v>
      </c>
      <c r="F159" t="s">
        <v>177</v>
      </c>
      <c r="G159" t="s">
        <v>123</v>
      </c>
      <c r="H159">
        <v>7</v>
      </c>
      <c r="I159" s="1">
        <v>13322.62</v>
      </c>
      <c r="J159" t="s">
        <v>49</v>
      </c>
      <c r="K159" t="s">
        <v>18</v>
      </c>
      <c r="L159" t="str" cm="1">
        <f t="array" ref="L159">_xlfn.IFS(B159&lt;30,"18-29",B159&lt;45,"30-44",B159&lt;60,"45-59",B159&lt;75,"60-74",B159&lt;=90,"75-90")</f>
        <v>18-29</v>
      </c>
      <c r="M159" t="str">
        <f>IF(Table1[[#This Row],[length_of_stay_days]]&gt;7,"Yes","No")</f>
        <v>No</v>
      </c>
    </row>
    <row r="160" spans="1:13" x14ac:dyDescent="0.3">
      <c r="A160" t="s">
        <v>401</v>
      </c>
      <c r="B160">
        <v>49</v>
      </c>
      <c r="C160" t="s">
        <v>12</v>
      </c>
      <c r="D160" t="s">
        <v>55</v>
      </c>
      <c r="E160" t="s">
        <v>21</v>
      </c>
      <c r="F160" t="s">
        <v>402</v>
      </c>
      <c r="G160" t="s">
        <v>68</v>
      </c>
      <c r="H160">
        <v>8</v>
      </c>
      <c r="I160" s="1">
        <v>10594.19</v>
      </c>
      <c r="J160" t="s">
        <v>17</v>
      </c>
      <c r="K160" t="s">
        <v>18</v>
      </c>
      <c r="L160" t="str" cm="1">
        <f t="array" ref="L160">_xlfn.IFS(B160&lt;30,"18-29",B160&lt;45,"30-44",B160&lt;60,"45-59",B160&lt;75,"60-74",B160&lt;=90,"75-90")</f>
        <v>45-59</v>
      </c>
      <c r="M160" t="str">
        <f>IF(Table1[[#This Row],[length_of_stay_days]]&gt;7,"Yes","No")</f>
        <v>Yes</v>
      </c>
    </row>
    <row r="161" spans="1:13" x14ac:dyDescent="0.3">
      <c r="A161" t="s">
        <v>403</v>
      </c>
      <c r="B161">
        <v>37</v>
      </c>
      <c r="C161" t="s">
        <v>12</v>
      </c>
      <c r="D161" t="s">
        <v>13</v>
      </c>
      <c r="E161" t="s">
        <v>28</v>
      </c>
      <c r="F161" t="s">
        <v>121</v>
      </c>
      <c r="G161" t="s">
        <v>61</v>
      </c>
      <c r="H161">
        <v>4</v>
      </c>
      <c r="I161" s="1">
        <v>5865.3</v>
      </c>
      <c r="J161" t="s">
        <v>17</v>
      </c>
      <c r="K161" t="s">
        <v>18</v>
      </c>
      <c r="L161" t="str" cm="1">
        <f t="array" ref="L161">_xlfn.IFS(B161&lt;30,"18-29",B161&lt;45,"30-44",B161&lt;60,"45-59",B161&lt;75,"60-74",B161&lt;=90,"75-90")</f>
        <v>30-44</v>
      </c>
      <c r="M161" t="str">
        <f>IF(Table1[[#This Row],[length_of_stay_days]]&gt;7,"Yes","No")</f>
        <v>No</v>
      </c>
    </row>
    <row r="162" spans="1:13" x14ac:dyDescent="0.3">
      <c r="A162" t="s">
        <v>404</v>
      </c>
      <c r="B162">
        <v>42</v>
      </c>
      <c r="C162" t="s">
        <v>12</v>
      </c>
      <c r="D162" t="s">
        <v>13</v>
      </c>
      <c r="E162" t="s">
        <v>21</v>
      </c>
      <c r="F162" t="s">
        <v>405</v>
      </c>
      <c r="G162" t="s">
        <v>248</v>
      </c>
      <c r="H162">
        <v>4</v>
      </c>
      <c r="I162" s="1">
        <v>6042.05</v>
      </c>
      <c r="J162" t="s">
        <v>17</v>
      </c>
      <c r="K162" t="s">
        <v>18</v>
      </c>
      <c r="L162" t="str" cm="1">
        <f t="array" ref="L162">_xlfn.IFS(B162&lt;30,"18-29",B162&lt;45,"30-44",B162&lt;60,"45-59",B162&lt;75,"60-74",B162&lt;=90,"75-90")</f>
        <v>30-44</v>
      </c>
      <c r="M162" t="str">
        <f>IF(Table1[[#This Row],[length_of_stay_days]]&gt;7,"Yes","No")</f>
        <v>No</v>
      </c>
    </row>
    <row r="163" spans="1:13" x14ac:dyDescent="0.3">
      <c r="A163" t="s">
        <v>406</v>
      </c>
      <c r="B163">
        <v>23</v>
      </c>
      <c r="C163" t="s">
        <v>12</v>
      </c>
      <c r="D163" t="s">
        <v>13</v>
      </c>
      <c r="E163" t="s">
        <v>14</v>
      </c>
      <c r="F163" t="s">
        <v>89</v>
      </c>
      <c r="G163" t="s">
        <v>250</v>
      </c>
      <c r="H163">
        <v>4</v>
      </c>
      <c r="I163" s="1">
        <v>7990.16</v>
      </c>
      <c r="J163" t="s">
        <v>17</v>
      </c>
      <c r="K163" t="s">
        <v>18</v>
      </c>
      <c r="L163" t="str" cm="1">
        <f t="array" ref="L163">_xlfn.IFS(B163&lt;30,"18-29",B163&lt;45,"30-44",B163&lt;60,"45-59",B163&lt;75,"60-74",B163&lt;=90,"75-90")</f>
        <v>18-29</v>
      </c>
      <c r="M163" t="str">
        <f>IF(Table1[[#This Row],[length_of_stay_days]]&gt;7,"Yes","No")</f>
        <v>No</v>
      </c>
    </row>
    <row r="164" spans="1:13" x14ac:dyDescent="0.3">
      <c r="A164" t="s">
        <v>407</v>
      </c>
      <c r="B164">
        <v>52</v>
      </c>
      <c r="C164" t="s">
        <v>20</v>
      </c>
      <c r="D164" t="s">
        <v>55</v>
      </c>
      <c r="E164" t="s">
        <v>28</v>
      </c>
      <c r="F164" t="s">
        <v>29</v>
      </c>
      <c r="G164" t="s">
        <v>408</v>
      </c>
      <c r="H164">
        <v>6</v>
      </c>
      <c r="I164" s="1">
        <v>7997.93</v>
      </c>
      <c r="J164" t="s">
        <v>17</v>
      </c>
      <c r="K164" t="s">
        <v>18</v>
      </c>
      <c r="L164" t="str" cm="1">
        <f t="array" ref="L164">_xlfn.IFS(B164&lt;30,"18-29",B164&lt;45,"30-44",B164&lt;60,"45-59",B164&lt;75,"60-74",B164&lt;=90,"75-90")</f>
        <v>45-59</v>
      </c>
      <c r="M164" t="str">
        <f>IF(Table1[[#This Row],[length_of_stay_days]]&gt;7,"Yes","No")</f>
        <v>No</v>
      </c>
    </row>
    <row r="165" spans="1:13" x14ac:dyDescent="0.3">
      <c r="A165" t="s">
        <v>409</v>
      </c>
      <c r="B165">
        <v>75</v>
      </c>
      <c r="C165" t="s">
        <v>12</v>
      </c>
      <c r="D165" t="s">
        <v>28</v>
      </c>
      <c r="E165" t="s">
        <v>14</v>
      </c>
      <c r="F165" t="s">
        <v>410</v>
      </c>
      <c r="G165" t="s">
        <v>411</v>
      </c>
      <c r="H165">
        <v>2</v>
      </c>
      <c r="I165" s="1">
        <v>4491.53</v>
      </c>
      <c r="J165" t="s">
        <v>17</v>
      </c>
      <c r="K165" t="s">
        <v>18</v>
      </c>
      <c r="L165" t="str" cm="1">
        <f t="array" ref="L165">_xlfn.IFS(B165&lt;30,"18-29",B165&lt;45,"30-44",B165&lt;60,"45-59",B165&lt;75,"60-74",B165&lt;=90,"75-90")</f>
        <v>75-90</v>
      </c>
      <c r="M165" t="str">
        <f>IF(Table1[[#This Row],[length_of_stay_days]]&gt;7,"Yes","No")</f>
        <v>No</v>
      </c>
    </row>
    <row r="166" spans="1:13" x14ac:dyDescent="0.3">
      <c r="A166" t="s">
        <v>412</v>
      </c>
      <c r="B166">
        <v>36</v>
      </c>
      <c r="C166" t="s">
        <v>12</v>
      </c>
      <c r="D166" t="s">
        <v>32</v>
      </c>
      <c r="E166" t="s">
        <v>21</v>
      </c>
      <c r="F166" t="s">
        <v>413</v>
      </c>
      <c r="H166">
        <v>3</v>
      </c>
      <c r="I166" s="1">
        <v>10748.91</v>
      </c>
      <c r="J166" t="s">
        <v>17</v>
      </c>
      <c r="K166" t="s">
        <v>18</v>
      </c>
      <c r="L166" t="str" cm="1">
        <f t="array" ref="L166">_xlfn.IFS(B166&lt;30,"18-29",B166&lt;45,"30-44",B166&lt;60,"45-59",B166&lt;75,"60-74",B166&lt;=90,"75-90")</f>
        <v>30-44</v>
      </c>
      <c r="M166" t="str">
        <f>IF(Table1[[#This Row],[length_of_stay_days]]&gt;7,"Yes","No")</f>
        <v>No</v>
      </c>
    </row>
    <row r="167" spans="1:13" x14ac:dyDescent="0.3">
      <c r="A167" t="s">
        <v>414</v>
      </c>
      <c r="B167">
        <v>86</v>
      </c>
      <c r="C167" t="s">
        <v>20</v>
      </c>
      <c r="D167" t="s">
        <v>32</v>
      </c>
      <c r="E167" t="s">
        <v>14</v>
      </c>
      <c r="F167" t="s">
        <v>415</v>
      </c>
      <c r="G167" t="s">
        <v>64</v>
      </c>
      <c r="H167">
        <v>9</v>
      </c>
      <c r="I167" s="1">
        <v>13568.66</v>
      </c>
      <c r="J167" t="s">
        <v>17</v>
      </c>
      <c r="K167" t="s">
        <v>18</v>
      </c>
      <c r="L167" t="str" cm="1">
        <f t="array" ref="L167">_xlfn.IFS(B167&lt;30,"18-29",B167&lt;45,"30-44",B167&lt;60,"45-59",B167&lt;75,"60-74",B167&lt;=90,"75-90")</f>
        <v>75-90</v>
      </c>
      <c r="M167" t="str">
        <f>IF(Table1[[#This Row],[length_of_stay_days]]&gt;7,"Yes","No")</f>
        <v>Yes</v>
      </c>
    </row>
    <row r="168" spans="1:13" x14ac:dyDescent="0.3">
      <c r="A168" t="s">
        <v>416</v>
      </c>
      <c r="B168">
        <v>58</v>
      </c>
      <c r="C168" t="s">
        <v>12</v>
      </c>
      <c r="D168" t="s">
        <v>28</v>
      </c>
      <c r="E168" t="s">
        <v>14</v>
      </c>
      <c r="F168" t="s">
        <v>364</v>
      </c>
      <c r="G168" t="s">
        <v>121</v>
      </c>
      <c r="H168">
        <v>1</v>
      </c>
      <c r="I168" s="1">
        <v>2732.22</v>
      </c>
      <c r="J168" t="s">
        <v>17</v>
      </c>
      <c r="K168" t="s">
        <v>18</v>
      </c>
      <c r="L168" t="str" cm="1">
        <f t="array" ref="L168">_xlfn.IFS(B168&lt;30,"18-29",B168&lt;45,"30-44",B168&lt;60,"45-59",B168&lt;75,"60-74",B168&lt;=90,"75-90")</f>
        <v>45-59</v>
      </c>
      <c r="M168" t="str">
        <f>IF(Table1[[#This Row],[length_of_stay_days]]&gt;7,"Yes","No")</f>
        <v>No</v>
      </c>
    </row>
    <row r="169" spans="1:13" x14ac:dyDescent="0.3">
      <c r="A169" t="s">
        <v>417</v>
      </c>
      <c r="B169">
        <v>51</v>
      </c>
      <c r="C169" t="s">
        <v>70</v>
      </c>
      <c r="D169" t="s">
        <v>32</v>
      </c>
      <c r="E169" t="s">
        <v>28</v>
      </c>
      <c r="F169" t="s">
        <v>111</v>
      </c>
      <c r="G169" t="s">
        <v>152</v>
      </c>
      <c r="H169">
        <v>7</v>
      </c>
      <c r="I169" s="1">
        <v>13408.53</v>
      </c>
      <c r="J169" t="s">
        <v>17</v>
      </c>
      <c r="K169" t="s">
        <v>18</v>
      </c>
      <c r="L169" t="str" cm="1">
        <f t="array" ref="L169">_xlfn.IFS(B169&lt;30,"18-29",B169&lt;45,"30-44",B169&lt;60,"45-59",B169&lt;75,"60-74",B169&lt;=90,"75-90")</f>
        <v>45-59</v>
      </c>
      <c r="M169" t="str">
        <f>IF(Table1[[#This Row],[length_of_stay_days]]&gt;7,"Yes","No")</f>
        <v>No</v>
      </c>
    </row>
    <row r="170" spans="1:13" x14ac:dyDescent="0.3">
      <c r="A170" t="s">
        <v>418</v>
      </c>
      <c r="B170">
        <v>62</v>
      </c>
      <c r="C170" t="s">
        <v>20</v>
      </c>
      <c r="D170" t="s">
        <v>32</v>
      </c>
      <c r="E170" t="s">
        <v>28</v>
      </c>
      <c r="F170" t="s">
        <v>149</v>
      </c>
      <c r="G170" t="s">
        <v>333</v>
      </c>
      <c r="H170">
        <v>7</v>
      </c>
      <c r="I170" s="1">
        <v>11040.08</v>
      </c>
      <c r="J170" t="s">
        <v>17</v>
      </c>
      <c r="K170" t="s">
        <v>18</v>
      </c>
      <c r="L170" t="str" cm="1">
        <f t="array" ref="L170">_xlfn.IFS(B170&lt;30,"18-29",B170&lt;45,"30-44",B170&lt;60,"45-59",B170&lt;75,"60-74",B170&lt;=90,"75-90")</f>
        <v>60-74</v>
      </c>
      <c r="M170" t="str">
        <f>IF(Table1[[#This Row],[length_of_stay_days]]&gt;7,"Yes","No")</f>
        <v>No</v>
      </c>
    </row>
    <row r="171" spans="1:13" x14ac:dyDescent="0.3">
      <c r="A171" t="s">
        <v>419</v>
      </c>
      <c r="B171">
        <v>43</v>
      </c>
      <c r="C171" t="s">
        <v>20</v>
      </c>
      <c r="D171" t="s">
        <v>51</v>
      </c>
      <c r="E171" t="s">
        <v>21</v>
      </c>
      <c r="F171" t="s">
        <v>364</v>
      </c>
      <c r="G171" t="s">
        <v>42</v>
      </c>
      <c r="H171">
        <v>8</v>
      </c>
      <c r="I171" s="1">
        <v>12504.88</v>
      </c>
      <c r="J171" t="s">
        <v>17</v>
      </c>
      <c r="K171" t="s">
        <v>18</v>
      </c>
      <c r="L171" t="str" cm="1">
        <f t="array" ref="L171">_xlfn.IFS(B171&lt;30,"18-29",B171&lt;45,"30-44",B171&lt;60,"45-59",B171&lt;75,"60-74",B171&lt;=90,"75-90")</f>
        <v>30-44</v>
      </c>
      <c r="M171" t="str">
        <f>IF(Table1[[#This Row],[length_of_stay_days]]&gt;7,"Yes","No")</f>
        <v>Yes</v>
      </c>
    </row>
    <row r="172" spans="1:13" x14ac:dyDescent="0.3">
      <c r="A172" t="s">
        <v>420</v>
      </c>
      <c r="B172">
        <v>87</v>
      </c>
      <c r="C172" t="s">
        <v>12</v>
      </c>
      <c r="D172" t="s">
        <v>51</v>
      </c>
      <c r="E172" t="s">
        <v>28</v>
      </c>
      <c r="F172" t="s">
        <v>421</v>
      </c>
      <c r="G172" t="s">
        <v>422</v>
      </c>
      <c r="H172">
        <v>11</v>
      </c>
      <c r="I172" s="1">
        <v>14191.43</v>
      </c>
      <c r="J172" t="s">
        <v>17</v>
      </c>
      <c r="K172" t="s">
        <v>18</v>
      </c>
      <c r="L172" t="str" cm="1">
        <f t="array" ref="L172">_xlfn.IFS(B172&lt;30,"18-29",B172&lt;45,"30-44",B172&lt;60,"45-59",B172&lt;75,"60-74",B172&lt;=90,"75-90")</f>
        <v>75-90</v>
      </c>
      <c r="M172" t="str">
        <f>IF(Table1[[#This Row],[length_of_stay_days]]&gt;7,"Yes","No")</f>
        <v>Yes</v>
      </c>
    </row>
    <row r="173" spans="1:13" x14ac:dyDescent="0.3">
      <c r="A173" t="s">
        <v>423</v>
      </c>
      <c r="B173">
        <v>30</v>
      </c>
      <c r="C173" t="s">
        <v>12</v>
      </c>
      <c r="D173" t="s">
        <v>55</v>
      </c>
      <c r="E173" t="s">
        <v>28</v>
      </c>
      <c r="F173" t="s">
        <v>261</v>
      </c>
      <c r="G173" t="s">
        <v>288</v>
      </c>
      <c r="H173">
        <v>3</v>
      </c>
      <c r="I173" s="1">
        <v>8123.05</v>
      </c>
      <c r="J173" t="s">
        <v>17</v>
      </c>
      <c r="K173" t="s">
        <v>18</v>
      </c>
      <c r="L173" t="str" cm="1">
        <f t="array" ref="L173">_xlfn.IFS(B173&lt;30,"18-29",B173&lt;45,"30-44",B173&lt;60,"45-59",B173&lt;75,"60-74",B173&lt;=90,"75-90")</f>
        <v>30-44</v>
      </c>
      <c r="M173" t="str">
        <f>IF(Table1[[#This Row],[length_of_stay_days]]&gt;7,"Yes","No")</f>
        <v>No</v>
      </c>
    </row>
    <row r="174" spans="1:13" x14ac:dyDescent="0.3">
      <c r="A174" t="s">
        <v>424</v>
      </c>
      <c r="B174">
        <v>66</v>
      </c>
      <c r="C174" t="s">
        <v>12</v>
      </c>
      <c r="D174" t="s">
        <v>13</v>
      </c>
      <c r="E174" t="s">
        <v>21</v>
      </c>
      <c r="F174" t="s">
        <v>34</v>
      </c>
      <c r="G174" t="s">
        <v>425</v>
      </c>
      <c r="H174">
        <v>5</v>
      </c>
      <c r="I174" s="1">
        <v>8092.56</v>
      </c>
      <c r="J174" t="s">
        <v>17</v>
      </c>
      <c r="K174" t="s">
        <v>18</v>
      </c>
      <c r="L174" t="str" cm="1">
        <f t="array" ref="L174">_xlfn.IFS(B174&lt;30,"18-29",B174&lt;45,"30-44",B174&lt;60,"45-59",B174&lt;75,"60-74",B174&lt;=90,"75-90")</f>
        <v>60-74</v>
      </c>
      <c r="M174" t="str">
        <f>IF(Table1[[#This Row],[length_of_stay_days]]&gt;7,"Yes","No")</f>
        <v>No</v>
      </c>
    </row>
    <row r="175" spans="1:13" x14ac:dyDescent="0.3">
      <c r="A175" t="s">
        <v>426</v>
      </c>
      <c r="B175">
        <v>21</v>
      </c>
      <c r="C175" t="s">
        <v>12</v>
      </c>
      <c r="D175" t="s">
        <v>51</v>
      </c>
      <c r="E175" t="s">
        <v>28</v>
      </c>
      <c r="F175" t="s">
        <v>427</v>
      </c>
      <c r="G175" t="s">
        <v>428</v>
      </c>
      <c r="H175">
        <v>10</v>
      </c>
      <c r="I175" s="1">
        <v>14725.22</v>
      </c>
      <c r="J175" t="s">
        <v>17</v>
      </c>
      <c r="K175" t="s">
        <v>18</v>
      </c>
      <c r="L175" t="str" cm="1">
        <f t="array" ref="L175">_xlfn.IFS(B175&lt;30,"18-29",B175&lt;45,"30-44",B175&lt;60,"45-59",B175&lt;75,"60-74",B175&lt;=90,"75-90")</f>
        <v>18-29</v>
      </c>
      <c r="M175" t="str">
        <f>IF(Table1[[#This Row],[length_of_stay_days]]&gt;7,"Yes","No")</f>
        <v>Yes</v>
      </c>
    </row>
    <row r="176" spans="1:13" x14ac:dyDescent="0.3">
      <c r="A176" t="s">
        <v>429</v>
      </c>
      <c r="B176">
        <v>26</v>
      </c>
      <c r="C176" t="s">
        <v>20</v>
      </c>
      <c r="D176" t="s">
        <v>55</v>
      </c>
      <c r="E176" t="s">
        <v>21</v>
      </c>
      <c r="F176" t="s">
        <v>430</v>
      </c>
      <c r="G176" t="s">
        <v>234</v>
      </c>
      <c r="H176">
        <v>2</v>
      </c>
      <c r="I176" s="1">
        <v>9153.56</v>
      </c>
      <c r="J176" t="s">
        <v>17</v>
      </c>
      <c r="K176" t="s">
        <v>18</v>
      </c>
      <c r="L176" t="str" cm="1">
        <f t="array" ref="L176">_xlfn.IFS(B176&lt;30,"18-29",B176&lt;45,"30-44",B176&lt;60,"45-59",B176&lt;75,"60-74",B176&lt;=90,"75-90")</f>
        <v>18-29</v>
      </c>
      <c r="M176" t="str">
        <f>IF(Table1[[#This Row],[length_of_stay_days]]&gt;7,"Yes","No")</f>
        <v>No</v>
      </c>
    </row>
    <row r="177" spans="1:13" x14ac:dyDescent="0.3">
      <c r="A177" t="s">
        <v>431</v>
      </c>
      <c r="B177">
        <v>40</v>
      </c>
      <c r="C177" t="s">
        <v>20</v>
      </c>
      <c r="D177" t="s">
        <v>13</v>
      </c>
      <c r="E177" t="s">
        <v>28</v>
      </c>
      <c r="F177" t="s">
        <v>282</v>
      </c>
      <c r="G177" t="s">
        <v>203</v>
      </c>
      <c r="H177">
        <v>2</v>
      </c>
      <c r="I177" s="1">
        <v>3484.27</v>
      </c>
      <c r="J177" t="s">
        <v>17</v>
      </c>
      <c r="K177" t="s">
        <v>18</v>
      </c>
      <c r="L177" t="str" cm="1">
        <f t="array" ref="L177">_xlfn.IFS(B177&lt;30,"18-29",B177&lt;45,"30-44",B177&lt;60,"45-59",B177&lt;75,"60-74",B177&lt;=90,"75-90")</f>
        <v>30-44</v>
      </c>
      <c r="M177" t="str">
        <f>IF(Table1[[#This Row],[length_of_stay_days]]&gt;7,"Yes","No")</f>
        <v>No</v>
      </c>
    </row>
    <row r="178" spans="1:13" x14ac:dyDescent="0.3">
      <c r="A178" t="s">
        <v>432</v>
      </c>
      <c r="B178">
        <v>86</v>
      </c>
      <c r="C178" t="s">
        <v>20</v>
      </c>
      <c r="D178" t="s">
        <v>13</v>
      </c>
      <c r="E178" t="s">
        <v>21</v>
      </c>
      <c r="F178" t="s">
        <v>433</v>
      </c>
      <c r="G178" t="s">
        <v>434</v>
      </c>
      <c r="H178">
        <v>9</v>
      </c>
      <c r="I178" s="1">
        <v>8126.71</v>
      </c>
      <c r="J178" t="s">
        <v>17</v>
      </c>
      <c r="K178" t="s">
        <v>18</v>
      </c>
      <c r="L178" t="str" cm="1">
        <f t="array" ref="L178">_xlfn.IFS(B178&lt;30,"18-29",B178&lt;45,"30-44",B178&lt;60,"45-59",B178&lt;75,"60-74",B178&lt;=90,"75-90")</f>
        <v>75-90</v>
      </c>
      <c r="M178" t="str">
        <f>IF(Table1[[#This Row],[length_of_stay_days]]&gt;7,"Yes","No")</f>
        <v>Yes</v>
      </c>
    </row>
    <row r="179" spans="1:13" x14ac:dyDescent="0.3">
      <c r="A179" t="s">
        <v>435</v>
      </c>
      <c r="B179">
        <v>70</v>
      </c>
      <c r="C179" t="s">
        <v>12</v>
      </c>
      <c r="D179" t="s">
        <v>46</v>
      </c>
      <c r="E179" t="s">
        <v>28</v>
      </c>
      <c r="F179" t="s">
        <v>137</v>
      </c>
      <c r="G179" t="s">
        <v>436</v>
      </c>
      <c r="H179">
        <v>9</v>
      </c>
      <c r="I179" s="1">
        <v>13776.6</v>
      </c>
      <c r="J179" t="s">
        <v>17</v>
      </c>
      <c r="K179" t="s">
        <v>18</v>
      </c>
      <c r="L179" t="str" cm="1">
        <f t="array" ref="L179">_xlfn.IFS(B179&lt;30,"18-29",B179&lt;45,"30-44",B179&lt;60,"45-59",B179&lt;75,"60-74",B179&lt;=90,"75-90")</f>
        <v>60-74</v>
      </c>
      <c r="M179" t="str">
        <f>IF(Table1[[#This Row],[length_of_stay_days]]&gt;7,"Yes","No")</f>
        <v>Yes</v>
      </c>
    </row>
    <row r="180" spans="1:13" x14ac:dyDescent="0.3">
      <c r="A180" t="s">
        <v>437</v>
      </c>
      <c r="B180">
        <v>44</v>
      </c>
      <c r="C180" t="s">
        <v>12</v>
      </c>
      <c r="D180" t="s">
        <v>32</v>
      </c>
      <c r="E180" t="s">
        <v>14</v>
      </c>
      <c r="F180" t="s">
        <v>348</v>
      </c>
      <c r="G180" t="s">
        <v>388</v>
      </c>
      <c r="H180">
        <v>5</v>
      </c>
      <c r="I180" s="1">
        <v>10474.58</v>
      </c>
      <c r="J180" t="s">
        <v>49</v>
      </c>
      <c r="K180" t="s">
        <v>18</v>
      </c>
      <c r="L180" t="str" cm="1">
        <f t="array" ref="L180">_xlfn.IFS(B180&lt;30,"18-29",B180&lt;45,"30-44",B180&lt;60,"45-59",B180&lt;75,"60-74",B180&lt;=90,"75-90")</f>
        <v>30-44</v>
      </c>
      <c r="M180" t="str">
        <f>IF(Table1[[#This Row],[length_of_stay_days]]&gt;7,"Yes","No")</f>
        <v>No</v>
      </c>
    </row>
    <row r="181" spans="1:13" x14ac:dyDescent="0.3">
      <c r="A181" t="s">
        <v>438</v>
      </c>
      <c r="B181">
        <v>48</v>
      </c>
      <c r="C181" t="s">
        <v>20</v>
      </c>
      <c r="D181" t="s">
        <v>55</v>
      </c>
      <c r="E181" t="s">
        <v>28</v>
      </c>
      <c r="F181" t="s">
        <v>68</v>
      </c>
      <c r="G181" t="s">
        <v>344</v>
      </c>
      <c r="H181">
        <v>3</v>
      </c>
      <c r="I181" s="1">
        <v>8842.61</v>
      </c>
      <c r="J181" t="s">
        <v>17</v>
      </c>
      <c r="K181" t="s">
        <v>18</v>
      </c>
      <c r="L181" t="str" cm="1">
        <f t="array" ref="L181">_xlfn.IFS(B181&lt;30,"18-29",B181&lt;45,"30-44",B181&lt;60,"45-59",B181&lt;75,"60-74",B181&lt;=90,"75-90")</f>
        <v>45-59</v>
      </c>
      <c r="M181" t="str">
        <f>IF(Table1[[#This Row],[length_of_stay_days]]&gt;7,"Yes","No")</f>
        <v>No</v>
      </c>
    </row>
    <row r="182" spans="1:13" x14ac:dyDescent="0.3">
      <c r="A182" t="s">
        <v>439</v>
      </c>
      <c r="B182">
        <v>42</v>
      </c>
      <c r="C182" t="s">
        <v>12</v>
      </c>
      <c r="D182" t="s">
        <v>28</v>
      </c>
      <c r="E182" t="s">
        <v>28</v>
      </c>
      <c r="F182" t="s">
        <v>440</v>
      </c>
      <c r="G182" t="s">
        <v>201</v>
      </c>
      <c r="H182">
        <v>4</v>
      </c>
      <c r="I182" s="1">
        <v>3772.83</v>
      </c>
      <c r="J182" t="s">
        <v>17</v>
      </c>
      <c r="K182" t="s">
        <v>18</v>
      </c>
      <c r="L182" t="str" cm="1">
        <f t="array" ref="L182">_xlfn.IFS(B182&lt;30,"18-29",B182&lt;45,"30-44",B182&lt;60,"45-59",B182&lt;75,"60-74",B182&lt;=90,"75-90")</f>
        <v>30-44</v>
      </c>
      <c r="M182" t="str">
        <f>IF(Table1[[#This Row],[length_of_stay_days]]&gt;7,"Yes","No")</f>
        <v>No</v>
      </c>
    </row>
    <row r="183" spans="1:13" x14ac:dyDescent="0.3">
      <c r="A183" t="s">
        <v>441</v>
      </c>
      <c r="B183">
        <v>33</v>
      </c>
      <c r="C183" t="s">
        <v>12</v>
      </c>
      <c r="D183" t="s">
        <v>55</v>
      </c>
      <c r="E183" t="s">
        <v>28</v>
      </c>
      <c r="F183" t="s">
        <v>124</v>
      </c>
      <c r="G183" t="s">
        <v>127</v>
      </c>
      <c r="H183">
        <v>7</v>
      </c>
      <c r="I183" s="1">
        <v>7977.87</v>
      </c>
      <c r="J183" t="s">
        <v>17</v>
      </c>
      <c r="K183" t="s">
        <v>18</v>
      </c>
      <c r="L183" t="str" cm="1">
        <f t="array" ref="L183">_xlfn.IFS(B183&lt;30,"18-29",B183&lt;45,"30-44",B183&lt;60,"45-59",B183&lt;75,"60-74",B183&lt;=90,"75-90")</f>
        <v>30-44</v>
      </c>
      <c r="M183" t="str">
        <f>IF(Table1[[#This Row],[length_of_stay_days]]&gt;7,"Yes","No")</f>
        <v>No</v>
      </c>
    </row>
    <row r="184" spans="1:13" x14ac:dyDescent="0.3">
      <c r="A184" t="s">
        <v>442</v>
      </c>
      <c r="B184">
        <v>78</v>
      </c>
      <c r="C184" t="s">
        <v>20</v>
      </c>
      <c r="D184" t="s">
        <v>13</v>
      </c>
      <c r="E184" t="s">
        <v>28</v>
      </c>
      <c r="F184" t="s">
        <v>443</v>
      </c>
      <c r="G184" t="s">
        <v>428</v>
      </c>
      <c r="H184">
        <v>8</v>
      </c>
      <c r="I184" s="1">
        <v>10441.59</v>
      </c>
      <c r="J184" t="s">
        <v>17</v>
      </c>
      <c r="K184" t="s">
        <v>18</v>
      </c>
      <c r="L184" t="str" cm="1">
        <f t="array" ref="L184">_xlfn.IFS(B184&lt;30,"18-29",B184&lt;45,"30-44",B184&lt;60,"45-59",B184&lt;75,"60-74",B184&lt;=90,"75-90")</f>
        <v>75-90</v>
      </c>
      <c r="M184" t="str">
        <f>IF(Table1[[#This Row],[length_of_stay_days]]&gt;7,"Yes","No")</f>
        <v>Yes</v>
      </c>
    </row>
    <row r="185" spans="1:13" x14ac:dyDescent="0.3">
      <c r="A185" t="s">
        <v>444</v>
      </c>
      <c r="B185">
        <v>64</v>
      </c>
      <c r="C185" t="s">
        <v>20</v>
      </c>
      <c r="D185" t="s">
        <v>28</v>
      </c>
      <c r="E185" t="s">
        <v>28</v>
      </c>
      <c r="F185" t="s">
        <v>106</v>
      </c>
      <c r="G185" t="s">
        <v>177</v>
      </c>
      <c r="H185">
        <v>4</v>
      </c>
      <c r="I185" s="1">
        <v>3922.92</v>
      </c>
      <c r="J185" t="s">
        <v>17</v>
      </c>
      <c r="K185" t="s">
        <v>18</v>
      </c>
      <c r="L185" t="str" cm="1">
        <f t="array" ref="L185">_xlfn.IFS(B185&lt;30,"18-29",B185&lt;45,"30-44",B185&lt;60,"45-59",B185&lt;75,"60-74",B185&lt;=90,"75-90")</f>
        <v>60-74</v>
      </c>
      <c r="M185" t="str">
        <f>IF(Table1[[#This Row],[length_of_stay_days]]&gt;7,"Yes","No")</f>
        <v>No</v>
      </c>
    </row>
    <row r="186" spans="1:13" x14ac:dyDescent="0.3">
      <c r="A186" t="s">
        <v>445</v>
      </c>
      <c r="B186">
        <v>19</v>
      </c>
      <c r="C186" t="s">
        <v>20</v>
      </c>
      <c r="D186" t="s">
        <v>28</v>
      </c>
      <c r="E186" t="s">
        <v>14</v>
      </c>
      <c r="F186" t="s">
        <v>148</v>
      </c>
      <c r="G186" t="s">
        <v>184</v>
      </c>
      <c r="H186">
        <v>2</v>
      </c>
      <c r="I186" s="1">
        <v>3934.2</v>
      </c>
      <c r="J186" t="s">
        <v>17</v>
      </c>
      <c r="K186" t="s">
        <v>18</v>
      </c>
      <c r="L186" t="str" cm="1">
        <f t="array" ref="L186">_xlfn.IFS(B186&lt;30,"18-29",B186&lt;45,"30-44",B186&lt;60,"45-59",B186&lt;75,"60-74",B186&lt;=90,"75-90")</f>
        <v>18-29</v>
      </c>
      <c r="M186" t="str">
        <f>IF(Table1[[#This Row],[length_of_stay_days]]&gt;7,"Yes","No")</f>
        <v>No</v>
      </c>
    </row>
    <row r="187" spans="1:13" x14ac:dyDescent="0.3">
      <c r="A187" t="s">
        <v>446</v>
      </c>
      <c r="B187">
        <v>71</v>
      </c>
      <c r="C187" t="s">
        <v>20</v>
      </c>
      <c r="D187" t="s">
        <v>32</v>
      </c>
      <c r="E187" t="s">
        <v>28</v>
      </c>
      <c r="F187" t="s">
        <v>410</v>
      </c>
      <c r="G187" t="s">
        <v>447</v>
      </c>
      <c r="H187">
        <v>9</v>
      </c>
      <c r="I187" s="1">
        <v>8990.65</v>
      </c>
      <c r="J187" t="s">
        <v>17</v>
      </c>
      <c r="K187" t="s">
        <v>18</v>
      </c>
      <c r="L187" t="str" cm="1">
        <f t="array" ref="L187">_xlfn.IFS(B187&lt;30,"18-29",B187&lt;45,"30-44",B187&lt;60,"45-59",B187&lt;75,"60-74",B187&lt;=90,"75-90")</f>
        <v>60-74</v>
      </c>
      <c r="M187" t="str">
        <f>IF(Table1[[#This Row],[length_of_stay_days]]&gt;7,"Yes","No")</f>
        <v>Yes</v>
      </c>
    </row>
    <row r="188" spans="1:13" x14ac:dyDescent="0.3">
      <c r="A188" t="s">
        <v>448</v>
      </c>
      <c r="B188">
        <v>65</v>
      </c>
      <c r="C188" t="s">
        <v>20</v>
      </c>
      <c r="D188" t="s">
        <v>55</v>
      </c>
      <c r="E188" t="s">
        <v>14</v>
      </c>
      <c r="F188" t="s">
        <v>109</v>
      </c>
      <c r="G188" t="s">
        <v>449</v>
      </c>
      <c r="H188">
        <v>4</v>
      </c>
      <c r="I188" s="1">
        <v>8809.7999999999993</v>
      </c>
      <c r="J188" t="s">
        <v>17</v>
      </c>
      <c r="K188" t="s">
        <v>18</v>
      </c>
      <c r="L188" t="str" cm="1">
        <f t="array" ref="L188">_xlfn.IFS(B188&lt;30,"18-29",B188&lt;45,"30-44",B188&lt;60,"45-59",B188&lt;75,"60-74",B188&lt;=90,"75-90")</f>
        <v>60-74</v>
      </c>
      <c r="M188" t="str">
        <f>IF(Table1[[#This Row],[length_of_stay_days]]&gt;7,"Yes","No")</f>
        <v>No</v>
      </c>
    </row>
    <row r="189" spans="1:13" x14ac:dyDescent="0.3">
      <c r="A189" t="s">
        <v>450</v>
      </c>
      <c r="B189">
        <v>71</v>
      </c>
      <c r="C189" t="s">
        <v>20</v>
      </c>
      <c r="D189" t="s">
        <v>13</v>
      </c>
      <c r="E189" t="s">
        <v>28</v>
      </c>
      <c r="F189" t="s">
        <v>451</v>
      </c>
      <c r="G189" t="s">
        <v>350</v>
      </c>
      <c r="H189">
        <v>9</v>
      </c>
      <c r="I189" s="1">
        <v>8450.6200000000008</v>
      </c>
      <c r="J189" t="s">
        <v>49</v>
      </c>
      <c r="K189" t="s">
        <v>18</v>
      </c>
      <c r="L189" t="str" cm="1">
        <f t="array" ref="L189">_xlfn.IFS(B189&lt;30,"18-29",B189&lt;45,"30-44",B189&lt;60,"45-59",B189&lt;75,"60-74",B189&lt;=90,"75-90")</f>
        <v>60-74</v>
      </c>
      <c r="M189" t="str">
        <f>IF(Table1[[#This Row],[length_of_stay_days]]&gt;7,"Yes","No")</f>
        <v>Yes</v>
      </c>
    </row>
    <row r="190" spans="1:13" x14ac:dyDescent="0.3">
      <c r="A190" t="s">
        <v>452</v>
      </c>
      <c r="B190">
        <v>67</v>
      </c>
      <c r="C190" t="s">
        <v>12</v>
      </c>
      <c r="D190" t="s">
        <v>55</v>
      </c>
      <c r="E190" t="s">
        <v>28</v>
      </c>
      <c r="F190" t="s">
        <v>453</v>
      </c>
      <c r="G190" t="s">
        <v>454</v>
      </c>
      <c r="H190">
        <v>7</v>
      </c>
      <c r="I190" s="1">
        <v>7208.62</v>
      </c>
      <c r="J190" t="s">
        <v>49</v>
      </c>
      <c r="K190" t="s">
        <v>223</v>
      </c>
      <c r="L190" t="str" cm="1">
        <f t="array" ref="L190">_xlfn.IFS(B190&lt;30,"18-29",B190&lt;45,"30-44",B190&lt;60,"45-59",B190&lt;75,"60-74",B190&lt;=90,"75-90")</f>
        <v>60-74</v>
      </c>
      <c r="M190" t="str">
        <f>IF(Table1[[#This Row],[length_of_stay_days]]&gt;7,"Yes","No")</f>
        <v>No</v>
      </c>
    </row>
    <row r="191" spans="1:13" x14ac:dyDescent="0.3">
      <c r="A191" t="s">
        <v>455</v>
      </c>
      <c r="B191">
        <v>80</v>
      </c>
      <c r="C191" t="s">
        <v>20</v>
      </c>
      <c r="D191" t="s">
        <v>46</v>
      </c>
      <c r="E191" t="s">
        <v>28</v>
      </c>
      <c r="F191" t="s">
        <v>456</v>
      </c>
      <c r="G191" t="s">
        <v>428</v>
      </c>
      <c r="H191">
        <v>9</v>
      </c>
      <c r="I191" s="1">
        <v>14915.35</v>
      </c>
      <c r="J191" t="s">
        <v>17</v>
      </c>
      <c r="K191" t="s">
        <v>18</v>
      </c>
      <c r="L191" t="str" cm="1">
        <f t="array" ref="L191">_xlfn.IFS(B191&lt;30,"18-29",B191&lt;45,"30-44",B191&lt;60,"45-59",B191&lt;75,"60-74",B191&lt;=90,"75-90")</f>
        <v>75-90</v>
      </c>
      <c r="M191" t="str">
        <f>IF(Table1[[#This Row],[length_of_stay_days]]&gt;7,"Yes","No")</f>
        <v>Yes</v>
      </c>
    </row>
    <row r="192" spans="1:13" x14ac:dyDescent="0.3">
      <c r="A192" t="s">
        <v>457</v>
      </c>
      <c r="B192">
        <v>46</v>
      </c>
      <c r="C192" t="s">
        <v>12</v>
      </c>
      <c r="D192" t="s">
        <v>55</v>
      </c>
      <c r="E192" t="s">
        <v>14</v>
      </c>
      <c r="F192" t="s">
        <v>458</v>
      </c>
      <c r="G192" t="s">
        <v>99</v>
      </c>
      <c r="H192">
        <v>1</v>
      </c>
      <c r="I192" s="1">
        <v>4591.16</v>
      </c>
      <c r="J192" t="s">
        <v>17</v>
      </c>
      <c r="K192" t="s">
        <v>18</v>
      </c>
      <c r="L192" t="str" cm="1">
        <f t="array" ref="L192">_xlfn.IFS(B192&lt;30,"18-29",B192&lt;45,"30-44",B192&lt;60,"45-59",B192&lt;75,"60-74",B192&lt;=90,"75-90")</f>
        <v>45-59</v>
      </c>
      <c r="M192" t="str">
        <f>IF(Table1[[#This Row],[length_of_stay_days]]&gt;7,"Yes","No")</f>
        <v>No</v>
      </c>
    </row>
    <row r="193" spans="1:13" x14ac:dyDescent="0.3">
      <c r="A193" t="s">
        <v>459</v>
      </c>
      <c r="B193">
        <v>35</v>
      </c>
      <c r="C193" t="s">
        <v>12</v>
      </c>
      <c r="D193" t="s">
        <v>46</v>
      </c>
      <c r="E193" t="s">
        <v>14</v>
      </c>
      <c r="F193" t="s">
        <v>460</v>
      </c>
      <c r="G193" t="s">
        <v>363</v>
      </c>
      <c r="H193">
        <v>5</v>
      </c>
      <c r="I193" s="1">
        <v>10552.66</v>
      </c>
      <c r="J193" t="s">
        <v>17</v>
      </c>
      <c r="K193" t="s">
        <v>44</v>
      </c>
      <c r="L193" t="str" cm="1">
        <f t="array" ref="L193">_xlfn.IFS(B193&lt;30,"18-29",B193&lt;45,"30-44",B193&lt;60,"45-59",B193&lt;75,"60-74",B193&lt;=90,"75-90")</f>
        <v>30-44</v>
      </c>
      <c r="M193" t="str">
        <f>IF(Table1[[#This Row],[length_of_stay_days]]&gt;7,"Yes","No")</f>
        <v>No</v>
      </c>
    </row>
    <row r="194" spans="1:13" x14ac:dyDescent="0.3">
      <c r="A194" t="s">
        <v>461</v>
      </c>
      <c r="B194">
        <v>79</v>
      </c>
      <c r="C194" t="s">
        <v>12</v>
      </c>
      <c r="D194" t="s">
        <v>28</v>
      </c>
      <c r="E194" t="s">
        <v>14</v>
      </c>
      <c r="F194" t="s">
        <v>462</v>
      </c>
      <c r="G194" t="s">
        <v>463</v>
      </c>
      <c r="H194">
        <v>6</v>
      </c>
      <c r="I194" s="1">
        <v>6619.8</v>
      </c>
      <c r="J194" t="s">
        <v>17</v>
      </c>
      <c r="K194" t="s">
        <v>223</v>
      </c>
      <c r="L194" t="str" cm="1">
        <f t="array" ref="L194">_xlfn.IFS(B194&lt;30,"18-29",B194&lt;45,"30-44",B194&lt;60,"45-59",B194&lt;75,"60-74",B194&lt;=90,"75-90")</f>
        <v>75-90</v>
      </c>
      <c r="M194" t="str">
        <f>IF(Table1[[#This Row],[length_of_stay_days]]&gt;7,"Yes","No")</f>
        <v>No</v>
      </c>
    </row>
    <row r="195" spans="1:13" x14ac:dyDescent="0.3">
      <c r="A195" t="s">
        <v>464</v>
      </c>
      <c r="B195">
        <v>31</v>
      </c>
      <c r="C195" t="s">
        <v>20</v>
      </c>
      <c r="D195" t="s">
        <v>13</v>
      </c>
      <c r="E195" t="s">
        <v>28</v>
      </c>
      <c r="F195" t="s">
        <v>235</v>
      </c>
      <c r="G195" t="s">
        <v>465</v>
      </c>
      <c r="H195">
        <v>7</v>
      </c>
      <c r="I195" s="1">
        <v>9106.2999999999993</v>
      </c>
      <c r="J195" t="s">
        <v>17</v>
      </c>
      <c r="K195" t="s">
        <v>18</v>
      </c>
      <c r="L195" t="str" cm="1">
        <f t="array" ref="L195">_xlfn.IFS(B195&lt;30,"18-29",B195&lt;45,"30-44",B195&lt;60,"45-59",B195&lt;75,"60-74",B195&lt;=90,"75-90")</f>
        <v>30-44</v>
      </c>
      <c r="M195" t="str">
        <f>IF(Table1[[#This Row],[length_of_stay_days]]&gt;7,"Yes","No")</f>
        <v>No</v>
      </c>
    </row>
    <row r="196" spans="1:13" x14ac:dyDescent="0.3">
      <c r="A196" t="s">
        <v>466</v>
      </c>
      <c r="B196">
        <v>71</v>
      </c>
      <c r="C196" t="s">
        <v>20</v>
      </c>
      <c r="D196" t="s">
        <v>51</v>
      </c>
      <c r="E196" t="s">
        <v>21</v>
      </c>
      <c r="F196" t="s">
        <v>467</v>
      </c>
      <c r="H196">
        <v>6</v>
      </c>
      <c r="I196" s="1">
        <v>11107.17</v>
      </c>
      <c r="J196" t="s">
        <v>17</v>
      </c>
      <c r="K196" t="s">
        <v>18</v>
      </c>
      <c r="L196" t="str" cm="1">
        <f t="array" ref="L196">_xlfn.IFS(B196&lt;30,"18-29",B196&lt;45,"30-44",B196&lt;60,"45-59",B196&lt;75,"60-74",B196&lt;=90,"75-90")</f>
        <v>60-74</v>
      </c>
      <c r="M196" t="str">
        <f>IF(Table1[[#This Row],[length_of_stay_days]]&gt;7,"Yes","No")</f>
        <v>No</v>
      </c>
    </row>
    <row r="197" spans="1:13" x14ac:dyDescent="0.3">
      <c r="A197" t="s">
        <v>468</v>
      </c>
      <c r="B197">
        <v>62</v>
      </c>
      <c r="C197" t="s">
        <v>20</v>
      </c>
      <c r="D197" t="s">
        <v>28</v>
      </c>
      <c r="E197" t="s">
        <v>21</v>
      </c>
      <c r="F197" t="s">
        <v>469</v>
      </c>
      <c r="G197" t="s">
        <v>166</v>
      </c>
      <c r="H197">
        <v>2</v>
      </c>
      <c r="I197" s="1">
        <v>5307.23</v>
      </c>
      <c r="J197" t="s">
        <v>49</v>
      </c>
      <c r="K197" t="s">
        <v>18</v>
      </c>
      <c r="L197" t="str" cm="1">
        <f t="array" ref="L197">_xlfn.IFS(B197&lt;30,"18-29",B197&lt;45,"30-44",B197&lt;60,"45-59",B197&lt;75,"60-74",B197&lt;=90,"75-90")</f>
        <v>60-74</v>
      </c>
      <c r="M197" t="str">
        <f>IF(Table1[[#This Row],[length_of_stay_days]]&gt;7,"Yes","No")</f>
        <v>No</v>
      </c>
    </row>
    <row r="198" spans="1:13" x14ac:dyDescent="0.3">
      <c r="A198" t="s">
        <v>470</v>
      </c>
      <c r="B198">
        <v>28</v>
      </c>
      <c r="C198" t="s">
        <v>12</v>
      </c>
      <c r="D198" t="s">
        <v>55</v>
      </c>
      <c r="E198" t="s">
        <v>21</v>
      </c>
      <c r="F198" t="s">
        <v>471</v>
      </c>
      <c r="G198" t="s">
        <v>472</v>
      </c>
      <c r="H198">
        <v>5</v>
      </c>
      <c r="I198" s="1">
        <v>9069.91</v>
      </c>
      <c r="J198" t="s">
        <v>17</v>
      </c>
      <c r="K198" t="s">
        <v>18</v>
      </c>
      <c r="L198" t="str" cm="1">
        <f t="array" ref="L198">_xlfn.IFS(B198&lt;30,"18-29",B198&lt;45,"30-44",B198&lt;60,"45-59",B198&lt;75,"60-74",B198&lt;=90,"75-90")</f>
        <v>18-29</v>
      </c>
      <c r="M198" t="str">
        <f>IF(Table1[[#This Row],[length_of_stay_days]]&gt;7,"Yes","No")</f>
        <v>No</v>
      </c>
    </row>
    <row r="199" spans="1:13" x14ac:dyDescent="0.3">
      <c r="A199" t="s">
        <v>473</v>
      </c>
      <c r="B199">
        <v>59</v>
      </c>
      <c r="C199" t="s">
        <v>12</v>
      </c>
      <c r="D199" t="s">
        <v>32</v>
      </c>
      <c r="E199" t="s">
        <v>28</v>
      </c>
      <c r="F199" t="s">
        <v>292</v>
      </c>
      <c r="G199" t="s">
        <v>474</v>
      </c>
      <c r="H199">
        <v>8</v>
      </c>
      <c r="I199" s="1">
        <v>9558.9599999999991</v>
      </c>
      <c r="J199" t="s">
        <v>17</v>
      </c>
      <c r="K199" t="s">
        <v>18</v>
      </c>
      <c r="L199" t="str" cm="1">
        <f t="array" ref="L199">_xlfn.IFS(B199&lt;30,"18-29",B199&lt;45,"30-44",B199&lt;60,"45-59",B199&lt;75,"60-74",B199&lt;=90,"75-90")</f>
        <v>45-59</v>
      </c>
      <c r="M199" t="str">
        <f>IF(Table1[[#This Row],[length_of_stay_days]]&gt;7,"Yes","No")</f>
        <v>Yes</v>
      </c>
    </row>
    <row r="200" spans="1:13" x14ac:dyDescent="0.3">
      <c r="A200" t="s">
        <v>475</v>
      </c>
      <c r="B200">
        <v>23</v>
      </c>
      <c r="C200" t="s">
        <v>20</v>
      </c>
      <c r="D200" t="s">
        <v>46</v>
      </c>
      <c r="E200" t="s">
        <v>28</v>
      </c>
      <c r="F200" t="s">
        <v>328</v>
      </c>
      <c r="G200" t="s">
        <v>288</v>
      </c>
      <c r="H200">
        <v>6</v>
      </c>
      <c r="I200" s="1">
        <v>12784.39</v>
      </c>
      <c r="J200" t="s">
        <v>17</v>
      </c>
      <c r="K200" t="s">
        <v>18</v>
      </c>
      <c r="L200" t="str" cm="1">
        <f t="array" ref="L200">_xlfn.IFS(B200&lt;30,"18-29",B200&lt;45,"30-44",B200&lt;60,"45-59",B200&lt;75,"60-74",B200&lt;=90,"75-90")</f>
        <v>18-29</v>
      </c>
      <c r="M200" t="str">
        <f>IF(Table1[[#This Row],[length_of_stay_days]]&gt;7,"Yes","No")</f>
        <v>No</v>
      </c>
    </row>
    <row r="201" spans="1:13" x14ac:dyDescent="0.3">
      <c r="A201" t="s">
        <v>476</v>
      </c>
      <c r="B201">
        <v>74</v>
      </c>
      <c r="C201" t="s">
        <v>20</v>
      </c>
      <c r="D201" t="s">
        <v>55</v>
      </c>
      <c r="E201" t="s">
        <v>28</v>
      </c>
      <c r="F201" t="s">
        <v>68</v>
      </c>
      <c r="G201" t="s">
        <v>64</v>
      </c>
      <c r="H201">
        <v>4</v>
      </c>
      <c r="I201" s="1">
        <v>7935.3</v>
      </c>
      <c r="J201" t="s">
        <v>49</v>
      </c>
      <c r="K201" t="s">
        <v>223</v>
      </c>
      <c r="L201" t="str" cm="1">
        <f t="array" ref="L201">_xlfn.IFS(B201&lt;30,"18-29",B201&lt;45,"30-44",B201&lt;60,"45-59",B201&lt;75,"60-74",B201&lt;=90,"75-90")</f>
        <v>60-74</v>
      </c>
      <c r="M201" t="str">
        <f>IF(Table1[[#This Row],[length_of_stay_days]]&gt;7,"Yes","No")</f>
        <v>No</v>
      </c>
    </row>
    <row r="202" spans="1:13" x14ac:dyDescent="0.3">
      <c r="A202" t="s">
        <v>477</v>
      </c>
      <c r="B202">
        <v>90</v>
      </c>
      <c r="C202" t="s">
        <v>12</v>
      </c>
      <c r="D202" t="s">
        <v>13</v>
      </c>
      <c r="E202" t="s">
        <v>28</v>
      </c>
      <c r="F202" t="s">
        <v>478</v>
      </c>
      <c r="G202" t="s">
        <v>189</v>
      </c>
      <c r="H202">
        <v>6</v>
      </c>
      <c r="I202" s="1">
        <v>7692.53</v>
      </c>
      <c r="J202" t="s">
        <v>17</v>
      </c>
      <c r="K202" t="s">
        <v>18</v>
      </c>
      <c r="L202" t="str" cm="1">
        <f t="array" ref="L202">_xlfn.IFS(B202&lt;30,"18-29",B202&lt;45,"30-44",B202&lt;60,"45-59",B202&lt;75,"60-74",B202&lt;=90,"75-90")</f>
        <v>75-90</v>
      </c>
      <c r="M202" t="str">
        <f>IF(Table1[[#This Row],[length_of_stay_days]]&gt;7,"Yes","No")</f>
        <v>No</v>
      </c>
    </row>
    <row r="203" spans="1:13" x14ac:dyDescent="0.3">
      <c r="A203" t="s">
        <v>479</v>
      </c>
      <c r="B203">
        <v>83</v>
      </c>
      <c r="C203" t="s">
        <v>20</v>
      </c>
      <c r="D203" t="s">
        <v>28</v>
      </c>
      <c r="E203" t="s">
        <v>28</v>
      </c>
      <c r="F203" t="s">
        <v>78</v>
      </c>
      <c r="G203" t="s">
        <v>148</v>
      </c>
      <c r="H203">
        <v>5</v>
      </c>
      <c r="I203" s="1">
        <v>6903.72</v>
      </c>
      <c r="J203" t="s">
        <v>49</v>
      </c>
      <c r="K203" t="s">
        <v>18</v>
      </c>
      <c r="L203" t="str" cm="1">
        <f t="array" ref="L203">_xlfn.IFS(B203&lt;30,"18-29",B203&lt;45,"30-44",B203&lt;60,"45-59",B203&lt;75,"60-74",B203&lt;=90,"75-90")</f>
        <v>75-90</v>
      </c>
      <c r="M203" t="str">
        <f>IF(Table1[[#This Row],[length_of_stay_days]]&gt;7,"Yes","No")</f>
        <v>No</v>
      </c>
    </row>
    <row r="204" spans="1:13" x14ac:dyDescent="0.3">
      <c r="A204" t="s">
        <v>480</v>
      </c>
      <c r="B204">
        <v>80</v>
      </c>
      <c r="C204" t="s">
        <v>12</v>
      </c>
      <c r="D204" t="s">
        <v>55</v>
      </c>
      <c r="E204" t="s">
        <v>21</v>
      </c>
      <c r="F204" t="s">
        <v>481</v>
      </c>
      <c r="G204" t="s">
        <v>241</v>
      </c>
      <c r="H204">
        <v>4</v>
      </c>
      <c r="I204" s="1">
        <v>9127.89</v>
      </c>
      <c r="J204" t="s">
        <v>17</v>
      </c>
      <c r="K204" t="s">
        <v>18</v>
      </c>
      <c r="L204" t="str" cm="1">
        <f t="array" ref="L204">_xlfn.IFS(B204&lt;30,"18-29",B204&lt;45,"30-44",B204&lt;60,"45-59",B204&lt;75,"60-74",B204&lt;=90,"75-90")</f>
        <v>75-90</v>
      </c>
      <c r="M204" t="str">
        <f>IF(Table1[[#This Row],[length_of_stay_days]]&gt;7,"Yes","No")</f>
        <v>No</v>
      </c>
    </row>
    <row r="205" spans="1:13" x14ac:dyDescent="0.3">
      <c r="A205" t="s">
        <v>482</v>
      </c>
      <c r="B205">
        <v>78</v>
      </c>
      <c r="C205" t="s">
        <v>20</v>
      </c>
      <c r="D205" t="s">
        <v>13</v>
      </c>
      <c r="E205" t="s">
        <v>21</v>
      </c>
      <c r="F205" t="s">
        <v>378</v>
      </c>
      <c r="G205" t="s">
        <v>348</v>
      </c>
      <c r="H205">
        <v>6</v>
      </c>
      <c r="I205" s="1">
        <v>7130.98</v>
      </c>
      <c r="J205" t="s">
        <v>49</v>
      </c>
      <c r="K205" t="s">
        <v>18</v>
      </c>
      <c r="L205" t="str" cm="1">
        <f t="array" ref="L205">_xlfn.IFS(B205&lt;30,"18-29",B205&lt;45,"30-44",B205&lt;60,"45-59",B205&lt;75,"60-74",B205&lt;=90,"75-90")</f>
        <v>75-90</v>
      </c>
      <c r="M205" t="str">
        <f>IF(Table1[[#This Row],[length_of_stay_days]]&gt;7,"Yes","No")</f>
        <v>No</v>
      </c>
    </row>
    <row r="206" spans="1:13" x14ac:dyDescent="0.3">
      <c r="A206" t="s">
        <v>483</v>
      </c>
      <c r="B206">
        <v>84</v>
      </c>
      <c r="C206" t="s">
        <v>12</v>
      </c>
      <c r="D206" t="s">
        <v>28</v>
      </c>
      <c r="E206" t="s">
        <v>14</v>
      </c>
      <c r="F206" t="s">
        <v>323</v>
      </c>
      <c r="G206" t="s">
        <v>298</v>
      </c>
      <c r="H206">
        <v>3</v>
      </c>
      <c r="I206" s="1">
        <v>4732.32</v>
      </c>
      <c r="J206" t="s">
        <v>17</v>
      </c>
      <c r="K206" t="s">
        <v>18</v>
      </c>
      <c r="L206" t="str" cm="1">
        <f t="array" ref="L206">_xlfn.IFS(B206&lt;30,"18-29",B206&lt;45,"30-44",B206&lt;60,"45-59",B206&lt;75,"60-74",B206&lt;=90,"75-90")</f>
        <v>75-90</v>
      </c>
      <c r="M206" t="str">
        <f>IF(Table1[[#This Row],[length_of_stay_days]]&gt;7,"Yes","No")</f>
        <v>No</v>
      </c>
    </row>
    <row r="207" spans="1:13" x14ac:dyDescent="0.3">
      <c r="A207" t="s">
        <v>484</v>
      </c>
      <c r="B207">
        <v>21</v>
      </c>
      <c r="C207" t="s">
        <v>20</v>
      </c>
      <c r="D207" t="s">
        <v>28</v>
      </c>
      <c r="E207" t="s">
        <v>14</v>
      </c>
      <c r="F207" t="s">
        <v>485</v>
      </c>
      <c r="G207" t="s">
        <v>222</v>
      </c>
      <c r="H207">
        <v>5</v>
      </c>
      <c r="I207" s="1">
        <v>6919.01</v>
      </c>
      <c r="J207" t="s">
        <v>17</v>
      </c>
      <c r="K207" t="s">
        <v>18</v>
      </c>
      <c r="L207" t="str" cm="1">
        <f t="array" ref="L207">_xlfn.IFS(B207&lt;30,"18-29",B207&lt;45,"30-44",B207&lt;60,"45-59",B207&lt;75,"60-74",B207&lt;=90,"75-90")</f>
        <v>18-29</v>
      </c>
      <c r="M207" t="str">
        <f>IF(Table1[[#This Row],[length_of_stay_days]]&gt;7,"Yes","No")</f>
        <v>No</v>
      </c>
    </row>
    <row r="208" spans="1:13" x14ac:dyDescent="0.3">
      <c r="A208" t="s">
        <v>486</v>
      </c>
      <c r="B208">
        <v>34</v>
      </c>
      <c r="C208" t="s">
        <v>20</v>
      </c>
      <c r="D208" t="s">
        <v>28</v>
      </c>
      <c r="E208" t="s">
        <v>28</v>
      </c>
      <c r="F208" t="s">
        <v>478</v>
      </c>
      <c r="G208" t="s">
        <v>140</v>
      </c>
      <c r="H208">
        <v>7</v>
      </c>
      <c r="I208" s="1">
        <v>7459</v>
      </c>
      <c r="J208" t="s">
        <v>17</v>
      </c>
      <c r="K208" t="s">
        <v>18</v>
      </c>
      <c r="L208" t="str" cm="1">
        <f t="array" ref="L208">_xlfn.IFS(B208&lt;30,"18-29",B208&lt;45,"30-44",B208&lt;60,"45-59",B208&lt;75,"60-74",B208&lt;=90,"75-90")</f>
        <v>30-44</v>
      </c>
      <c r="M208" t="str">
        <f>IF(Table1[[#This Row],[length_of_stay_days]]&gt;7,"Yes","No")</f>
        <v>No</v>
      </c>
    </row>
    <row r="209" spans="1:13" x14ac:dyDescent="0.3">
      <c r="A209" t="s">
        <v>487</v>
      </c>
      <c r="B209">
        <v>85</v>
      </c>
      <c r="C209" t="s">
        <v>20</v>
      </c>
      <c r="D209" t="s">
        <v>55</v>
      </c>
      <c r="E209" t="s">
        <v>28</v>
      </c>
      <c r="F209" t="s">
        <v>308</v>
      </c>
      <c r="G209" t="s">
        <v>92</v>
      </c>
      <c r="H209">
        <v>9</v>
      </c>
      <c r="I209" s="1">
        <v>11571.01</v>
      </c>
      <c r="J209" t="s">
        <v>17</v>
      </c>
      <c r="K209" t="s">
        <v>18</v>
      </c>
      <c r="L209" t="str" cm="1">
        <f t="array" ref="L209">_xlfn.IFS(B209&lt;30,"18-29",B209&lt;45,"30-44",B209&lt;60,"45-59",B209&lt;75,"60-74",B209&lt;=90,"75-90")</f>
        <v>75-90</v>
      </c>
      <c r="M209" t="str">
        <f>IF(Table1[[#This Row],[length_of_stay_days]]&gt;7,"Yes","No")</f>
        <v>Yes</v>
      </c>
    </row>
    <row r="210" spans="1:13" x14ac:dyDescent="0.3">
      <c r="A210" t="s">
        <v>488</v>
      </c>
      <c r="B210">
        <v>29</v>
      </c>
      <c r="C210" t="s">
        <v>12</v>
      </c>
      <c r="D210" t="s">
        <v>13</v>
      </c>
      <c r="E210" t="s">
        <v>21</v>
      </c>
      <c r="F210" t="s">
        <v>489</v>
      </c>
      <c r="G210" t="s">
        <v>241</v>
      </c>
      <c r="H210">
        <v>8</v>
      </c>
      <c r="I210" s="1">
        <v>10196.25</v>
      </c>
      <c r="J210" t="s">
        <v>49</v>
      </c>
      <c r="K210" t="s">
        <v>18</v>
      </c>
      <c r="L210" t="str" cm="1">
        <f t="array" ref="L210">_xlfn.IFS(B210&lt;30,"18-29",B210&lt;45,"30-44",B210&lt;60,"45-59",B210&lt;75,"60-74",B210&lt;=90,"75-90")</f>
        <v>18-29</v>
      </c>
      <c r="M210" t="str">
        <f>IF(Table1[[#This Row],[length_of_stay_days]]&gt;7,"Yes","No")</f>
        <v>Yes</v>
      </c>
    </row>
    <row r="211" spans="1:13" x14ac:dyDescent="0.3">
      <c r="A211" t="s">
        <v>490</v>
      </c>
      <c r="B211">
        <v>57</v>
      </c>
      <c r="C211" t="s">
        <v>20</v>
      </c>
      <c r="D211" t="s">
        <v>13</v>
      </c>
      <c r="E211" t="s">
        <v>21</v>
      </c>
      <c r="F211" t="s">
        <v>491</v>
      </c>
      <c r="G211" t="s">
        <v>123</v>
      </c>
      <c r="H211">
        <v>5</v>
      </c>
      <c r="I211" s="1">
        <v>7069.62</v>
      </c>
      <c r="J211" t="s">
        <v>17</v>
      </c>
      <c r="K211" t="s">
        <v>18</v>
      </c>
      <c r="L211" t="str" cm="1">
        <f t="array" ref="L211">_xlfn.IFS(B211&lt;30,"18-29",B211&lt;45,"30-44",B211&lt;60,"45-59",B211&lt;75,"60-74",B211&lt;=90,"75-90")</f>
        <v>45-59</v>
      </c>
      <c r="M211" t="str">
        <f>IF(Table1[[#This Row],[length_of_stay_days]]&gt;7,"Yes","No")</f>
        <v>No</v>
      </c>
    </row>
    <row r="212" spans="1:13" x14ac:dyDescent="0.3">
      <c r="A212" t="s">
        <v>492</v>
      </c>
      <c r="B212">
        <v>29</v>
      </c>
      <c r="C212" t="s">
        <v>12</v>
      </c>
      <c r="D212" t="s">
        <v>28</v>
      </c>
      <c r="E212" t="s">
        <v>21</v>
      </c>
      <c r="F212" t="s">
        <v>141</v>
      </c>
      <c r="G212" t="s">
        <v>493</v>
      </c>
      <c r="H212">
        <v>4</v>
      </c>
      <c r="I212" s="1">
        <v>5885.48</v>
      </c>
      <c r="J212" t="s">
        <v>49</v>
      </c>
      <c r="K212" t="s">
        <v>18</v>
      </c>
      <c r="L212" t="str" cm="1">
        <f t="array" ref="L212">_xlfn.IFS(B212&lt;30,"18-29",B212&lt;45,"30-44",B212&lt;60,"45-59",B212&lt;75,"60-74",B212&lt;=90,"75-90")</f>
        <v>18-29</v>
      </c>
      <c r="M212" t="str">
        <f>IF(Table1[[#This Row],[length_of_stay_days]]&gt;7,"Yes","No")</f>
        <v>No</v>
      </c>
    </row>
    <row r="213" spans="1:13" x14ac:dyDescent="0.3">
      <c r="A213" t="s">
        <v>494</v>
      </c>
      <c r="B213">
        <v>86</v>
      </c>
      <c r="C213" t="s">
        <v>20</v>
      </c>
      <c r="D213" t="s">
        <v>13</v>
      </c>
      <c r="E213" t="s">
        <v>14</v>
      </c>
      <c r="F213" t="s">
        <v>256</v>
      </c>
      <c r="G213" t="s">
        <v>243</v>
      </c>
      <c r="H213">
        <v>6</v>
      </c>
      <c r="I213" s="1">
        <v>8261.58</v>
      </c>
      <c r="J213" t="s">
        <v>17</v>
      </c>
      <c r="K213" t="s">
        <v>18</v>
      </c>
      <c r="L213" t="str" cm="1">
        <f t="array" ref="L213">_xlfn.IFS(B213&lt;30,"18-29",B213&lt;45,"30-44",B213&lt;60,"45-59",B213&lt;75,"60-74",B213&lt;=90,"75-90")</f>
        <v>75-90</v>
      </c>
      <c r="M213" t="str">
        <f>IF(Table1[[#This Row],[length_of_stay_days]]&gt;7,"Yes","No")</f>
        <v>No</v>
      </c>
    </row>
    <row r="214" spans="1:13" x14ac:dyDescent="0.3">
      <c r="A214" t="s">
        <v>495</v>
      </c>
      <c r="B214">
        <v>22</v>
      </c>
      <c r="C214" t="s">
        <v>12</v>
      </c>
      <c r="D214" t="s">
        <v>13</v>
      </c>
      <c r="E214" t="s">
        <v>14</v>
      </c>
      <c r="F214" t="s">
        <v>496</v>
      </c>
      <c r="G214" t="s">
        <v>497</v>
      </c>
      <c r="H214">
        <v>9</v>
      </c>
      <c r="I214" s="1">
        <v>11362.18</v>
      </c>
      <c r="J214" t="s">
        <v>17</v>
      </c>
      <c r="K214" t="s">
        <v>18</v>
      </c>
      <c r="L214" t="str" cm="1">
        <f t="array" ref="L214">_xlfn.IFS(B214&lt;30,"18-29",B214&lt;45,"30-44",B214&lt;60,"45-59",B214&lt;75,"60-74",B214&lt;=90,"75-90")</f>
        <v>18-29</v>
      </c>
      <c r="M214" t="str">
        <f>IF(Table1[[#This Row],[length_of_stay_days]]&gt;7,"Yes","No")</f>
        <v>Yes</v>
      </c>
    </row>
    <row r="215" spans="1:13" x14ac:dyDescent="0.3">
      <c r="A215" t="s">
        <v>498</v>
      </c>
      <c r="B215">
        <v>65</v>
      </c>
      <c r="C215" t="s">
        <v>70</v>
      </c>
      <c r="D215" t="s">
        <v>46</v>
      </c>
      <c r="E215" t="s">
        <v>28</v>
      </c>
      <c r="F215" t="s">
        <v>402</v>
      </c>
      <c r="G215" t="s">
        <v>499</v>
      </c>
      <c r="H215">
        <v>4</v>
      </c>
      <c r="I215" s="1">
        <v>14456.53</v>
      </c>
      <c r="J215" t="s">
        <v>17</v>
      </c>
      <c r="K215" t="s">
        <v>18</v>
      </c>
      <c r="L215" t="str" cm="1">
        <f t="array" ref="L215">_xlfn.IFS(B215&lt;30,"18-29",B215&lt;45,"30-44",B215&lt;60,"45-59",B215&lt;75,"60-74",B215&lt;=90,"75-90")</f>
        <v>60-74</v>
      </c>
      <c r="M215" t="str">
        <f>IF(Table1[[#This Row],[length_of_stay_days]]&gt;7,"Yes","No")</f>
        <v>No</v>
      </c>
    </row>
    <row r="216" spans="1:13" x14ac:dyDescent="0.3">
      <c r="A216" t="s">
        <v>500</v>
      </c>
      <c r="B216">
        <v>46</v>
      </c>
      <c r="C216" t="s">
        <v>20</v>
      </c>
      <c r="D216" t="s">
        <v>28</v>
      </c>
      <c r="E216" t="s">
        <v>14</v>
      </c>
      <c r="F216" t="s">
        <v>501</v>
      </c>
      <c r="G216" t="s">
        <v>75</v>
      </c>
      <c r="H216">
        <v>2</v>
      </c>
      <c r="I216" s="1">
        <v>4477.6000000000004</v>
      </c>
      <c r="J216" t="s">
        <v>17</v>
      </c>
      <c r="K216" t="s">
        <v>18</v>
      </c>
      <c r="L216" t="str" cm="1">
        <f t="array" ref="L216">_xlfn.IFS(B216&lt;30,"18-29",B216&lt;45,"30-44",B216&lt;60,"45-59",B216&lt;75,"60-74",B216&lt;=90,"75-90")</f>
        <v>45-59</v>
      </c>
      <c r="M216" t="str">
        <f>IF(Table1[[#This Row],[length_of_stay_days]]&gt;7,"Yes","No")</f>
        <v>No</v>
      </c>
    </row>
    <row r="217" spans="1:13" x14ac:dyDescent="0.3">
      <c r="A217" t="s">
        <v>502</v>
      </c>
      <c r="B217">
        <v>20</v>
      </c>
      <c r="C217" t="s">
        <v>12</v>
      </c>
      <c r="D217" t="s">
        <v>46</v>
      </c>
      <c r="E217" t="s">
        <v>28</v>
      </c>
      <c r="F217" t="s">
        <v>503</v>
      </c>
      <c r="G217" t="s">
        <v>504</v>
      </c>
      <c r="H217">
        <v>5</v>
      </c>
      <c r="I217" s="1">
        <v>12390.52</v>
      </c>
      <c r="J217" t="s">
        <v>17</v>
      </c>
      <c r="K217" t="s">
        <v>18</v>
      </c>
      <c r="L217" t="str" cm="1">
        <f t="array" ref="L217">_xlfn.IFS(B217&lt;30,"18-29",B217&lt;45,"30-44",B217&lt;60,"45-59",B217&lt;75,"60-74",B217&lt;=90,"75-90")</f>
        <v>18-29</v>
      </c>
      <c r="M217" t="str">
        <f>IF(Table1[[#This Row],[length_of_stay_days]]&gt;7,"Yes","No")</f>
        <v>No</v>
      </c>
    </row>
    <row r="218" spans="1:13" x14ac:dyDescent="0.3">
      <c r="A218" t="s">
        <v>505</v>
      </c>
      <c r="B218">
        <v>88</v>
      </c>
      <c r="C218" t="s">
        <v>20</v>
      </c>
      <c r="D218" t="s">
        <v>32</v>
      </c>
      <c r="E218" t="s">
        <v>21</v>
      </c>
      <c r="F218" t="s">
        <v>180</v>
      </c>
      <c r="G218" t="s">
        <v>506</v>
      </c>
      <c r="H218">
        <v>9</v>
      </c>
      <c r="I218" s="1">
        <v>10827.23</v>
      </c>
      <c r="J218" t="s">
        <v>17</v>
      </c>
      <c r="K218" t="s">
        <v>18</v>
      </c>
      <c r="L218" t="str" cm="1">
        <f t="array" ref="L218">_xlfn.IFS(B218&lt;30,"18-29",B218&lt;45,"30-44",B218&lt;60,"45-59",B218&lt;75,"60-74",B218&lt;=90,"75-90")</f>
        <v>75-90</v>
      </c>
      <c r="M218" t="str">
        <f>IF(Table1[[#This Row],[length_of_stay_days]]&gt;7,"Yes","No")</f>
        <v>Yes</v>
      </c>
    </row>
    <row r="219" spans="1:13" x14ac:dyDescent="0.3">
      <c r="A219" t="s">
        <v>507</v>
      </c>
      <c r="B219">
        <v>24</v>
      </c>
      <c r="C219" t="s">
        <v>20</v>
      </c>
      <c r="D219" t="s">
        <v>55</v>
      </c>
      <c r="E219" t="s">
        <v>14</v>
      </c>
      <c r="F219" t="s">
        <v>258</v>
      </c>
      <c r="G219" t="s">
        <v>259</v>
      </c>
      <c r="H219">
        <v>4</v>
      </c>
      <c r="I219" s="1">
        <v>8916.2000000000007</v>
      </c>
      <c r="J219" t="s">
        <v>17</v>
      </c>
      <c r="K219" t="s">
        <v>18</v>
      </c>
      <c r="L219" t="str" cm="1">
        <f t="array" ref="L219">_xlfn.IFS(B219&lt;30,"18-29",B219&lt;45,"30-44",B219&lt;60,"45-59",B219&lt;75,"60-74",B219&lt;=90,"75-90")</f>
        <v>18-29</v>
      </c>
      <c r="M219" t="str">
        <f>IF(Table1[[#This Row],[length_of_stay_days]]&gt;7,"Yes","No")</f>
        <v>No</v>
      </c>
    </row>
    <row r="220" spans="1:13" x14ac:dyDescent="0.3">
      <c r="A220" t="s">
        <v>508</v>
      </c>
      <c r="B220">
        <v>28</v>
      </c>
      <c r="C220" t="s">
        <v>12</v>
      </c>
      <c r="D220" t="s">
        <v>13</v>
      </c>
      <c r="E220" t="s">
        <v>28</v>
      </c>
      <c r="F220" t="s">
        <v>509</v>
      </c>
      <c r="G220" t="s">
        <v>491</v>
      </c>
      <c r="H220">
        <v>5</v>
      </c>
      <c r="I220" s="1">
        <v>4669.83</v>
      </c>
      <c r="J220" t="s">
        <v>17</v>
      </c>
      <c r="K220" t="s">
        <v>18</v>
      </c>
      <c r="L220" t="str" cm="1">
        <f t="array" ref="L220">_xlfn.IFS(B220&lt;30,"18-29",B220&lt;45,"30-44",B220&lt;60,"45-59",B220&lt;75,"60-74",B220&lt;=90,"75-90")</f>
        <v>18-29</v>
      </c>
      <c r="M220" t="str">
        <f>IF(Table1[[#This Row],[length_of_stay_days]]&gt;7,"Yes","No")</f>
        <v>No</v>
      </c>
    </row>
    <row r="221" spans="1:13" x14ac:dyDescent="0.3">
      <c r="A221" t="s">
        <v>510</v>
      </c>
      <c r="B221">
        <v>48</v>
      </c>
      <c r="C221" t="s">
        <v>12</v>
      </c>
      <c r="D221" t="s">
        <v>28</v>
      </c>
      <c r="E221" t="s">
        <v>14</v>
      </c>
      <c r="F221" t="s">
        <v>496</v>
      </c>
      <c r="G221" t="s">
        <v>474</v>
      </c>
      <c r="H221">
        <v>4</v>
      </c>
      <c r="I221" s="1">
        <v>4466.1099999999997</v>
      </c>
      <c r="J221" t="s">
        <v>17</v>
      </c>
      <c r="K221" t="s">
        <v>18</v>
      </c>
      <c r="L221" t="str" cm="1">
        <f t="array" ref="L221">_xlfn.IFS(B221&lt;30,"18-29",B221&lt;45,"30-44",B221&lt;60,"45-59",B221&lt;75,"60-74",B221&lt;=90,"75-90")</f>
        <v>45-59</v>
      </c>
      <c r="M221" t="str">
        <f>IF(Table1[[#This Row],[length_of_stay_days]]&gt;7,"Yes","No")</f>
        <v>No</v>
      </c>
    </row>
    <row r="222" spans="1:13" x14ac:dyDescent="0.3">
      <c r="A222" t="s">
        <v>511</v>
      </c>
      <c r="B222">
        <v>46</v>
      </c>
      <c r="C222" t="s">
        <v>12</v>
      </c>
      <c r="D222" t="s">
        <v>13</v>
      </c>
      <c r="E222" t="s">
        <v>14</v>
      </c>
      <c r="F222" t="s">
        <v>512</v>
      </c>
      <c r="G222" t="s">
        <v>413</v>
      </c>
      <c r="H222">
        <v>2</v>
      </c>
      <c r="I222" s="1">
        <v>5250.39</v>
      </c>
      <c r="J222" t="s">
        <v>17</v>
      </c>
      <c r="K222" t="s">
        <v>18</v>
      </c>
      <c r="L222" t="str" cm="1">
        <f t="array" ref="L222">_xlfn.IFS(B222&lt;30,"18-29",B222&lt;45,"30-44",B222&lt;60,"45-59",B222&lt;75,"60-74",B222&lt;=90,"75-90")</f>
        <v>45-59</v>
      </c>
      <c r="M222" t="str">
        <f>IF(Table1[[#This Row],[length_of_stay_days]]&gt;7,"Yes","No")</f>
        <v>No</v>
      </c>
    </row>
    <row r="223" spans="1:13" x14ac:dyDescent="0.3">
      <c r="A223" t="s">
        <v>513</v>
      </c>
      <c r="B223">
        <v>20</v>
      </c>
      <c r="C223" t="s">
        <v>20</v>
      </c>
      <c r="D223" t="s">
        <v>28</v>
      </c>
      <c r="E223" t="s">
        <v>21</v>
      </c>
      <c r="F223" t="s">
        <v>514</v>
      </c>
      <c r="G223" t="s">
        <v>283</v>
      </c>
      <c r="H223">
        <v>3</v>
      </c>
      <c r="I223" s="1">
        <v>5523.01</v>
      </c>
      <c r="J223" t="s">
        <v>17</v>
      </c>
      <c r="K223" t="s">
        <v>18</v>
      </c>
      <c r="L223" t="str" cm="1">
        <f t="array" ref="L223">_xlfn.IFS(B223&lt;30,"18-29",B223&lt;45,"30-44",B223&lt;60,"45-59",B223&lt;75,"60-74",B223&lt;=90,"75-90")</f>
        <v>18-29</v>
      </c>
      <c r="M223" t="str">
        <f>IF(Table1[[#This Row],[length_of_stay_days]]&gt;7,"Yes","No")</f>
        <v>No</v>
      </c>
    </row>
    <row r="224" spans="1:13" x14ac:dyDescent="0.3">
      <c r="A224" t="s">
        <v>515</v>
      </c>
      <c r="B224">
        <v>26</v>
      </c>
      <c r="C224" t="s">
        <v>12</v>
      </c>
      <c r="D224" t="s">
        <v>55</v>
      </c>
      <c r="E224" t="s">
        <v>14</v>
      </c>
      <c r="F224" t="s">
        <v>516</v>
      </c>
      <c r="G224" t="s">
        <v>517</v>
      </c>
      <c r="H224">
        <v>7</v>
      </c>
      <c r="I224" s="1">
        <v>9171.6299999999992</v>
      </c>
      <c r="J224" t="s">
        <v>17</v>
      </c>
      <c r="K224" t="s">
        <v>18</v>
      </c>
      <c r="L224" t="str" cm="1">
        <f t="array" ref="L224">_xlfn.IFS(B224&lt;30,"18-29",B224&lt;45,"30-44",B224&lt;60,"45-59",B224&lt;75,"60-74",B224&lt;=90,"75-90")</f>
        <v>18-29</v>
      </c>
      <c r="M224" t="str">
        <f>IF(Table1[[#This Row],[length_of_stay_days]]&gt;7,"Yes","No")</f>
        <v>No</v>
      </c>
    </row>
    <row r="225" spans="1:13" x14ac:dyDescent="0.3">
      <c r="A225" t="s">
        <v>518</v>
      </c>
      <c r="B225">
        <v>73</v>
      </c>
      <c r="C225" t="s">
        <v>12</v>
      </c>
      <c r="D225" t="s">
        <v>51</v>
      </c>
      <c r="E225" t="s">
        <v>28</v>
      </c>
      <c r="F225" t="s">
        <v>514</v>
      </c>
      <c r="G225" t="s">
        <v>478</v>
      </c>
      <c r="H225">
        <v>4</v>
      </c>
      <c r="I225" s="1">
        <v>10952.2</v>
      </c>
      <c r="J225" t="s">
        <v>17</v>
      </c>
      <c r="K225" t="s">
        <v>18</v>
      </c>
      <c r="L225" t="str" cm="1">
        <f t="array" ref="L225">_xlfn.IFS(B225&lt;30,"18-29",B225&lt;45,"30-44",B225&lt;60,"45-59",B225&lt;75,"60-74",B225&lt;=90,"75-90")</f>
        <v>60-74</v>
      </c>
      <c r="M225" t="str">
        <f>IF(Table1[[#This Row],[length_of_stay_days]]&gt;7,"Yes","No")</f>
        <v>No</v>
      </c>
    </row>
    <row r="226" spans="1:13" x14ac:dyDescent="0.3">
      <c r="A226" t="s">
        <v>519</v>
      </c>
      <c r="B226">
        <v>48</v>
      </c>
      <c r="C226" t="s">
        <v>12</v>
      </c>
      <c r="D226" t="s">
        <v>32</v>
      </c>
      <c r="E226" t="s">
        <v>28</v>
      </c>
      <c r="F226" t="s">
        <v>520</v>
      </c>
      <c r="G226" t="s">
        <v>165</v>
      </c>
      <c r="H226">
        <v>6</v>
      </c>
      <c r="I226" s="1">
        <v>11357.69</v>
      </c>
      <c r="J226" t="s">
        <v>49</v>
      </c>
      <c r="K226" t="s">
        <v>18</v>
      </c>
      <c r="L226" t="str" cm="1">
        <f t="array" ref="L226">_xlfn.IFS(B226&lt;30,"18-29",B226&lt;45,"30-44",B226&lt;60,"45-59",B226&lt;75,"60-74",B226&lt;=90,"75-90")</f>
        <v>45-59</v>
      </c>
      <c r="M226" t="str">
        <f>IF(Table1[[#This Row],[length_of_stay_days]]&gt;7,"Yes","No")</f>
        <v>No</v>
      </c>
    </row>
    <row r="227" spans="1:13" x14ac:dyDescent="0.3">
      <c r="A227" t="s">
        <v>521</v>
      </c>
      <c r="B227">
        <v>77</v>
      </c>
      <c r="C227" t="s">
        <v>12</v>
      </c>
      <c r="D227" t="s">
        <v>55</v>
      </c>
      <c r="E227" t="s">
        <v>14</v>
      </c>
      <c r="F227" t="s">
        <v>201</v>
      </c>
      <c r="G227" t="s">
        <v>157</v>
      </c>
      <c r="H227">
        <v>6</v>
      </c>
      <c r="I227" s="1">
        <v>10839.86</v>
      </c>
      <c r="J227" t="s">
        <v>17</v>
      </c>
      <c r="K227" t="s">
        <v>18</v>
      </c>
      <c r="L227" t="str" cm="1">
        <f t="array" ref="L227">_xlfn.IFS(B227&lt;30,"18-29",B227&lt;45,"30-44",B227&lt;60,"45-59",B227&lt;75,"60-74",B227&lt;=90,"75-90")</f>
        <v>75-90</v>
      </c>
      <c r="M227" t="str">
        <f>IF(Table1[[#This Row],[length_of_stay_days]]&gt;7,"Yes","No")</f>
        <v>No</v>
      </c>
    </row>
    <row r="228" spans="1:13" x14ac:dyDescent="0.3">
      <c r="A228" t="s">
        <v>522</v>
      </c>
      <c r="B228">
        <v>71</v>
      </c>
      <c r="C228" t="s">
        <v>12</v>
      </c>
      <c r="D228" t="s">
        <v>28</v>
      </c>
      <c r="E228" t="s">
        <v>14</v>
      </c>
      <c r="F228" t="s">
        <v>201</v>
      </c>
      <c r="G228" t="s">
        <v>523</v>
      </c>
      <c r="H228">
        <v>4</v>
      </c>
      <c r="I228" s="1">
        <v>5529.87</v>
      </c>
      <c r="J228" t="s">
        <v>49</v>
      </c>
      <c r="K228" t="s">
        <v>18</v>
      </c>
      <c r="L228" t="str" cm="1">
        <f t="array" ref="L228">_xlfn.IFS(B228&lt;30,"18-29",B228&lt;45,"30-44",B228&lt;60,"45-59",B228&lt;75,"60-74",B228&lt;=90,"75-90")</f>
        <v>60-74</v>
      </c>
      <c r="M228" t="str">
        <f>IF(Table1[[#This Row],[length_of_stay_days]]&gt;7,"Yes","No")</f>
        <v>No</v>
      </c>
    </row>
    <row r="229" spans="1:13" x14ac:dyDescent="0.3">
      <c r="A229" t="s">
        <v>524</v>
      </c>
      <c r="B229">
        <v>22</v>
      </c>
      <c r="C229" t="s">
        <v>12</v>
      </c>
      <c r="D229" t="s">
        <v>28</v>
      </c>
      <c r="E229" t="s">
        <v>14</v>
      </c>
      <c r="F229" t="s">
        <v>135</v>
      </c>
      <c r="G229" t="s">
        <v>309</v>
      </c>
      <c r="H229">
        <v>2</v>
      </c>
      <c r="I229" s="1">
        <v>4887.01</v>
      </c>
      <c r="J229" t="s">
        <v>17</v>
      </c>
      <c r="K229" t="s">
        <v>18</v>
      </c>
      <c r="L229" t="str" cm="1">
        <f t="array" ref="L229">_xlfn.IFS(B229&lt;30,"18-29",B229&lt;45,"30-44",B229&lt;60,"45-59",B229&lt;75,"60-74",B229&lt;=90,"75-90")</f>
        <v>18-29</v>
      </c>
      <c r="M229" t="str">
        <f>IF(Table1[[#This Row],[length_of_stay_days]]&gt;7,"Yes","No")</f>
        <v>No</v>
      </c>
    </row>
    <row r="230" spans="1:13" x14ac:dyDescent="0.3">
      <c r="A230" t="s">
        <v>525</v>
      </c>
      <c r="B230">
        <v>26</v>
      </c>
      <c r="C230" t="s">
        <v>20</v>
      </c>
      <c r="D230" t="s">
        <v>13</v>
      </c>
      <c r="E230" t="s">
        <v>14</v>
      </c>
      <c r="F230" t="s">
        <v>526</v>
      </c>
      <c r="G230" t="s">
        <v>527</v>
      </c>
      <c r="H230">
        <v>1</v>
      </c>
      <c r="I230" s="1">
        <v>3261.6</v>
      </c>
      <c r="J230" t="s">
        <v>17</v>
      </c>
      <c r="K230" t="s">
        <v>18</v>
      </c>
      <c r="L230" t="str" cm="1">
        <f t="array" ref="L230">_xlfn.IFS(B230&lt;30,"18-29",B230&lt;45,"30-44",B230&lt;60,"45-59",B230&lt;75,"60-74",B230&lt;=90,"75-90")</f>
        <v>18-29</v>
      </c>
      <c r="M230" t="str">
        <f>IF(Table1[[#This Row],[length_of_stay_days]]&gt;7,"Yes","No")</f>
        <v>No</v>
      </c>
    </row>
    <row r="231" spans="1:13" x14ac:dyDescent="0.3">
      <c r="A231" t="s">
        <v>528</v>
      </c>
      <c r="B231">
        <v>47</v>
      </c>
      <c r="C231" t="s">
        <v>12</v>
      </c>
      <c r="D231" t="s">
        <v>55</v>
      </c>
      <c r="E231" t="s">
        <v>14</v>
      </c>
      <c r="F231" t="s">
        <v>263</v>
      </c>
      <c r="G231" t="s">
        <v>106</v>
      </c>
      <c r="H231">
        <v>7</v>
      </c>
      <c r="I231" s="1">
        <v>10282.26</v>
      </c>
      <c r="J231" t="s">
        <v>17</v>
      </c>
      <c r="K231" t="s">
        <v>18</v>
      </c>
      <c r="L231" t="str" cm="1">
        <f t="array" ref="L231">_xlfn.IFS(B231&lt;30,"18-29",B231&lt;45,"30-44",B231&lt;60,"45-59",B231&lt;75,"60-74",B231&lt;=90,"75-90")</f>
        <v>45-59</v>
      </c>
      <c r="M231" t="str">
        <f>IF(Table1[[#This Row],[length_of_stay_days]]&gt;7,"Yes","No")</f>
        <v>No</v>
      </c>
    </row>
    <row r="232" spans="1:13" x14ac:dyDescent="0.3">
      <c r="A232" t="s">
        <v>529</v>
      </c>
      <c r="B232">
        <v>48</v>
      </c>
      <c r="C232" t="s">
        <v>20</v>
      </c>
      <c r="D232" t="s">
        <v>28</v>
      </c>
      <c r="E232" t="s">
        <v>28</v>
      </c>
      <c r="F232" t="s">
        <v>252</v>
      </c>
      <c r="G232" t="s">
        <v>530</v>
      </c>
      <c r="H232">
        <v>9</v>
      </c>
      <c r="I232" s="1">
        <v>8376.02</v>
      </c>
      <c r="J232" t="s">
        <v>17</v>
      </c>
      <c r="K232" t="s">
        <v>18</v>
      </c>
      <c r="L232" t="str" cm="1">
        <f t="array" ref="L232">_xlfn.IFS(B232&lt;30,"18-29",B232&lt;45,"30-44",B232&lt;60,"45-59",B232&lt;75,"60-74",B232&lt;=90,"75-90")</f>
        <v>45-59</v>
      </c>
      <c r="M232" t="str">
        <f>IF(Table1[[#This Row],[length_of_stay_days]]&gt;7,"Yes","No")</f>
        <v>Yes</v>
      </c>
    </row>
    <row r="233" spans="1:13" x14ac:dyDescent="0.3">
      <c r="A233" t="s">
        <v>531</v>
      </c>
      <c r="B233">
        <v>30</v>
      </c>
      <c r="C233" t="s">
        <v>20</v>
      </c>
      <c r="D233" t="s">
        <v>13</v>
      </c>
      <c r="E233" t="s">
        <v>28</v>
      </c>
      <c r="F233" t="s">
        <v>456</v>
      </c>
      <c r="G233" t="s">
        <v>532</v>
      </c>
      <c r="H233">
        <v>7</v>
      </c>
      <c r="I233" s="1">
        <v>9167.69</v>
      </c>
      <c r="J233" t="s">
        <v>49</v>
      </c>
      <c r="K233" t="s">
        <v>18</v>
      </c>
      <c r="L233" t="str" cm="1">
        <f t="array" ref="L233">_xlfn.IFS(B233&lt;30,"18-29",B233&lt;45,"30-44",B233&lt;60,"45-59",B233&lt;75,"60-74",B233&lt;=90,"75-90")</f>
        <v>30-44</v>
      </c>
      <c r="M233" t="str">
        <f>IF(Table1[[#This Row],[length_of_stay_days]]&gt;7,"Yes","No")</f>
        <v>No</v>
      </c>
    </row>
    <row r="234" spans="1:13" x14ac:dyDescent="0.3">
      <c r="A234" t="s">
        <v>533</v>
      </c>
      <c r="B234">
        <v>86</v>
      </c>
      <c r="C234" t="s">
        <v>20</v>
      </c>
      <c r="D234" t="s">
        <v>13</v>
      </c>
      <c r="E234" t="s">
        <v>21</v>
      </c>
      <c r="F234" t="s">
        <v>246</v>
      </c>
      <c r="G234" t="s">
        <v>320</v>
      </c>
      <c r="H234">
        <v>6</v>
      </c>
      <c r="I234" s="1">
        <v>7848.97</v>
      </c>
      <c r="J234" t="s">
        <v>17</v>
      </c>
      <c r="K234" t="s">
        <v>18</v>
      </c>
      <c r="L234" t="str" cm="1">
        <f t="array" ref="L234">_xlfn.IFS(B234&lt;30,"18-29",B234&lt;45,"30-44",B234&lt;60,"45-59",B234&lt;75,"60-74",B234&lt;=90,"75-90")</f>
        <v>75-90</v>
      </c>
      <c r="M234" t="str">
        <f>IF(Table1[[#This Row],[length_of_stay_days]]&gt;7,"Yes","No")</f>
        <v>No</v>
      </c>
    </row>
    <row r="235" spans="1:13" x14ac:dyDescent="0.3">
      <c r="A235" t="s">
        <v>534</v>
      </c>
      <c r="B235">
        <v>52</v>
      </c>
      <c r="C235" t="s">
        <v>12</v>
      </c>
      <c r="D235" t="s">
        <v>28</v>
      </c>
      <c r="E235" t="s">
        <v>14</v>
      </c>
      <c r="F235" t="s">
        <v>77</v>
      </c>
      <c r="G235" t="s">
        <v>523</v>
      </c>
      <c r="H235">
        <v>2</v>
      </c>
      <c r="I235" s="1">
        <v>3270.39</v>
      </c>
      <c r="J235" t="s">
        <v>17</v>
      </c>
      <c r="K235" t="s">
        <v>223</v>
      </c>
      <c r="L235" t="str" cm="1">
        <f t="array" ref="L235">_xlfn.IFS(B235&lt;30,"18-29",B235&lt;45,"30-44",B235&lt;60,"45-59",B235&lt;75,"60-74",B235&lt;=90,"75-90")</f>
        <v>45-59</v>
      </c>
      <c r="M235" t="str">
        <f>IF(Table1[[#This Row],[length_of_stay_days]]&gt;7,"Yes","No")</f>
        <v>No</v>
      </c>
    </row>
    <row r="236" spans="1:13" x14ac:dyDescent="0.3">
      <c r="A236" t="s">
        <v>535</v>
      </c>
      <c r="B236">
        <v>25</v>
      </c>
      <c r="C236" t="s">
        <v>20</v>
      </c>
      <c r="D236" t="s">
        <v>51</v>
      </c>
      <c r="E236" t="s">
        <v>21</v>
      </c>
      <c r="F236" t="s">
        <v>536</v>
      </c>
      <c r="G236" t="s">
        <v>537</v>
      </c>
      <c r="H236">
        <v>8</v>
      </c>
      <c r="I236" s="1">
        <v>12478.23</v>
      </c>
      <c r="J236" t="s">
        <v>17</v>
      </c>
      <c r="K236" t="s">
        <v>18</v>
      </c>
      <c r="L236" t="str" cm="1">
        <f t="array" ref="L236">_xlfn.IFS(B236&lt;30,"18-29",B236&lt;45,"30-44",B236&lt;60,"45-59",B236&lt;75,"60-74",B236&lt;=90,"75-90")</f>
        <v>18-29</v>
      </c>
      <c r="M236" t="str">
        <f>IF(Table1[[#This Row],[length_of_stay_days]]&gt;7,"Yes","No")</f>
        <v>Yes</v>
      </c>
    </row>
    <row r="237" spans="1:13" x14ac:dyDescent="0.3">
      <c r="A237" t="s">
        <v>538</v>
      </c>
      <c r="B237">
        <v>62</v>
      </c>
      <c r="C237" t="s">
        <v>12</v>
      </c>
      <c r="D237" t="s">
        <v>28</v>
      </c>
      <c r="E237" t="s">
        <v>28</v>
      </c>
      <c r="F237" t="s">
        <v>474</v>
      </c>
      <c r="G237" t="s">
        <v>497</v>
      </c>
      <c r="H237">
        <v>5</v>
      </c>
      <c r="I237" s="1">
        <v>6341.01</v>
      </c>
      <c r="J237" t="s">
        <v>17</v>
      </c>
      <c r="K237" t="s">
        <v>18</v>
      </c>
      <c r="L237" t="str" cm="1">
        <f t="array" ref="L237">_xlfn.IFS(B237&lt;30,"18-29",B237&lt;45,"30-44",B237&lt;60,"45-59",B237&lt;75,"60-74",B237&lt;=90,"75-90")</f>
        <v>60-74</v>
      </c>
      <c r="M237" t="str">
        <f>IF(Table1[[#This Row],[length_of_stay_days]]&gt;7,"Yes","No")</f>
        <v>No</v>
      </c>
    </row>
    <row r="238" spans="1:13" x14ac:dyDescent="0.3">
      <c r="A238" t="s">
        <v>539</v>
      </c>
      <c r="B238">
        <v>87</v>
      </c>
      <c r="C238" t="s">
        <v>12</v>
      </c>
      <c r="D238" t="s">
        <v>55</v>
      </c>
      <c r="E238" t="s">
        <v>14</v>
      </c>
      <c r="F238" t="s">
        <v>198</v>
      </c>
      <c r="G238" t="s">
        <v>116</v>
      </c>
      <c r="H238">
        <v>5</v>
      </c>
      <c r="I238" s="1">
        <v>10166.969999999999</v>
      </c>
      <c r="J238" t="s">
        <v>49</v>
      </c>
      <c r="K238" t="s">
        <v>18</v>
      </c>
      <c r="L238" t="str" cm="1">
        <f t="array" ref="L238">_xlfn.IFS(B238&lt;30,"18-29",B238&lt;45,"30-44",B238&lt;60,"45-59",B238&lt;75,"60-74",B238&lt;=90,"75-90")</f>
        <v>75-90</v>
      </c>
      <c r="M238" t="str">
        <f>IF(Table1[[#This Row],[length_of_stay_days]]&gt;7,"Yes","No")</f>
        <v>No</v>
      </c>
    </row>
    <row r="239" spans="1:13" x14ac:dyDescent="0.3">
      <c r="A239" t="s">
        <v>540</v>
      </c>
      <c r="B239">
        <v>59</v>
      </c>
      <c r="C239" t="s">
        <v>12</v>
      </c>
      <c r="D239" t="s">
        <v>13</v>
      </c>
      <c r="E239" t="s">
        <v>14</v>
      </c>
      <c r="F239" t="s">
        <v>157</v>
      </c>
      <c r="G239" t="s">
        <v>52</v>
      </c>
      <c r="H239">
        <v>4</v>
      </c>
      <c r="I239" s="1">
        <v>5393.2</v>
      </c>
      <c r="J239" t="s">
        <v>17</v>
      </c>
      <c r="K239" t="s">
        <v>18</v>
      </c>
      <c r="L239" t="str" cm="1">
        <f t="array" ref="L239">_xlfn.IFS(B239&lt;30,"18-29",B239&lt;45,"30-44",B239&lt;60,"45-59",B239&lt;75,"60-74",B239&lt;=90,"75-90")</f>
        <v>45-59</v>
      </c>
      <c r="M239" t="str">
        <f>IF(Table1[[#This Row],[length_of_stay_days]]&gt;7,"Yes","No")</f>
        <v>No</v>
      </c>
    </row>
    <row r="240" spans="1:13" x14ac:dyDescent="0.3">
      <c r="A240" t="s">
        <v>541</v>
      </c>
      <c r="B240">
        <v>25</v>
      </c>
      <c r="C240" t="s">
        <v>12</v>
      </c>
      <c r="D240" t="s">
        <v>51</v>
      </c>
      <c r="E240" t="s">
        <v>28</v>
      </c>
      <c r="F240" t="s">
        <v>112</v>
      </c>
      <c r="G240" t="s">
        <v>395</v>
      </c>
      <c r="H240">
        <v>6</v>
      </c>
      <c r="I240" s="1">
        <v>9081.49</v>
      </c>
      <c r="J240" t="s">
        <v>17</v>
      </c>
      <c r="K240" t="s">
        <v>18</v>
      </c>
      <c r="L240" t="str" cm="1">
        <f t="array" ref="L240">_xlfn.IFS(B240&lt;30,"18-29",B240&lt;45,"30-44",B240&lt;60,"45-59",B240&lt;75,"60-74",B240&lt;=90,"75-90")</f>
        <v>18-29</v>
      </c>
      <c r="M240" t="str">
        <f>IF(Table1[[#This Row],[length_of_stay_days]]&gt;7,"Yes","No")</f>
        <v>No</v>
      </c>
    </row>
    <row r="241" spans="1:13" x14ac:dyDescent="0.3">
      <c r="A241" t="s">
        <v>542</v>
      </c>
      <c r="B241">
        <v>55</v>
      </c>
      <c r="C241" t="s">
        <v>20</v>
      </c>
      <c r="D241" t="s">
        <v>28</v>
      </c>
      <c r="E241" t="s">
        <v>28</v>
      </c>
      <c r="F241" t="s">
        <v>543</v>
      </c>
      <c r="G241" t="s">
        <v>430</v>
      </c>
      <c r="H241">
        <v>6</v>
      </c>
      <c r="I241" s="1">
        <v>6616.63</v>
      </c>
      <c r="J241" t="s">
        <v>17</v>
      </c>
      <c r="K241" t="s">
        <v>18</v>
      </c>
      <c r="L241" t="str" cm="1">
        <f t="array" ref="L241">_xlfn.IFS(B241&lt;30,"18-29",B241&lt;45,"30-44",B241&lt;60,"45-59",B241&lt;75,"60-74",B241&lt;=90,"75-90")</f>
        <v>45-59</v>
      </c>
      <c r="M241" t="str">
        <f>IF(Table1[[#This Row],[length_of_stay_days]]&gt;7,"Yes","No")</f>
        <v>No</v>
      </c>
    </row>
    <row r="242" spans="1:13" x14ac:dyDescent="0.3">
      <c r="A242" t="s">
        <v>544</v>
      </c>
      <c r="B242">
        <v>62</v>
      </c>
      <c r="C242" t="s">
        <v>12</v>
      </c>
      <c r="D242" t="s">
        <v>28</v>
      </c>
      <c r="E242" t="s">
        <v>21</v>
      </c>
      <c r="F242" t="s">
        <v>304</v>
      </c>
      <c r="G242" t="s">
        <v>363</v>
      </c>
      <c r="H242">
        <v>2</v>
      </c>
      <c r="I242" s="1">
        <v>3868.34</v>
      </c>
      <c r="J242" t="s">
        <v>49</v>
      </c>
      <c r="K242" t="s">
        <v>18</v>
      </c>
      <c r="L242" t="str" cm="1">
        <f t="array" ref="L242">_xlfn.IFS(B242&lt;30,"18-29",B242&lt;45,"30-44",B242&lt;60,"45-59",B242&lt;75,"60-74",B242&lt;=90,"75-90")</f>
        <v>60-74</v>
      </c>
      <c r="M242" t="str">
        <f>IF(Table1[[#This Row],[length_of_stay_days]]&gt;7,"Yes","No")</f>
        <v>No</v>
      </c>
    </row>
    <row r="243" spans="1:13" x14ac:dyDescent="0.3">
      <c r="A243" t="s">
        <v>545</v>
      </c>
      <c r="B243">
        <v>39</v>
      </c>
      <c r="C243" t="s">
        <v>20</v>
      </c>
      <c r="D243" t="s">
        <v>13</v>
      </c>
      <c r="E243" t="s">
        <v>28</v>
      </c>
      <c r="F243" t="s">
        <v>472</v>
      </c>
      <c r="G243" t="s">
        <v>234</v>
      </c>
      <c r="H243">
        <v>4</v>
      </c>
      <c r="I243" s="1">
        <v>7172.23</v>
      </c>
      <c r="J243" t="s">
        <v>17</v>
      </c>
      <c r="K243" t="s">
        <v>18</v>
      </c>
      <c r="L243" t="str" cm="1">
        <f t="array" ref="L243">_xlfn.IFS(B243&lt;30,"18-29",B243&lt;45,"30-44",B243&lt;60,"45-59",B243&lt;75,"60-74",B243&lt;=90,"75-90")</f>
        <v>30-44</v>
      </c>
      <c r="M243" t="str">
        <f>IF(Table1[[#This Row],[length_of_stay_days]]&gt;7,"Yes","No")</f>
        <v>No</v>
      </c>
    </row>
    <row r="244" spans="1:13" x14ac:dyDescent="0.3">
      <c r="A244" t="s">
        <v>546</v>
      </c>
      <c r="B244">
        <v>51</v>
      </c>
      <c r="C244" t="s">
        <v>20</v>
      </c>
      <c r="D244" t="s">
        <v>46</v>
      </c>
      <c r="E244" t="s">
        <v>28</v>
      </c>
      <c r="F244" t="s">
        <v>37</v>
      </c>
      <c r="G244" t="s">
        <v>547</v>
      </c>
      <c r="H244">
        <v>6</v>
      </c>
      <c r="I244" s="1">
        <v>14454.12</v>
      </c>
      <c r="J244" t="s">
        <v>17</v>
      </c>
      <c r="K244" t="s">
        <v>18</v>
      </c>
      <c r="L244" t="str" cm="1">
        <f t="array" ref="L244">_xlfn.IFS(B244&lt;30,"18-29",B244&lt;45,"30-44",B244&lt;60,"45-59",B244&lt;75,"60-74",B244&lt;=90,"75-90")</f>
        <v>45-59</v>
      </c>
      <c r="M244" t="str">
        <f>IF(Table1[[#This Row],[length_of_stay_days]]&gt;7,"Yes","No")</f>
        <v>No</v>
      </c>
    </row>
    <row r="245" spans="1:13" x14ac:dyDescent="0.3">
      <c r="A245" t="s">
        <v>548</v>
      </c>
      <c r="B245">
        <v>50</v>
      </c>
      <c r="C245" t="s">
        <v>12</v>
      </c>
      <c r="D245" t="s">
        <v>28</v>
      </c>
      <c r="E245" t="s">
        <v>28</v>
      </c>
      <c r="F245" t="s">
        <v>549</v>
      </c>
      <c r="G245" t="s">
        <v>118</v>
      </c>
      <c r="H245">
        <v>6</v>
      </c>
      <c r="I245" s="1">
        <v>8160.05</v>
      </c>
      <c r="J245" t="s">
        <v>17</v>
      </c>
      <c r="K245" t="s">
        <v>18</v>
      </c>
      <c r="L245" t="str" cm="1">
        <f t="array" ref="L245">_xlfn.IFS(B245&lt;30,"18-29",B245&lt;45,"30-44",B245&lt;60,"45-59",B245&lt;75,"60-74",B245&lt;=90,"75-90")</f>
        <v>45-59</v>
      </c>
      <c r="M245" t="str">
        <f>IF(Table1[[#This Row],[length_of_stay_days]]&gt;7,"Yes","No")</f>
        <v>No</v>
      </c>
    </row>
    <row r="246" spans="1:13" x14ac:dyDescent="0.3">
      <c r="A246" t="s">
        <v>550</v>
      </c>
      <c r="B246">
        <v>57</v>
      </c>
      <c r="C246" t="s">
        <v>12</v>
      </c>
      <c r="D246" t="s">
        <v>13</v>
      </c>
      <c r="E246" t="s">
        <v>28</v>
      </c>
      <c r="F246" t="s">
        <v>65</v>
      </c>
      <c r="G246" t="s">
        <v>551</v>
      </c>
      <c r="H246">
        <v>10</v>
      </c>
      <c r="I246" s="1">
        <v>11859.54</v>
      </c>
      <c r="J246" t="s">
        <v>17</v>
      </c>
      <c r="K246" t="s">
        <v>18</v>
      </c>
      <c r="L246" t="str" cm="1">
        <f t="array" ref="L246">_xlfn.IFS(B246&lt;30,"18-29",B246&lt;45,"30-44",B246&lt;60,"45-59",B246&lt;75,"60-74",B246&lt;=90,"75-90")</f>
        <v>45-59</v>
      </c>
      <c r="M246" t="str">
        <f>IF(Table1[[#This Row],[length_of_stay_days]]&gt;7,"Yes","No")</f>
        <v>Yes</v>
      </c>
    </row>
    <row r="247" spans="1:13" x14ac:dyDescent="0.3">
      <c r="A247" t="s">
        <v>552</v>
      </c>
      <c r="B247">
        <v>43</v>
      </c>
      <c r="C247" t="s">
        <v>20</v>
      </c>
      <c r="D247" t="s">
        <v>28</v>
      </c>
      <c r="E247" t="s">
        <v>28</v>
      </c>
      <c r="F247" t="s">
        <v>259</v>
      </c>
      <c r="G247" t="s">
        <v>135</v>
      </c>
      <c r="H247">
        <v>4</v>
      </c>
      <c r="I247" s="1">
        <v>5381.67</v>
      </c>
      <c r="J247" t="s">
        <v>17</v>
      </c>
      <c r="K247" t="s">
        <v>18</v>
      </c>
      <c r="L247" t="str" cm="1">
        <f t="array" ref="L247">_xlfn.IFS(B247&lt;30,"18-29",B247&lt;45,"30-44",B247&lt;60,"45-59",B247&lt;75,"60-74",B247&lt;=90,"75-90")</f>
        <v>30-44</v>
      </c>
      <c r="M247" t="str">
        <f>IF(Table1[[#This Row],[length_of_stay_days]]&gt;7,"Yes","No")</f>
        <v>No</v>
      </c>
    </row>
    <row r="248" spans="1:13" x14ac:dyDescent="0.3">
      <c r="A248" t="s">
        <v>553</v>
      </c>
      <c r="B248">
        <v>65</v>
      </c>
      <c r="C248" t="s">
        <v>20</v>
      </c>
      <c r="D248" t="s">
        <v>55</v>
      </c>
      <c r="E248" t="s">
        <v>14</v>
      </c>
      <c r="F248" t="s">
        <v>554</v>
      </c>
      <c r="G248" t="s">
        <v>555</v>
      </c>
      <c r="H248">
        <v>2</v>
      </c>
      <c r="I248" s="1">
        <v>7644.39</v>
      </c>
      <c r="J248" t="s">
        <v>17</v>
      </c>
      <c r="K248" t="s">
        <v>18</v>
      </c>
      <c r="L248" t="str" cm="1">
        <f t="array" ref="L248">_xlfn.IFS(B248&lt;30,"18-29",B248&lt;45,"30-44",B248&lt;60,"45-59",B248&lt;75,"60-74",B248&lt;=90,"75-90")</f>
        <v>60-74</v>
      </c>
      <c r="M248" t="str">
        <f>IF(Table1[[#This Row],[length_of_stay_days]]&gt;7,"Yes","No")</f>
        <v>No</v>
      </c>
    </row>
    <row r="249" spans="1:13" x14ac:dyDescent="0.3">
      <c r="A249" t="s">
        <v>556</v>
      </c>
      <c r="B249">
        <v>89</v>
      </c>
      <c r="C249" t="s">
        <v>12</v>
      </c>
      <c r="D249" t="s">
        <v>51</v>
      </c>
      <c r="E249" t="s">
        <v>14</v>
      </c>
      <c r="F249" t="s">
        <v>155</v>
      </c>
      <c r="G249" t="s">
        <v>330</v>
      </c>
      <c r="H249">
        <v>4</v>
      </c>
      <c r="I249" s="1">
        <v>11995.74</v>
      </c>
      <c r="J249" t="s">
        <v>17</v>
      </c>
      <c r="K249" t="s">
        <v>18</v>
      </c>
      <c r="L249" t="str" cm="1">
        <f t="array" ref="L249">_xlfn.IFS(B249&lt;30,"18-29",B249&lt;45,"30-44",B249&lt;60,"45-59",B249&lt;75,"60-74",B249&lt;=90,"75-90")</f>
        <v>75-90</v>
      </c>
      <c r="M249" t="str">
        <f>IF(Table1[[#This Row],[length_of_stay_days]]&gt;7,"Yes","No")</f>
        <v>No</v>
      </c>
    </row>
    <row r="250" spans="1:13" x14ac:dyDescent="0.3">
      <c r="A250" t="s">
        <v>557</v>
      </c>
      <c r="B250">
        <v>74</v>
      </c>
      <c r="C250" t="s">
        <v>20</v>
      </c>
      <c r="D250" t="s">
        <v>55</v>
      </c>
      <c r="E250" t="s">
        <v>14</v>
      </c>
      <c r="F250" t="s">
        <v>558</v>
      </c>
      <c r="G250" t="s">
        <v>559</v>
      </c>
      <c r="H250">
        <v>6</v>
      </c>
      <c r="I250" s="1">
        <v>8472.5400000000009</v>
      </c>
      <c r="J250" t="s">
        <v>49</v>
      </c>
      <c r="K250" t="s">
        <v>18</v>
      </c>
      <c r="L250" t="str" cm="1">
        <f t="array" ref="L250">_xlfn.IFS(B250&lt;30,"18-29",B250&lt;45,"30-44",B250&lt;60,"45-59",B250&lt;75,"60-74",B250&lt;=90,"75-90")</f>
        <v>60-74</v>
      </c>
      <c r="M250" t="str">
        <f>IF(Table1[[#This Row],[length_of_stay_days]]&gt;7,"Yes","No")</f>
        <v>No</v>
      </c>
    </row>
    <row r="251" spans="1:13" x14ac:dyDescent="0.3">
      <c r="A251" t="s">
        <v>560</v>
      </c>
      <c r="B251">
        <v>68</v>
      </c>
      <c r="C251" t="s">
        <v>12</v>
      </c>
      <c r="D251" t="s">
        <v>13</v>
      </c>
      <c r="E251" t="s">
        <v>28</v>
      </c>
      <c r="F251" t="s">
        <v>87</v>
      </c>
      <c r="G251" t="s">
        <v>286</v>
      </c>
      <c r="H251">
        <v>8</v>
      </c>
      <c r="I251" s="1">
        <v>11445.9</v>
      </c>
      <c r="J251" t="s">
        <v>17</v>
      </c>
      <c r="K251" t="s">
        <v>18</v>
      </c>
      <c r="L251" t="str" cm="1">
        <f t="array" ref="L251">_xlfn.IFS(B251&lt;30,"18-29",B251&lt;45,"30-44",B251&lt;60,"45-59",B251&lt;75,"60-74",B251&lt;=90,"75-90")</f>
        <v>60-74</v>
      </c>
      <c r="M251" t="str">
        <f>IF(Table1[[#This Row],[length_of_stay_days]]&gt;7,"Yes","No")</f>
        <v>Yes</v>
      </c>
    </row>
    <row r="252" spans="1:13" x14ac:dyDescent="0.3">
      <c r="A252" t="s">
        <v>561</v>
      </c>
      <c r="B252">
        <v>48</v>
      </c>
      <c r="C252" t="s">
        <v>20</v>
      </c>
      <c r="D252" t="s">
        <v>32</v>
      </c>
      <c r="E252" t="s">
        <v>21</v>
      </c>
      <c r="F252" t="s">
        <v>562</v>
      </c>
      <c r="G252" t="s">
        <v>563</v>
      </c>
      <c r="H252">
        <v>9</v>
      </c>
      <c r="I252" s="1">
        <v>13929.37</v>
      </c>
      <c r="J252" t="s">
        <v>17</v>
      </c>
      <c r="K252" t="s">
        <v>18</v>
      </c>
      <c r="L252" t="str" cm="1">
        <f t="array" ref="L252">_xlfn.IFS(B252&lt;30,"18-29",B252&lt;45,"30-44",B252&lt;60,"45-59",B252&lt;75,"60-74",B252&lt;=90,"75-90")</f>
        <v>45-59</v>
      </c>
      <c r="M252" t="str">
        <f>IF(Table1[[#This Row],[length_of_stay_days]]&gt;7,"Yes","No")</f>
        <v>Yes</v>
      </c>
    </row>
    <row r="253" spans="1:13" x14ac:dyDescent="0.3">
      <c r="A253" t="s">
        <v>564</v>
      </c>
      <c r="B253">
        <v>54</v>
      </c>
      <c r="C253" t="s">
        <v>20</v>
      </c>
      <c r="D253" t="s">
        <v>28</v>
      </c>
      <c r="E253" t="s">
        <v>28</v>
      </c>
      <c r="F253" t="s">
        <v>304</v>
      </c>
      <c r="G253" t="s">
        <v>565</v>
      </c>
      <c r="H253">
        <v>3</v>
      </c>
      <c r="I253" s="1">
        <v>4494.12</v>
      </c>
      <c r="J253" t="s">
        <v>17</v>
      </c>
      <c r="K253" t="s">
        <v>18</v>
      </c>
      <c r="L253" t="str" cm="1">
        <f t="array" ref="L253">_xlfn.IFS(B253&lt;30,"18-29",B253&lt;45,"30-44",B253&lt;60,"45-59",B253&lt;75,"60-74",B253&lt;=90,"75-90")</f>
        <v>45-59</v>
      </c>
      <c r="M253" t="str">
        <f>IF(Table1[[#This Row],[length_of_stay_days]]&gt;7,"Yes","No")</f>
        <v>No</v>
      </c>
    </row>
    <row r="254" spans="1:13" x14ac:dyDescent="0.3">
      <c r="A254" t="s">
        <v>566</v>
      </c>
      <c r="B254">
        <v>73</v>
      </c>
      <c r="C254" t="s">
        <v>12</v>
      </c>
      <c r="D254" t="s">
        <v>46</v>
      </c>
      <c r="E254" t="s">
        <v>14</v>
      </c>
      <c r="F254" t="s">
        <v>293</v>
      </c>
      <c r="G254" t="s">
        <v>339</v>
      </c>
      <c r="H254">
        <v>8</v>
      </c>
      <c r="I254" s="1">
        <v>13147.35</v>
      </c>
      <c r="J254" t="s">
        <v>17</v>
      </c>
      <c r="K254" t="s">
        <v>18</v>
      </c>
      <c r="L254" t="str" cm="1">
        <f t="array" ref="L254">_xlfn.IFS(B254&lt;30,"18-29",B254&lt;45,"30-44",B254&lt;60,"45-59",B254&lt;75,"60-74",B254&lt;=90,"75-90")</f>
        <v>60-74</v>
      </c>
      <c r="M254" t="str">
        <f>IF(Table1[[#This Row],[length_of_stay_days]]&gt;7,"Yes","No")</f>
        <v>Yes</v>
      </c>
    </row>
    <row r="255" spans="1:13" x14ac:dyDescent="0.3">
      <c r="A255" t="s">
        <v>567</v>
      </c>
      <c r="B255">
        <v>68</v>
      </c>
      <c r="C255" t="s">
        <v>20</v>
      </c>
      <c r="D255" t="s">
        <v>28</v>
      </c>
      <c r="E255" t="s">
        <v>14</v>
      </c>
      <c r="F255" t="s">
        <v>78</v>
      </c>
      <c r="G255" t="s">
        <v>52</v>
      </c>
      <c r="H255">
        <v>2</v>
      </c>
      <c r="I255" s="1">
        <v>5252.4</v>
      </c>
      <c r="J255" t="s">
        <v>17</v>
      </c>
      <c r="K255" t="s">
        <v>18</v>
      </c>
      <c r="L255" t="str" cm="1">
        <f t="array" ref="L255">_xlfn.IFS(B255&lt;30,"18-29",B255&lt;45,"30-44",B255&lt;60,"45-59",B255&lt;75,"60-74",B255&lt;=90,"75-90")</f>
        <v>60-74</v>
      </c>
      <c r="M255" t="str">
        <f>IF(Table1[[#This Row],[length_of_stay_days]]&gt;7,"Yes","No")</f>
        <v>No</v>
      </c>
    </row>
    <row r="256" spans="1:13" x14ac:dyDescent="0.3">
      <c r="A256" t="s">
        <v>568</v>
      </c>
      <c r="B256">
        <v>71</v>
      </c>
      <c r="C256" t="s">
        <v>12</v>
      </c>
      <c r="D256" t="s">
        <v>28</v>
      </c>
      <c r="E256" t="s">
        <v>28</v>
      </c>
      <c r="F256" t="s">
        <v>512</v>
      </c>
      <c r="G256" t="s">
        <v>216</v>
      </c>
      <c r="H256">
        <v>4</v>
      </c>
      <c r="I256" s="1">
        <v>6846</v>
      </c>
      <c r="J256" t="s">
        <v>17</v>
      </c>
      <c r="K256" t="s">
        <v>18</v>
      </c>
      <c r="L256" t="str" cm="1">
        <f t="array" ref="L256">_xlfn.IFS(B256&lt;30,"18-29",B256&lt;45,"30-44",B256&lt;60,"45-59",B256&lt;75,"60-74",B256&lt;=90,"75-90")</f>
        <v>60-74</v>
      </c>
      <c r="M256" t="str">
        <f>IF(Table1[[#This Row],[length_of_stay_days]]&gt;7,"Yes","No")</f>
        <v>No</v>
      </c>
    </row>
    <row r="257" spans="1:13" x14ac:dyDescent="0.3">
      <c r="A257" t="s">
        <v>569</v>
      </c>
      <c r="B257">
        <v>32</v>
      </c>
      <c r="C257" t="s">
        <v>20</v>
      </c>
      <c r="D257" t="s">
        <v>32</v>
      </c>
      <c r="E257" t="s">
        <v>28</v>
      </c>
      <c r="F257" t="s">
        <v>312</v>
      </c>
      <c r="G257" t="s">
        <v>90</v>
      </c>
      <c r="H257">
        <v>6</v>
      </c>
      <c r="I257" s="1">
        <v>11400.18</v>
      </c>
      <c r="J257" t="s">
        <v>17</v>
      </c>
      <c r="K257" t="s">
        <v>18</v>
      </c>
      <c r="L257" t="str" cm="1">
        <f t="array" ref="L257">_xlfn.IFS(B257&lt;30,"18-29",B257&lt;45,"30-44",B257&lt;60,"45-59",B257&lt;75,"60-74",B257&lt;=90,"75-90")</f>
        <v>30-44</v>
      </c>
      <c r="M257" t="str">
        <f>IF(Table1[[#This Row],[length_of_stay_days]]&gt;7,"Yes","No")</f>
        <v>No</v>
      </c>
    </row>
    <row r="258" spans="1:13" x14ac:dyDescent="0.3">
      <c r="A258" t="s">
        <v>570</v>
      </c>
      <c r="B258">
        <v>36</v>
      </c>
      <c r="C258" t="s">
        <v>12</v>
      </c>
      <c r="D258" t="s">
        <v>32</v>
      </c>
      <c r="E258" t="s">
        <v>14</v>
      </c>
      <c r="F258" t="s">
        <v>103</v>
      </c>
      <c r="G258" t="s">
        <v>235</v>
      </c>
      <c r="H258">
        <v>3</v>
      </c>
      <c r="I258" s="1">
        <v>9478.35</v>
      </c>
      <c r="J258" t="s">
        <v>17</v>
      </c>
      <c r="K258" t="s">
        <v>18</v>
      </c>
      <c r="L258" t="str" cm="1">
        <f t="array" ref="L258">_xlfn.IFS(B258&lt;30,"18-29",B258&lt;45,"30-44",B258&lt;60,"45-59",B258&lt;75,"60-74",B258&lt;=90,"75-90")</f>
        <v>30-44</v>
      </c>
      <c r="M258" t="str">
        <f>IF(Table1[[#This Row],[length_of_stay_days]]&gt;7,"Yes","No")</f>
        <v>No</v>
      </c>
    </row>
    <row r="259" spans="1:13" x14ac:dyDescent="0.3">
      <c r="A259" t="s">
        <v>571</v>
      </c>
      <c r="B259">
        <v>22</v>
      </c>
      <c r="C259" t="s">
        <v>20</v>
      </c>
      <c r="D259" t="s">
        <v>32</v>
      </c>
      <c r="E259" t="s">
        <v>28</v>
      </c>
      <c r="F259" t="s">
        <v>140</v>
      </c>
      <c r="G259" t="s">
        <v>162</v>
      </c>
      <c r="H259">
        <v>9</v>
      </c>
      <c r="I259" s="1">
        <v>13720.31</v>
      </c>
      <c r="J259" t="s">
        <v>17</v>
      </c>
      <c r="K259" t="s">
        <v>18</v>
      </c>
      <c r="L259" t="str" cm="1">
        <f t="array" ref="L259">_xlfn.IFS(B259&lt;30,"18-29",B259&lt;45,"30-44",B259&lt;60,"45-59",B259&lt;75,"60-74",B259&lt;=90,"75-90")</f>
        <v>18-29</v>
      </c>
      <c r="M259" t="str">
        <f>IF(Table1[[#This Row],[length_of_stay_days]]&gt;7,"Yes","No")</f>
        <v>Yes</v>
      </c>
    </row>
    <row r="260" spans="1:13" x14ac:dyDescent="0.3">
      <c r="A260" t="s">
        <v>572</v>
      </c>
      <c r="B260">
        <v>90</v>
      </c>
      <c r="C260" t="s">
        <v>20</v>
      </c>
      <c r="D260" t="s">
        <v>13</v>
      </c>
      <c r="E260" t="s">
        <v>28</v>
      </c>
      <c r="F260" t="s">
        <v>503</v>
      </c>
      <c r="G260" t="s">
        <v>72</v>
      </c>
      <c r="H260">
        <v>7</v>
      </c>
      <c r="I260" s="1">
        <v>6587.54</v>
      </c>
      <c r="J260" t="s">
        <v>17</v>
      </c>
      <c r="K260" t="s">
        <v>18</v>
      </c>
      <c r="L260" t="str" cm="1">
        <f t="array" ref="L260">_xlfn.IFS(B260&lt;30,"18-29",B260&lt;45,"30-44",B260&lt;60,"45-59",B260&lt;75,"60-74",B260&lt;=90,"75-90")</f>
        <v>75-90</v>
      </c>
      <c r="M260" t="str">
        <f>IF(Table1[[#This Row],[length_of_stay_days]]&gt;7,"Yes","No")</f>
        <v>No</v>
      </c>
    </row>
    <row r="261" spans="1:13" x14ac:dyDescent="0.3">
      <c r="A261" t="s">
        <v>573</v>
      </c>
      <c r="B261">
        <v>62</v>
      </c>
      <c r="C261" t="s">
        <v>20</v>
      </c>
      <c r="D261" t="s">
        <v>55</v>
      </c>
      <c r="E261" t="s">
        <v>14</v>
      </c>
      <c r="F261" t="s">
        <v>574</v>
      </c>
      <c r="G261" t="s">
        <v>575</v>
      </c>
      <c r="H261">
        <v>4</v>
      </c>
      <c r="I261" s="1">
        <v>7662.08</v>
      </c>
      <c r="J261" t="s">
        <v>17</v>
      </c>
      <c r="K261" t="s">
        <v>18</v>
      </c>
      <c r="L261" t="str" cm="1">
        <f t="array" ref="L261">_xlfn.IFS(B261&lt;30,"18-29",B261&lt;45,"30-44",B261&lt;60,"45-59",B261&lt;75,"60-74",B261&lt;=90,"75-90")</f>
        <v>60-74</v>
      </c>
      <c r="M261" t="str">
        <f>IF(Table1[[#This Row],[length_of_stay_days]]&gt;7,"Yes","No")</f>
        <v>No</v>
      </c>
    </row>
    <row r="262" spans="1:13" x14ac:dyDescent="0.3">
      <c r="A262" t="s">
        <v>576</v>
      </c>
      <c r="B262">
        <v>54</v>
      </c>
      <c r="C262" t="s">
        <v>20</v>
      </c>
      <c r="D262" t="s">
        <v>28</v>
      </c>
      <c r="E262" t="s">
        <v>21</v>
      </c>
      <c r="F262" t="s">
        <v>222</v>
      </c>
      <c r="G262" t="s">
        <v>350</v>
      </c>
      <c r="H262">
        <v>6</v>
      </c>
      <c r="I262" s="1">
        <v>4785.46</v>
      </c>
      <c r="J262" t="s">
        <v>17</v>
      </c>
      <c r="K262" t="s">
        <v>18</v>
      </c>
      <c r="L262" t="str" cm="1">
        <f t="array" ref="L262">_xlfn.IFS(B262&lt;30,"18-29",B262&lt;45,"30-44",B262&lt;60,"45-59",B262&lt;75,"60-74",B262&lt;=90,"75-90")</f>
        <v>45-59</v>
      </c>
      <c r="M262" t="str">
        <f>IF(Table1[[#This Row],[length_of_stay_days]]&gt;7,"Yes","No")</f>
        <v>No</v>
      </c>
    </row>
    <row r="263" spans="1:13" x14ac:dyDescent="0.3">
      <c r="A263" t="s">
        <v>577</v>
      </c>
      <c r="B263">
        <v>79</v>
      </c>
      <c r="C263" t="s">
        <v>12</v>
      </c>
      <c r="D263" t="s">
        <v>13</v>
      </c>
      <c r="E263" t="s">
        <v>14</v>
      </c>
      <c r="F263" t="s">
        <v>231</v>
      </c>
      <c r="G263" t="s">
        <v>258</v>
      </c>
      <c r="H263">
        <v>6</v>
      </c>
      <c r="I263" s="1">
        <v>8532.85</v>
      </c>
      <c r="J263" t="s">
        <v>17</v>
      </c>
      <c r="K263" t="s">
        <v>18</v>
      </c>
      <c r="L263" t="str" cm="1">
        <f t="array" ref="L263">_xlfn.IFS(B263&lt;30,"18-29",B263&lt;45,"30-44",B263&lt;60,"45-59",B263&lt;75,"60-74",B263&lt;=90,"75-90")</f>
        <v>75-90</v>
      </c>
      <c r="M263" t="str">
        <f>IF(Table1[[#This Row],[length_of_stay_days]]&gt;7,"Yes","No")</f>
        <v>No</v>
      </c>
    </row>
    <row r="264" spans="1:13" x14ac:dyDescent="0.3">
      <c r="A264" t="s">
        <v>578</v>
      </c>
      <c r="B264">
        <v>27</v>
      </c>
      <c r="C264" t="s">
        <v>12</v>
      </c>
      <c r="D264" t="s">
        <v>13</v>
      </c>
      <c r="E264" t="s">
        <v>14</v>
      </c>
      <c r="F264" t="s">
        <v>555</v>
      </c>
      <c r="G264" t="s">
        <v>579</v>
      </c>
      <c r="H264">
        <v>5</v>
      </c>
      <c r="I264" s="1">
        <v>6499.36</v>
      </c>
      <c r="J264" t="s">
        <v>17</v>
      </c>
      <c r="K264" t="s">
        <v>18</v>
      </c>
      <c r="L264" t="str" cm="1">
        <f t="array" ref="L264">_xlfn.IFS(B264&lt;30,"18-29",B264&lt;45,"30-44",B264&lt;60,"45-59",B264&lt;75,"60-74",B264&lt;=90,"75-90")</f>
        <v>18-29</v>
      </c>
      <c r="M264" t="str">
        <f>IF(Table1[[#This Row],[length_of_stay_days]]&gt;7,"Yes","No")</f>
        <v>No</v>
      </c>
    </row>
    <row r="265" spans="1:13" x14ac:dyDescent="0.3">
      <c r="A265" t="s">
        <v>580</v>
      </c>
      <c r="B265">
        <v>61</v>
      </c>
      <c r="C265" t="s">
        <v>20</v>
      </c>
      <c r="D265" t="s">
        <v>13</v>
      </c>
      <c r="E265" t="s">
        <v>14</v>
      </c>
      <c r="F265" t="s">
        <v>99</v>
      </c>
      <c r="G265" t="s">
        <v>581</v>
      </c>
      <c r="H265">
        <v>3</v>
      </c>
      <c r="I265" s="1">
        <v>5728.64</v>
      </c>
      <c r="J265" t="s">
        <v>17</v>
      </c>
      <c r="K265" t="s">
        <v>44</v>
      </c>
      <c r="L265" t="str" cm="1">
        <f t="array" ref="L265">_xlfn.IFS(B265&lt;30,"18-29",B265&lt;45,"30-44",B265&lt;60,"45-59",B265&lt;75,"60-74",B265&lt;=90,"75-90")</f>
        <v>60-74</v>
      </c>
      <c r="M265" t="str">
        <f>IF(Table1[[#This Row],[length_of_stay_days]]&gt;7,"Yes","No")</f>
        <v>No</v>
      </c>
    </row>
    <row r="266" spans="1:13" x14ac:dyDescent="0.3">
      <c r="A266" t="s">
        <v>582</v>
      </c>
      <c r="B266">
        <v>85</v>
      </c>
      <c r="C266" t="s">
        <v>12</v>
      </c>
      <c r="D266" t="s">
        <v>32</v>
      </c>
      <c r="E266" t="s">
        <v>28</v>
      </c>
      <c r="F266" t="s">
        <v>266</v>
      </c>
      <c r="G266" t="s">
        <v>40</v>
      </c>
      <c r="H266">
        <v>7</v>
      </c>
      <c r="I266" s="1">
        <v>9791.66</v>
      </c>
      <c r="J266" t="s">
        <v>49</v>
      </c>
      <c r="K266" t="s">
        <v>18</v>
      </c>
      <c r="L266" t="str" cm="1">
        <f t="array" ref="L266">_xlfn.IFS(B266&lt;30,"18-29",B266&lt;45,"30-44",B266&lt;60,"45-59",B266&lt;75,"60-74",B266&lt;=90,"75-90")</f>
        <v>75-90</v>
      </c>
      <c r="M266" t="str">
        <f>IF(Table1[[#This Row],[length_of_stay_days]]&gt;7,"Yes","No")</f>
        <v>No</v>
      </c>
    </row>
    <row r="267" spans="1:13" x14ac:dyDescent="0.3">
      <c r="A267" t="s">
        <v>583</v>
      </c>
      <c r="B267">
        <v>78</v>
      </c>
      <c r="C267" t="s">
        <v>12</v>
      </c>
      <c r="D267" t="s">
        <v>51</v>
      </c>
      <c r="E267" t="s">
        <v>28</v>
      </c>
      <c r="F267" t="s">
        <v>584</v>
      </c>
      <c r="G267" t="s">
        <v>99</v>
      </c>
      <c r="H267">
        <v>10</v>
      </c>
      <c r="I267" s="1">
        <v>13823.26</v>
      </c>
      <c r="J267" t="s">
        <v>17</v>
      </c>
      <c r="K267" t="s">
        <v>18</v>
      </c>
      <c r="L267" t="str" cm="1">
        <f t="array" ref="L267">_xlfn.IFS(B267&lt;30,"18-29",B267&lt;45,"30-44",B267&lt;60,"45-59",B267&lt;75,"60-74",B267&lt;=90,"75-90")</f>
        <v>75-90</v>
      </c>
      <c r="M267" t="str">
        <f>IF(Table1[[#This Row],[length_of_stay_days]]&gt;7,"Yes","No")</f>
        <v>Yes</v>
      </c>
    </row>
    <row r="268" spans="1:13" x14ac:dyDescent="0.3">
      <c r="A268" t="s">
        <v>585</v>
      </c>
      <c r="B268">
        <v>74</v>
      </c>
      <c r="C268" t="s">
        <v>70</v>
      </c>
      <c r="D268" t="s">
        <v>55</v>
      </c>
      <c r="E268" t="s">
        <v>28</v>
      </c>
      <c r="F268" t="s">
        <v>39</v>
      </c>
      <c r="G268" t="s">
        <v>296</v>
      </c>
      <c r="H268">
        <v>6</v>
      </c>
      <c r="I268" s="1">
        <v>9883.69</v>
      </c>
      <c r="J268" t="s">
        <v>17</v>
      </c>
      <c r="K268" t="s">
        <v>18</v>
      </c>
      <c r="L268" t="str" cm="1">
        <f t="array" ref="L268">_xlfn.IFS(B268&lt;30,"18-29",B268&lt;45,"30-44",B268&lt;60,"45-59",B268&lt;75,"60-74",B268&lt;=90,"75-90")</f>
        <v>60-74</v>
      </c>
      <c r="M268" t="str">
        <f>IF(Table1[[#This Row],[length_of_stay_days]]&gt;7,"Yes","No")</f>
        <v>No</v>
      </c>
    </row>
    <row r="269" spans="1:13" x14ac:dyDescent="0.3">
      <c r="A269" t="s">
        <v>586</v>
      </c>
      <c r="B269">
        <v>54</v>
      </c>
      <c r="C269" t="s">
        <v>12</v>
      </c>
      <c r="D269" t="s">
        <v>55</v>
      </c>
      <c r="E269" t="s">
        <v>21</v>
      </c>
      <c r="F269" t="s">
        <v>143</v>
      </c>
      <c r="G269" t="s">
        <v>239</v>
      </c>
      <c r="H269">
        <v>5</v>
      </c>
      <c r="I269" s="1">
        <v>9939.7900000000009</v>
      </c>
      <c r="J269" t="s">
        <v>17</v>
      </c>
      <c r="K269" t="s">
        <v>18</v>
      </c>
      <c r="L269" t="str" cm="1">
        <f t="array" ref="L269">_xlfn.IFS(B269&lt;30,"18-29",B269&lt;45,"30-44",B269&lt;60,"45-59",B269&lt;75,"60-74",B269&lt;=90,"75-90")</f>
        <v>45-59</v>
      </c>
      <c r="M269" t="str">
        <f>IF(Table1[[#This Row],[length_of_stay_days]]&gt;7,"Yes","No")</f>
        <v>No</v>
      </c>
    </row>
    <row r="270" spans="1:13" x14ac:dyDescent="0.3">
      <c r="A270" t="s">
        <v>587</v>
      </c>
      <c r="B270">
        <v>51</v>
      </c>
      <c r="C270" t="s">
        <v>12</v>
      </c>
      <c r="D270" t="s">
        <v>28</v>
      </c>
      <c r="E270" t="s">
        <v>28</v>
      </c>
      <c r="F270" t="s">
        <v>306</v>
      </c>
      <c r="G270" t="s">
        <v>588</v>
      </c>
      <c r="H270">
        <v>2</v>
      </c>
      <c r="I270" s="1">
        <v>4382.08</v>
      </c>
      <c r="J270" t="s">
        <v>17</v>
      </c>
      <c r="K270" t="s">
        <v>18</v>
      </c>
      <c r="L270" t="str" cm="1">
        <f t="array" ref="L270">_xlfn.IFS(B270&lt;30,"18-29",B270&lt;45,"30-44",B270&lt;60,"45-59",B270&lt;75,"60-74",B270&lt;=90,"75-90")</f>
        <v>45-59</v>
      </c>
      <c r="M270" t="str">
        <f>IF(Table1[[#This Row],[length_of_stay_days]]&gt;7,"Yes","No")</f>
        <v>No</v>
      </c>
    </row>
    <row r="271" spans="1:13" x14ac:dyDescent="0.3">
      <c r="A271" t="s">
        <v>589</v>
      </c>
      <c r="B271">
        <v>19</v>
      </c>
      <c r="C271" t="s">
        <v>12</v>
      </c>
      <c r="D271" t="s">
        <v>13</v>
      </c>
      <c r="E271" t="s">
        <v>21</v>
      </c>
      <c r="F271" t="s">
        <v>75</v>
      </c>
      <c r="G271" t="s">
        <v>325</v>
      </c>
      <c r="H271">
        <v>1</v>
      </c>
      <c r="I271" s="1">
        <v>5578.34</v>
      </c>
      <c r="J271" t="s">
        <v>17</v>
      </c>
      <c r="K271" t="s">
        <v>18</v>
      </c>
      <c r="L271" t="str" cm="1">
        <f t="array" ref="L271">_xlfn.IFS(B271&lt;30,"18-29",B271&lt;45,"30-44",B271&lt;60,"45-59",B271&lt;75,"60-74",B271&lt;=90,"75-90")</f>
        <v>18-29</v>
      </c>
      <c r="M271" t="str">
        <f>IF(Table1[[#This Row],[length_of_stay_days]]&gt;7,"Yes","No")</f>
        <v>No</v>
      </c>
    </row>
    <row r="272" spans="1:13" x14ac:dyDescent="0.3">
      <c r="A272" t="s">
        <v>590</v>
      </c>
      <c r="B272">
        <v>24</v>
      </c>
      <c r="C272" t="s">
        <v>20</v>
      </c>
      <c r="D272" t="s">
        <v>32</v>
      </c>
      <c r="E272" t="s">
        <v>28</v>
      </c>
      <c r="F272" t="s">
        <v>208</v>
      </c>
      <c r="G272" t="s">
        <v>591</v>
      </c>
      <c r="H272">
        <v>7</v>
      </c>
      <c r="I272" s="1">
        <v>12001.12</v>
      </c>
      <c r="J272" t="s">
        <v>49</v>
      </c>
      <c r="K272" t="s">
        <v>18</v>
      </c>
      <c r="L272" t="str" cm="1">
        <f t="array" ref="L272">_xlfn.IFS(B272&lt;30,"18-29",B272&lt;45,"30-44",B272&lt;60,"45-59",B272&lt;75,"60-74",B272&lt;=90,"75-90")</f>
        <v>18-29</v>
      </c>
      <c r="M272" t="str">
        <f>IF(Table1[[#This Row],[length_of_stay_days]]&gt;7,"Yes","No")</f>
        <v>No</v>
      </c>
    </row>
    <row r="273" spans="1:13" x14ac:dyDescent="0.3">
      <c r="A273" t="s">
        <v>592</v>
      </c>
      <c r="B273">
        <v>20</v>
      </c>
      <c r="C273" t="s">
        <v>20</v>
      </c>
      <c r="D273" t="s">
        <v>28</v>
      </c>
      <c r="E273" t="s">
        <v>21</v>
      </c>
      <c r="F273" t="s">
        <v>559</v>
      </c>
      <c r="G273" t="s">
        <v>563</v>
      </c>
      <c r="H273">
        <v>2</v>
      </c>
      <c r="I273" s="1">
        <v>1856.75</v>
      </c>
      <c r="J273" t="s">
        <v>17</v>
      </c>
      <c r="K273" t="s">
        <v>18</v>
      </c>
      <c r="L273" t="str" cm="1">
        <f t="array" ref="L273">_xlfn.IFS(B273&lt;30,"18-29",B273&lt;45,"30-44",B273&lt;60,"45-59",B273&lt;75,"60-74",B273&lt;=90,"75-90")</f>
        <v>18-29</v>
      </c>
      <c r="M273" t="str">
        <f>IF(Table1[[#This Row],[length_of_stay_days]]&gt;7,"Yes","No")</f>
        <v>No</v>
      </c>
    </row>
    <row r="274" spans="1:13" x14ac:dyDescent="0.3">
      <c r="A274" t="s">
        <v>593</v>
      </c>
      <c r="B274">
        <v>75</v>
      </c>
      <c r="C274" t="s">
        <v>12</v>
      </c>
      <c r="D274" t="s">
        <v>28</v>
      </c>
      <c r="E274" t="s">
        <v>14</v>
      </c>
      <c r="F274" t="s">
        <v>449</v>
      </c>
      <c r="G274" t="s">
        <v>517</v>
      </c>
      <c r="H274">
        <v>5</v>
      </c>
      <c r="I274" s="1">
        <v>5353.13</v>
      </c>
      <c r="J274" t="s">
        <v>49</v>
      </c>
      <c r="K274" t="s">
        <v>18</v>
      </c>
      <c r="L274" t="str" cm="1">
        <f t="array" ref="L274">_xlfn.IFS(B274&lt;30,"18-29",B274&lt;45,"30-44",B274&lt;60,"45-59",B274&lt;75,"60-74",B274&lt;=90,"75-90")</f>
        <v>75-90</v>
      </c>
      <c r="M274" t="str">
        <f>IF(Table1[[#This Row],[length_of_stay_days]]&gt;7,"Yes","No")</f>
        <v>No</v>
      </c>
    </row>
    <row r="275" spans="1:13" x14ac:dyDescent="0.3">
      <c r="A275" t="s">
        <v>594</v>
      </c>
      <c r="B275">
        <v>84</v>
      </c>
      <c r="C275" t="s">
        <v>20</v>
      </c>
      <c r="D275" t="s">
        <v>51</v>
      </c>
      <c r="E275" t="s">
        <v>21</v>
      </c>
      <c r="F275" t="s">
        <v>92</v>
      </c>
      <c r="G275" t="s">
        <v>335</v>
      </c>
      <c r="H275">
        <v>6</v>
      </c>
      <c r="I275" s="1">
        <v>12266.51</v>
      </c>
      <c r="J275" t="s">
        <v>17</v>
      </c>
      <c r="K275" t="s">
        <v>18</v>
      </c>
      <c r="L275" t="str" cm="1">
        <f t="array" ref="L275">_xlfn.IFS(B275&lt;30,"18-29",B275&lt;45,"30-44",B275&lt;60,"45-59",B275&lt;75,"60-74",B275&lt;=90,"75-90")</f>
        <v>75-90</v>
      </c>
      <c r="M275" t="str">
        <f>IF(Table1[[#This Row],[length_of_stay_days]]&gt;7,"Yes","No")</f>
        <v>No</v>
      </c>
    </row>
    <row r="276" spans="1:13" x14ac:dyDescent="0.3">
      <c r="A276" t="s">
        <v>595</v>
      </c>
      <c r="B276">
        <v>34</v>
      </c>
      <c r="C276" t="s">
        <v>12</v>
      </c>
      <c r="D276" t="s">
        <v>28</v>
      </c>
      <c r="E276" t="s">
        <v>28</v>
      </c>
      <c r="F276" t="s">
        <v>453</v>
      </c>
      <c r="G276" t="s">
        <v>596</v>
      </c>
      <c r="H276">
        <v>5</v>
      </c>
      <c r="I276" s="1">
        <v>5837.46</v>
      </c>
      <c r="J276" t="s">
        <v>17</v>
      </c>
      <c r="K276" t="s">
        <v>18</v>
      </c>
      <c r="L276" t="str" cm="1">
        <f t="array" ref="L276">_xlfn.IFS(B276&lt;30,"18-29",B276&lt;45,"30-44",B276&lt;60,"45-59",B276&lt;75,"60-74",B276&lt;=90,"75-90")</f>
        <v>30-44</v>
      </c>
      <c r="M276" t="str">
        <f>IF(Table1[[#This Row],[length_of_stay_days]]&gt;7,"Yes","No")</f>
        <v>No</v>
      </c>
    </row>
    <row r="277" spans="1:13" x14ac:dyDescent="0.3">
      <c r="A277" t="s">
        <v>597</v>
      </c>
      <c r="B277">
        <v>66</v>
      </c>
      <c r="C277" t="s">
        <v>12</v>
      </c>
      <c r="D277" t="s">
        <v>32</v>
      </c>
      <c r="E277" t="s">
        <v>28</v>
      </c>
      <c r="F277" t="s">
        <v>575</v>
      </c>
      <c r="H277">
        <v>8</v>
      </c>
      <c r="I277" s="1">
        <v>11854.08</v>
      </c>
      <c r="J277" t="s">
        <v>17</v>
      </c>
      <c r="K277" t="s">
        <v>18</v>
      </c>
      <c r="L277" t="str" cm="1">
        <f t="array" ref="L277">_xlfn.IFS(B277&lt;30,"18-29",B277&lt;45,"30-44",B277&lt;60,"45-59",B277&lt;75,"60-74",B277&lt;=90,"75-90")</f>
        <v>60-74</v>
      </c>
      <c r="M277" t="str">
        <f>IF(Table1[[#This Row],[length_of_stay_days]]&gt;7,"Yes","No")</f>
        <v>Yes</v>
      </c>
    </row>
    <row r="278" spans="1:13" x14ac:dyDescent="0.3">
      <c r="A278" t="s">
        <v>598</v>
      </c>
      <c r="B278">
        <v>46</v>
      </c>
      <c r="C278" t="s">
        <v>20</v>
      </c>
      <c r="D278" t="s">
        <v>46</v>
      </c>
      <c r="E278" t="s">
        <v>28</v>
      </c>
      <c r="F278" t="s">
        <v>105</v>
      </c>
      <c r="G278" t="s">
        <v>177</v>
      </c>
      <c r="H278">
        <v>10</v>
      </c>
      <c r="I278" s="1">
        <v>14139.32</v>
      </c>
      <c r="J278" t="s">
        <v>49</v>
      </c>
      <c r="K278" t="s">
        <v>18</v>
      </c>
      <c r="L278" t="str" cm="1">
        <f t="array" ref="L278">_xlfn.IFS(B278&lt;30,"18-29",B278&lt;45,"30-44",B278&lt;60,"45-59",B278&lt;75,"60-74",B278&lt;=90,"75-90")</f>
        <v>45-59</v>
      </c>
      <c r="M278" t="str">
        <f>IF(Table1[[#This Row],[length_of_stay_days]]&gt;7,"Yes","No")</f>
        <v>Yes</v>
      </c>
    </row>
    <row r="279" spans="1:13" x14ac:dyDescent="0.3">
      <c r="A279" t="s">
        <v>599</v>
      </c>
      <c r="B279">
        <v>84</v>
      </c>
      <c r="C279" t="s">
        <v>20</v>
      </c>
      <c r="D279" t="s">
        <v>32</v>
      </c>
      <c r="E279" t="s">
        <v>28</v>
      </c>
      <c r="F279" t="s">
        <v>469</v>
      </c>
      <c r="G279" t="s">
        <v>551</v>
      </c>
      <c r="H279">
        <v>8</v>
      </c>
      <c r="I279" s="1">
        <v>12355.14</v>
      </c>
      <c r="J279" t="s">
        <v>17</v>
      </c>
      <c r="K279" t="s">
        <v>18</v>
      </c>
      <c r="L279" t="str" cm="1">
        <f t="array" ref="L279">_xlfn.IFS(B279&lt;30,"18-29",B279&lt;45,"30-44",B279&lt;60,"45-59",B279&lt;75,"60-74",B279&lt;=90,"75-90")</f>
        <v>75-90</v>
      </c>
      <c r="M279" t="str">
        <f>IF(Table1[[#This Row],[length_of_stay_days]]&gt;7,"Yes","No")</f>
        <v>Yes</v>
      </c>
    </row>
    <row r="280" spans="1:13" x14ac:dyDescent="0.3">
      <c r="A280" t="s">
        <v>600</v>
      </c>
      <c r="B280">
        <v>49</v>
      </c>
      <c r="C280" t="s">
        <v>12</v>
      </c>
      <c r="D280" t="s">
        <v>13</v>
      </c>
      <c r="E280" t="s">
        <v>28</v>
      </c>
      <c r="F280" t="s">
        <v>118</v>
      </c>
      <c r="G280" t="s">
        <v>119</v>
      </c>
      <c r="H280">
        <v>6</v>
      </c>
      <c r="I280" s="1">
        <v>5655.58</v>
      </c>
      <c r="J280" t="s">
        <v>17</v>
      </c>
      <c r="K280" t="s">
        <v>44</v>
      </c>
      <c r="L280" t="str" cm="1">
        <f t="array" ref="L280">_xlfn.IFS(B280&lt;30,"18-29",B280&lt;45,"30-44",B280&lt;60,"45-59",B280&lt;75,"60-74",B280&lt;=90,"75-90")</f>
        <v>45-59</v>
      </c>
      <c r="M280" t="str">
        <f>IF(Table1[[#This Row],[length_of_stay_days]]&gt;7,"Yes","No")</f>
        <v>No</v>
      </c>
    </row>
    <row r="281" spans="1:13" x14ac:dyDescent="0.3">
      <c r="A281" t="s">
        <v>601</v>
      </c>
      <c r="B281">
        <v>19</v>
      </c>
      <c r="C281" t="s">
        <v>12</v>
      </c>
      <c r="D281" t="s">
        <v>13</v>
      </c>
      <c r="E281" t="s">
        <v>14</v>
      </c>
      <c r="F281" t="s">
        <v>503</v>
      </c>
      <c r="G281" t="s">
        <v>504</v>
      </c>
      <c r="H281">
        <v>5</v>
      </c>
      <c r="I281" s="1">
        <v>7920.93</v>
      </c>
      <c r="J281" t="s">
        <v>17</v>
      </c>
      <c r="K281" t="s">
        <v>18</v>
      </c>
      <c r="L281" t="str" cm="1">
        <f t="array" ref="L281">_xlfn.IFS(B281&lt;30,"18-29",B281&lt;45,"30-44",B281&lt;60,"45-59",B281&lt;75,"60-74",B281&lt;=90,"75-90")</f>
        <v>18-29</v>
      </c>
      <c r="M281" t="str">
        <f>IF(Table1[[#This Row],[length_of_stay_days]]&gt;7,"Yes","No")</f>
        <v>No</v>
      </c>
    </row>
    <row r="282" spans="1:13" x14ac:dyDescent="0.3">
      <c r="A282" t="s">
        <v>602</v>
      </c>
      <c r="B282">
        <v>36</v>
      </c>
      <c r="C282" t="s">
        <v>12</v>
      </c>
      <c r="D282" t="s">
        <v>55</v>
      </c>
      <c r="E282" t="s">
        <v>28</v>
      </c>
      <c r="F282" t="s">
        <v>266</v>
      </c>
      <c r="G282" t="s">
        <v>301</v>
      </c>
      <c r="H282">
        <v>8</v>
      </c>
      <c r="I282" s="1">
        <v>12027.3</v>
      </c>
      <c r="J282" t="s">
        <v>17</v>
      </c>
      <c r="K282" t="s">
        <v>18</v>
      </c>
      <c r="L282" t="str" cm="1">
        <f t="array" ref="L282">_xlfn.IFS(B282&lt;30,"18-29",B282&lt;45,"30-44",B282&lt;60,"45-59",B282&lt;75,"60-74",B282&lt;=90,"75-90")</f>
        <v>30-44</v>
      </c>
      <c r="M282" t="str">
        <f>IF(Table1[[#This Row],[length_of_stay_days]]&gt;7,"Yes","No")</f>
        <v>Yes</v>
      </c>
    </row>
    <row r="283" spans="1:13" x14ac:dyDescent="0.3">
      <c r="A283" t="s">
        <v>603</v>
      </c>
      <c r="B283">
        <v>18</v>
      </c>
      <c r="C283" t="s">
        <v>20</v>
      </c>
      <c r="D283" t="s">
        <v>55</v>
      </c>
      <c r="E283" t="s">
        <v>28</v>
      </c>
      <c r="F283" t="s">
        <v>99</v>
      </c>
      <c r="G283" t="s">
        <v>604</v>
      </c>
      <c r="H283">
        <v>4</v>
      </c>
      <c r="I283" s="1">
        <v>8989.81</v>
      </c>
      <c r="J283" t="s">
        <v>49</v>
      </c>
      <c r="K283" t="s">
        <v>18</v>
      </c>
      <c r="L283" t="str" cm="1">
        <f t="array" ref="L283">_xlfn.IFS(B283&lt;30,"18-29",B283&lt;45,"30-44",B283&lt;60,"45-59",B283&lt;75,"60-74",B283&lt;=90,"75-90")</f>
        <v>18-29</v>
      </c>
      <c r="M283" t="str">
        <f>IF(Table1[[#This Row],[length_of_stay_days]]&gt;7,"Yes","No")</f>
        <v>No</v>
      </c>
    </row>
    <row r="284" spans="1:13" x14ac:dyDescent="0.3">
      <c r="A284" t="s">
        <v>605</v>
      </c>
      <c r="B284">
        <v>90</v>
      </c>
      <c r="C284" t="s">
        <v>20</v>
      </c>
      <c r="D284" t="s">
        <v>51</v>
      </c>
      <c r="E284" t="s">
        <v>21</v>
      </c>
      <c r="F284" t="s">
        <v>606</v>
      </c>
      <c r="G284" t="s">
        <v>101</v>
      </c>
      <c r="H284">
        <v>5</v>
      </c>
      <c r="I284" s="1">
        <v>9331.41</v>
      </c>
      <c r="J284" t="s">
        <v>17</v>
      </c>
      <c r="K284" t="s">
        <v>18</v>
      </c>
      <c r="L284" t="str" cm="1">
        <f t="array" ref="L284">_xlfn.IFS(B284&lt;30,"18-29",B284&lt;45,"30-44",B284&lt;60,"45-59",B284&lt;75,"60-74",B284&lt;=90,"75-90")</f>
        <v>75-90</v>
      </c>
      <c r="M284" t="str">
        <f>IF(Table1[[#This Row],[length_of_stay_days]]&gt;7,"Yes","No")</f>
        <v>No</v>
      </c>
    </row>
    <row r="285" spans="1:13" x14ac:dyDescent="0.3">
      <c r="A285" t="s">
        <v>607</v>
      </c>
      <c r="B285">
        <v>51</v>
      </c>
      <c r="C285" t="s">
        <v>12</v>
      </c>
      <c r="D285" t="s">
        <v>28</v>
      </c>
      <c r="E285" t="s">
        <v>14</v>
      </c>
      <c r="F285" t="s">
        <v>478</v>
      </c>
      <c r="G285" t="s">
        <v>268</v>
      </c>
      <c r="H285">
        <v>5</v>
      </c>
      <c r="I285" s="1">
        <v>5685.06</v>
      </c>
      <c r="J285" t="s">
        <v>17</v>
      </c>
      <c r="K285" t="s">
        <v>18</v>
      </c>
      <c r="L285" t="str" cm="1">
        <f t="array" ref="L285">_xlfn.IFS(B285&lt;30,"18-29",B285&lt;45,"30-44",B285&lt;60,"45-59",B285&lt;75,"60-74",B285&lt;=90,"75-90")</f>
        <v>45-59</v>
      </c>
      <c r="M285" t="str">
        <f>IF(Table1[[#This Row],[length_of_stay_days]]&gt;7,"Yes","No")</f>
        <v>No</v>
      </c>
    </row>
    <row r="286" spans="1:13" x14ac:dyDescent="0.3">
      <c r="A286" t="s">
        <v>608</v>
      </c>
      <c r="B286">
        <v>58</v>
      </c>
      <c r="C286" t="s">
        <v>12</v>
      </c>
      <c r="D286" t="s">
        <v>13</v>
      </c>
      <c r="E286" t="s">
        <v>28</v>
      </c>
      <c r="F286" t="s">
        <v>609</v>
      </c>
      <c r="G286" t="s">
        <v>311</v>
      </c>
      <c r="H286">
        <v>7</v>
      </c>
      <c r="I286" s="1">
        <v>8806.57</v>
      </c>
      <c r="J286" t="s">
        <v>17</v>
      </c>
      <c r="K286" t="s">
        <v>18</v>
      </c>
      <c r="L286" t="str" cm="1">
        <f t="array" ref="L286">_xlfn.IFS(B286&lt;30,"18-29",B286&lt;45,"30-44",B286&lt;60,"45-59",B286&lt;75,"60-74",B286&lt;=90,"75-90")</f>
        <v>45-59</v>
      </c>
      <c r="M286" t="str">
        <f>IF(Table1[[#This Row],[length_of_stay_days]]&gt;7,"Yes","No")</f>
        <v>No</v>
      </c>
    </row>
    <row r="287" spans="1:13" x14ac:dyDescent="0.3">
      <c r="A287" t="s">
        <v>610</v>
      </c>
      <c r="B287">
        <v>18</v>
      </c>
      <c r="C287" t="s">
        <v>20</v>
      </c>
      <c r="D287" t="s">
        <v>28</v>
      </c>
      <c r="E287" t="s">
        <v>21</v>
      </c>
      <c r="F287" t="s">
        <v>451</v>
      </c>
      <c r="G287" t="s">
        <v>352</v>
      </c>
      <c r="H287">
        <v>4</v>
      </c>
      <c r="I287" s="1">
        <v>6925.48</v>
      </c>
      <c r="J287" t="s">
        <v>17</v>
      </c>
      <c r="K287" t="s">
        <v>18</v>
      </c>
      <c r="L287" t="str" cm="1">
        <f t="array" ref="L287">_xlfn.IFS(B287&lt;30,"18-29",B287&lt;45,"30-44",B287&lt;60,"45-59",B287&lt;75,"60-74",B287&lt;=90,"75-90")</f>
        <v>18-29</v>
      </c>
      <c r="M287" t="str">
        <f>IF(Table1[[#This Row],[length_of_stay_days]]&gt;7,"Yes","No")</f>
        <v>No</v>
      </c>
    </row>
    <row r="288" spans="1:13" x14ac:dyDescent="0.3">
      <c r="A288" t="s">
        <v>611</v>
      </c>
      <c r="B288">
        <v>83</v>
      </c>
      <c r="C288" t="s">
        <v>20</v>
      </c>
      <c r="D288" t="s">
        <v>28</v>
      </c>
      <c r="E288" t="s">
        <v>28</v>
      </c>
      <c r="F288" t="s">
        <v>352</v>
      </c>
      <c r="G288" t="s">
        <v>186</v>
      </c>
      <c r="H288">
        <v>2</v>
      </c>
      <c r="I288" s="1">
        <v>5349.84</v>
      </c>
      <c r="J288" t="s">
        <v>17</v>
      </c>
      <c r="K288" t="s">
        <v>18</v>
      </c>
      <c r="L288" t="str" cm="1">
        <f t="array" ref="L288">_xlfn.IFS(B288&lt;30,"18-29",B288&lt;45,"30-44",B288&lt;60,"45-59",B288&lt;75,"60-74",B288&lt;=90,"75-90")</f>
        <v>75-90</v>
      </c>
      <c r="M288" t="str">
        <f>IF(Table1[[#This Row],[length_of_stay_days]]&gt;7,"Yes","No")</f>
        <v>No</v>
      </c>
    </row>
    <row r="289" spans="1:13" x14ac:dyDescent="0.3">
      <c r="A289" t="s">
        <v>612</v>
      </c>
      <c r="B289">
        <v>58</v>
      </c>
      <c r="C289" t="s">
        <v>12</v>
      </c>
      <c r="D289" t="s">
        <v>13</v>
      </c>
      <c r="E289" t="s">
        <v>28</v>
      </c>
      <c r="F289" t="s">
        <v>169</v>
      </c>
      <c r="G289" t="s">
        <v>613</v>
      </c>
      <c r="H289">
        <v>8</v>
      </c>
      <c r="I289" s="1">
        <v>10170.98</v>
      </c>
      <c r="J289" t="s">
        <v>17</v>
      </c>
      <c r="K289" t="s">
        <v>18</v>
      </c>
      <c r="L289" t="str" cm="1">
        <f t="array" ref="L289">_xlfn.IFS(B289&lt;30,"18-29",B289&lt;45,"30-44",B289&lt;60,"45-59",B289&lt;75,"60-74",B289&lt;=90,"75-90")</f>
        <v>45-59</v>
      </c>
      <c r="M289" t="str">
        <f>IF(Table1[[#This Row],[length_of_stay_days]]&gt;7,"Yes","No")</f>
        <v>Yes</v>
      </c>
    </row>
    <row r="290" spans="1:13" x14ac:dyDescent="0.3">
      <c r="A290" t="s">
        <v>614</v>
      </c>
      <c r="B290">
        <v>85</v>
      </c>
      <c r="C290" t="s">
        <v>12</v>
      </c>
      <c r="D290" t="s">
        <v>28</v>
      </c>
      <c r="E290" t="s">
        <v>28</v>
      </c>
      <c r="F290" t="s">
        <v>516</v>
      </c>
      <c r="G290" t="s">
        <v>405</v>
      </c>
      <c r="H290">
        <v>10</v>
      </c>
      <c r="I290" s="1">
        <v>10415.370000000001</v>
      </c>
      <c r="J290" t="s">
        <v>17</v>
      </c>
      <c r="K290" t="s">
        <v>18</v>
      </c>
      <c r="L290" t="str" cm="1">
        <f t="array" ref="L290">_xlfn.IFS(B290&lt;30,"18-29",B290&lt;45,"30-44",B290&lt;60,"45-59",B290&lt;75,"60-74",B290&lt;=90,"75-90")</f>
        <v>75-90</v>
      </c>
      <c r="M290" t="str">
        <f>IF(Table1[[#This Row],[length_of_stay_days]]&gt;7,"Yes","No")</f>
        <v>Yes</v>
      </c>
    </row>
    <row r="291" spans="1:13" x14ac:dyDescent="0.3">
      <c r="A291" t="s">
        <v>615</v>
      </c>
      <c r="B291">
        <v>23</v>
      </c>
      <c r="C291" t="s">
        <v>12</v>
      </c>
      <c r="D291" t="s">
        <v>28</v>
      </c>
      <c r="E291" t="s">
        <v>28</v>
      </c>
      <c r="F291" t="s">
        <v>616</v>
      </c>
      <c r="G291" t="s">
        <v>617</v>
      </c>
      <c r="H291">
        <v>3</v>
      </c>
      <c r="I291" s="1">
        <v>6197.65</v>
      </c>
      <c r="J291" t="s">
        <v>17</v>
      </c>
      <c r="K291" t="s">
        <v>18</v>
      </c>
      <c r="L291" t="str" cm="1">
        <f t="array" ref="L291">_xlfn.IFS(B291&lt;30,"18-29",B291&lt;45,"30-44",B291&lt;60,"45-59",B291&lt;75,"60-74",B291&lt;=90,"75-90")</f>
        <v>18-29</v>
      </c>
      <c r="M291" t="str">
        <f>IF(Table1[[#This Row],[length_of_stay_days]]&gt;7,"Yes","No")</f>
        <v>No</v>
      </c>
    </row>
    <row r="292" spans="1:13" x14ac:dyDescent="0.3">
      <c r="A292" t="s">
        <v>618</v>
      </c>
      <c r="B292">
        <v>52</v>
      </c>
      <c r="C292" t="s">
        <v>20</v>
      </c>
      <c r="D292" t="s">
        <v>13</v>
      </c>
      <c r="E292" t="s">
        <v>14</v>
      </c>
      <c r="F292" t="s">
        <v>320</v>
      </c>
      <c r="G292" t="s">
        <v>250</v>
      </c>
      <c r="H292">
        <v>5</v>
      </c>
      <c r="I292" s="1">
        <v>9189.1299999999992</v>
      </c>
      <c r="J292" t="s">
        <v>49</v>
      </c>
      <c r="K292" t="s">
        <v>18</v>
      </c>
      <c r="L292" t="str" cm="1">
        <f t="array" ref="L292">_xlfn.IFS(B292&lt;30,"18-29",B292&lt;45,"30-44",B292&lt;60,"45-59",B292&lt;75,"60-74",B292&lt;=90,"75-90")</f>
        <v>45-59</v>
      </c>
      <c r="M292" t="str">
        <f>IF(Table1[[#This Row],[length_of_stay_days]]&gt;7,"Yes","No")</f>
        <v>No</v>
      </c>
    </row>
    <row r="293" spans="1:13" x14ac:dyDescent="0.3">
      <c r="A293" t="s">
        <v>619</v>
      </c>
      <c r="B293">
        <v>80</v>
      </c>
      <c r="C293" t="s">
        <v>12</v>
      </c>
      <c r="D293" t="s">
        <v>46</v>
      </c>
      <c r="E293" t="s">
        <v>14</v>
      </c>
      <c r="F293" t="s">
        <v>620</v>
      </c>
      <c r="G293" t="s">
        <v>304</v>
      </c>
      <c r="H293">
        <v>9</v>
      </c>
      <c r="I293" s="1">
        <v>15755.85</v>
      </c>
      <c r="J293" t="s">
        <v>17</v>
      </c>
      <c r="K293" t="s">
        <v>18</v>
      </c>
      <c r="L293" t="str" cm="1">
        <f t="array" ref="L293">_xlfn.IFS(B293&lt;30,"18-29",B293&lt;45,"30-44",B293&lt;60,"45-59",B293&lt;75,"60-74",B293&lt;=90,"75-90")</f>
        <v>75-90</v>
      </c>
      <c r="M293" t="str">
        <f>IF(Table1[[#This Row],[length_of_stay_days]]&gt;7,"Yes","No")</f>
        <v>Yes</v>
      </c>
    </row>
    <row r="294" spans="1:13" x14ac:dyDescent="0.3">
      <c r="A294" t="s">
        <v>621</v>
      </c>
      <c r="B294">
        <v>84</v>
      </c>
      <c r="C294" t="s">
        <v>20</v>
      </c>
      <c r="D294" t="s">
        <v>13</v>
      </c>
      <c r="E294" t="s">
        <v>21</v>
      </c>
      <c r="F294" t="s">
        <v>23</v>
      </c>
      <c r="G294" t="s">
        <v>280</v>
      </c>
      <c r="H294">
        <v>6</v>
      </c>
      <c r="I294" s="1">
        <v>8491.5400000000009</v>
      </c>
      <c r="J294" t="s">
        <v>17</v>
      </c>
      <c r="K294" t="s">
        <v>44</v>
      </c>
      <c r="L294" t="str" cm="1">
        <f t="array" ref="L294">_xlfn.IFS(B294&lt;30,"18-29",B294&lt;45,"30-44",B294&lt;60,"45-59",B294&lt;75,"60-74",B294&lt;=90,"75-90")</f>
        <v>75-90</v>
      </c>
      <c r="M294" t="str">
        <f>IF(Table1[[#This Row],[length_of_stay_days]]&gt;7,"Yes","No")</f>
        <v>No</v>
      </c>
    </row>
    <row r="295" spans="1:13" x14ac:dyDescent="0.3">
      <c r="A295" t="s">
        <v>622</v>
      </c>
      <c r="B295">
        <v>33</v>
      </c>
      <c r="C295" t="s">
        <v>20</v>
      </c>
      <c r="D295" t="s">
        <v>46</v>
      </c>
      <c r="E295" t="s">
        <v>14</v>
      </c>
      <c r="F295" t="s">
        <v>428</v>
      </c>
      <c r="G295" t="s">
        <v>623</v>
      </c>
      <c r="H295">
        <v>4</v>
      </c>
      <c r="I295" s="1">
        <v>11824.66</v>
      </c>
      <c r="J295" t="s">
        <v>17</v>
      </c>
      <c r="K295" t="s">
        <v>18</v>
      </c>
      <c r="L295" t="str" cm="1">
        <f t="array" ref="L295">_xlfn.IFS(B295&lt;30,"18-29",B295&lt;45,"30-44",B295&lt;60,"45-59",B295&lt;75,"60-74",B295&lt;=90,"75-90")</f>
        <v>30-44</v>
      </c>
      <c r="M295" t="str">
        <f>IF(Table1[[#This Row],[length_of_stay_days]]&gt;7,"Yes","No")</f>
        <v>No</v>
      </c>
    </row>
    <row r="296" spans="1:13" x14ac:dyDescent="0.3">
      <c r="A296" t="s">
        <v>624</v>
      </c>
      <c r="B296">
        <v>28</v>
      </c>
      <c r="C296" t="s">
        <v>20</v>
      </c>
      <c r="D296" t="s">
        <v>51</v>
      </c>
      <c r="E296" t="s">
        <v>28</v>
      </c>
      <c r="F296" t="s">
        <v>625</v>
      </c>
      <c r="G296" t="s">
        <v>357</v>
      </c>
      <c r="H296">
        <v>9</v>
      </c>
      <c r="I296" s="1">
        <v>14237.17</v>
      </c>
      <c r="J296" t="s">
        <v>17</v>
      </c>
      <c r="K296" t="s">
        <v>18</v>
      </c>
      <c r="L296" t="str" cm="1">
        <f t="array" ref="L296">_xlfn.IFS(B296&lt;30,"18-29",B296&lt;45,"30-44",B296&lt;60,"45-59",B296&lt;75,"60-74",B296&lt;=90,"75-90")</f>
        <v>18-29</v>
      </c>
      <c r="M296" t="str">
        <f>IF(Table1[[#This Row],[length_of_stay_days]]&gt;7,"Yes","No")</f>
        <v>Yes</v>
      </c>
    </row>
    <row r="297" spans="1:13" x14ac:dyDescent="0.3">
      <c r="A297" t="s">
        <v>626</v>
      </c>
      <c r="B297">
        <v>30</v>
      </c>
      <c r="C297" t="s">
        <v>20</v>
      </c>
      <c r="D297" t="s">
        <v>55</v>
      </c>
      <c r="E297" t="s">
        <v>28</v>
      </c>
      <c r="F297" t="s">
        <v>222</v>
      </c>
      <c r="G297" t="s">
        <v>25</v>
      </c>
      <c r="H297">
        <v>7</v>
      </c>
      <c r="I297" s="1">
        <v>11154.24</v>
      </c>
      <c r="J297" t="s">
        <v>17</v>
      </c>
      <c r="K297" t="s">
        <v>18</v>
      </c>
      <c r="L297" t="str" cm="1">
        <f t="array" ref="L297">_xlfn.IFS(B297&lt;30,"18-29",B297&lt;45,"30-44",B297&lt;60,"45-59",B297&lt;75,"60-74",B297&lt;=90,"75-90")</f>
        <v>30-44</v>
      </c>
      <c r="M297" t="str">
        <f>IF(Table1[[#This Row],[length_of_stay_days]]&gt;7,"Yes","No")</f>
        <v>No</v>
      </c>
    </row>
    <row r="298" spans="1:13" x14ac:dyDescent="0.3">
      <c r="A298" t="s">
        <v>627</v>
      </c>
      <c r="B298">
        <v>45</v>
      </c>
      <c r="C298" t="s">
        <v>20</v>
      </c>
      <c r="D298" t="s">
        <v>55</v>
      </c>
      <c r="E298" t="s">
        <v>28</v>
      </c>
      <c r="F298" t="s">
        <v>207</v>
      </c>
      <c r="G298" t="s">
        <v>485</v>
      </c>
      <c r="H298">
        <v>1</v>
      </c>
      <c r="I298" s="1">
        <v>4959.41</v>
      </c>
      <c r="J298" t="s">
        <v>17</v>
      </c>
      <c r="K298" t="s">
        <v>18</v>
      </c>
      <c r="L298" t="str" cm="1">
        <f t="array" ref="L298">_xlfn.IFS(B298&lt;30,"18-29",B298&lt;45,"30-44",B298&lt;60,"45-59",B298&lt;75,"60-74",B298&lt;=90,"75-90")</f>
        <v>45-59</v>
      </c>
      <c r="M298" t="str">
        <f>IF(Table1[[#This Row],[length_of_stay_days]]&gt;7,"Yes","No")</f>
        <v>No</v>
      </c>
    </row>
    <row r="299" spans="1:13" x14ac:dyDescent="0.3">
      <c r="A299" t="s">
        <v>628</v>
      </c>
      <c r="B299">
        <v>87</v>
      </c>
      <c r="C299" t="s">
        <v>20</v>
      </c>
      <c r="D299" t="s">
        <v>51</v>
      </c>
      <c r="E299" t="s">
        <v>21</v>
      </c>
      <c r="F299" t="s">
        <v>447</v>
      </c>
      <c r="G299" t="s">
        <v>629</v>
      </c>
      <c r="H299">
        <v>9</v>
      </c>
      <c r="I299" s="1">
        <v>13396.37</v>
      </c>
      <c r="J299" t="s">
        <v>17</v>
      </c>
      <c r="K299" t="s">
        <v>18</v>
      </c>
      <c r="L299" t="str" cm="1">
        <f t="array" ref="L299">_xlfn.IFS(B299&lt;30,"18-29",B299&lt;45,"30-44",B299&lt;60,"45-59",B299&lt;75,"60-74",B299&lt;=90,"75-90")</f>
        <v>75-90</v>
      </c>
      <c r="M299" t="str">
        <f>IF(Table1[[#This Row],[length_of_stay_days]]&gt;7,"Yes","No")</f>
        <v>Yes</v>
      </c>
    </row>
    <row r="300" spans="1:13" x14ac:dyDescent="0.3">
      <c r="A300" t="s">
        <v>630</v>
      </c>
      <c r="B300">
        <v>24</v>
      </c>
      <c r="C300" t="s">
        <v>20</v>
      </c>
      <c r="D300" t="s">
        <v>28</v>
      </c>
      <c r="E300" t="s">
        <v>21</v>
      </c>
      <c r="F300" t="s">
        <v>99</v>
      </c>
      <c r="G300" t="s">
        <v>581</v>
      </c>
      <c r="H300">
        <v>3</v>
      </c>
      <c r="I300" s="1">
        <v>7234.44</v>
      </c>
      <c r="J300" t="s">
        <v>17</v>
      </c>
      <c r="K300" t="s">
        <v>18</v>
      </c>
      <c r="L300" t="str" cm="1">
        <f t="array" ref="L300">_xlfn.IFS(B300&lt;30,"18-29",B300&lt;45,"30-44",B300&lt;60,"45-59",B300&lt;75,"60-74",B300&lt;=90,"75-90")</f>
        <v>18-29</v>
      </c>
      <c r="M300" t="str">
        <f>IF(Table1[[#This Row],[length_of_stay_days]]&gt;7,"Yes","No")</f>
        <v>No</v>
      </c>
    </row>
    <row r="301" spans="1:13" x14ac:dyDescent="0.3">
      <c r="A301" t="s">
        <v>631</v>
      </c>
      <c r="B301">
        <v>32</v>
      </c>
      <c r="C301" t="s">
        <v>12</v>
      </c>
      <c r="D301" t="s">
        <v>28</v>
      </c>
      <c r="E301" t="s">
        <v>21</v>
      </c>
      <c r="F301" t="s">
        <v>322</v>
      </c>
      <c r="G301" t="s">
        <v>308</v>
      </c>
      <c r="H301">
        <v>5</v>
      </c>
      <c r="I301" s="1">
        <v>6531.13</v>
      </c>
      <c r="J301" t="s">
        <v>17</v>
      </c>
      <c r="K301" t="s">
        <v>18</v>
      </c>
      <c r="L301" t="str" cm="1">
        <f t="array" ref="L301">_xlfn.IFS(B301&lt;30,"18-29",B301&lt;45,"30-44",B301&lt;60,"45-59",B301&lt;75,"60-74",B301&lt;=90,"75-90")</f>
        <v>30-44</v>
      </c>
      <c r="M301" t="str">
        <f>IF(Table1[[#This Row],[length_of_stay_days]]&gt;7,"Yes","No")</f>
        <v>No</v>
      </c>
    </row>
    <row r="302" spans="1:13" x14ac:dyDescent="0.3">
      <c r="A302" t="s">
        <v>632</v>
      </c>
      <c r="B302">
        <v>37</v>
      </c>
      <c r="C302" t="s">
        <v>20</v>
      </c>
      <c r="D302" t="s">
        <v>32</v>
      </c>
      <c r="E302" t="s">
        <v>14</v>
      </c>
      <c r="F302" t="s">
        <v>317</v>
      </c>
      <c r="G302" t="s">
        <v>633</v>
      </c>
      <c r="H302">
        <v>2</v>
      </c>
      <c r="I302" s="1">
        <v>8140.83</v>
      </c>
      <c r="J302" t="s">
        <v>17</v>
      </c>
      <c r="K302" t="s">
        <v>18</v>
      </c>
      <c r="L302" t="str" cm="1">
        <f t="array" ref="L302">_xlfn.IFS(B302&lt;30,"18-29",B302&lt;45,"30-44",B302&lt;60,"45-59",B302&lt;75,"60-74",B302&lt;=90,"75-90")</f>
        <v>30-44</v>
      </c>
      <c r="M302" t="str">
        <f>IF(Table1[[#This Row],[length_of_stay_days]]&gt;7,"Yes","No")</f>
        <v>No</v>
      </c>
    </row>
    <row r="303" spans="1:13" x14ac:dyDescent="0.3">
      <c r="A303" t="s">
        <v>634</v>
      </c>
      <c r="B303">
        <v>28</v>
      </c>
      <c r="C303" t="s">
        <v>20</v>
      </c>
      <c r="D303" t="s">
        <v>13</v>
      </c>
      <c r="E303" t="s">
        <v>14</v>
      </c>
      <c r="F303" t="s">
        <v>42</v>
      </c>
      <c r="G303" t="s">
        <v>543</v>
      </c>
      <c r="H303">
        <v>3</v>
      </c>
      <c r="I303" s="1">
        <v>7028.64</v>
      </c>
      <c r="J303" t="s">
        <v>49</v>
      </c>
      <c r="K303" t="s">
        <v>18</v>
      </c>
      <c r="L303" t="str" cm="1">
        <f t="array" ref="L303">_xlfn.IFS(B303&lt;30,"18-29",B303&lt;45,"30-44",B303&lt;60,"45-59",B303&lt;75,"60-74",B303&lt;=90,"75-90")</f>
        <v>18-29</v>
      </c>
      <c r="M303" t="str">
        <f>IF(Table1[[#This Row],[length_of_stay_days]]&gt;7,"Yes","No")</f>
        <v>No</v>
      </c>
    </row>
    <row r="304" spans="1:13" x14ac:dyDescent="0.3">
      <c r="A304" t="s">
        <v>635</v>
      </c>
      <c r="B304">
        <v>33</v>
      </c>
      <c r="C304" t="s">
        <v>12</v>
      </c>
      <c r="D304" t="s">
        <v>51</v>
      </c>
      <c r="E304" t="s">
        <v>21</v>
      </c>
      <c r="F304" t="s">
        <v>186</v>
      </c>
      <c r="G304" t="s">
        <v>591</v>
      </c>
      <c r="H304">
        <v>6</v>
      </c>
      <c r="I304" s="1">
        <v>9839.2199999999993</v>
      </c>
      <c r="J304" t="s">
        <v>17</v>
      </c>
      <c r="K304" t="s">
        <v>18</v>
      </c>
      <c r="L304" t="str" cm="1">
        <f t="array" ref="L304">_xlfn.IFS(B304&lt;30,"18-29",B304&lt;45,"30-44",B304&lt;60,"45-59",B304&lt;75,"60-74",B304&lt;=90,"75-90")</f>
        <v>30-44</v>
      </c>
      <c r="M304" t="str">
        <f>IF(Table1[[#This Row],[length_of_stay_days]]&gt;7,"Yes","No")</f>
        <v>No</v>
      </c>
    </row>
    <row r="305" spans="1:13" x14ac:dyDescent="0.3">
      <c r="A305" t="s">
        <v>636</v>
      </c>
      <c r="B305">
        <v>73</v>
      </c>
      <c r="C305" t="s">
        <v>20</v>
      </c>
      <c r="D305" t="s">
        <v>55</v>
      </c>
      <c r="E305" t="s">
        <v>21</v>
      </c>
      <c r="F305" t="s">
        <v>288</v>
      </c>
      <c r="G305" t="s">
        <v>395</v>
      </c>
      <c r="H305">
        <v>7</v>
      </c>
      <c r="I305" s="1">
        <v>11804.37</v>
      </c>
      <c r="J305" t="s">
        <v>17</v>
      </c>
      <c r="K305" t="s">
        <v>18</v>
      </c>
      <c r="L305" t="str" cm="1">
        <f t="array" ref="L305">_xlfn.IFS(B305&lt;30,"18-29",B305&lt;45,"30-44",B305&lt;60,"45-59",B305&lt;75,"60-74",B305&lt;=90,"75-90")</f>
        <v>60-74</v>
      </c>
      <c r="M305" t="str">
        <f>IF(Table1[[#This Row],[length_of_stay_days]]&gt;7,"Yes","No")</f>
        <v>No</v>
      </c>
    </row>
    <row r="306" spans="1:13" x14ac:dyDescent="0.3">
      <c r="A306" t="s">
        <v>637</v>
      </c>
      <c r="B306">
        <v>19</v>
      </c>
      <c r="C306" t="s">
        <v>12</v>
      </c>
      <c r="D306" t="s">
        <v>28</v>
      </c>
      <c r="E306" t="s">
        <v>28</v>
      </c>
      <c r="F306" t="s">
        <v>415</v>
      </c>
      <c r="G306" t="s">
        <v>638</v>
      </c>
      <c r="H306">
        <v>6</v>
      </c>
      <c r="I306" s="1">
        <v>6896.14</v>
      </c>
      <c r="J306" t="s">
        <v>49</v>
      </c>
      <c r="K306" t="s">
        <v>18</v>
      </c>
      <c r="L306" t="str" cm="1">
        <f t="array" ref="L306">_xlfn.IFS(B306&lt;30,"18-29",B306&lt;45,"30-44",B306&lt;60,"45-59",B306&lt;75,"60-74",B306&lt;=90,"75-90")</f>
        <v>18-29</v>
      </c>
      <c r="M306" t="str">
        <f>IF(Table1[[#This Row],[length_of_stay_days]]&gt;7,"Yes","No")</f>
        <v>No</v>
      </c>
    </row>
    <row r="307" spans="1:13" x14ac:dyDescent="0.3">
      <c r="A307" t="s">
        <v>639</v>
      </c>
      <c r="B307">
        <v>80</v>
      </c>
      <c r="C307" t="s">
        <v>12</v>
      </c>
      <c r="D307" t="s">
        <v>46</v>
      </c>
      <c r="E307" t="s">
        <v>28</v>
      </c>
      <c r="F307" t="s">
        <v>575</v>
      </c>
      <c r="G307" t="s">
        <v>169</v>
      </c>
      <c r="H307">
        <v>10</v>
      </c>
      <c r="I307" s="1">
        <v>17056.650000000001</v>
      </c>
      <c r="J307" t="s">
        <v>49</v>
      </c>
      <c r="K307" t="s">
        <v>18</v>
      </c>
      <c r="L307" t="str" cm="1">
        <f t="array" ref="L307">_xlfn.IFS(B307&lt;30,"18-29",B307&lt;45,"30-44",B307&lt;60,"45-59",B307&lt;75,"60-74",B307&lt;=90,"75-90")</f>
        <v>75-90</v>
      </c>
      <c r="M307" t="str">
        <f>IF(Table1[[#This Row],[length_of_stay_days]]&gt;7,"Yes","No")</f>
        <v>Yes</v>
      </c>
    </row>
    <row r="308" spans="1:13" x14ac:dyDescent="0.3">
      <c r="A308" t="s">
        <v>640</v>
      </c>
      <c r="B308">
        <v>66</v>
      </c>
      <c r="C308" t="s">
        <v>20</v>
      </c>
      <c r="D308" t="s">
        <v>28</v>
      </c>
      <c r="E308" t="s">
        <v>28</v>
      </c>
      <c r="F308" t="s">
        <v>149</v>
      </c>
      <c r="G308" t="s">
        <v>333</v>
      </c>
      <c r="H308">
        <v>7</v>
      </c>
      <c r="I308" s="1">
        <v>8286.67</v>
      </c>
      <c r="J308" t="s">
        <v>49</v>
      </c>
      <c r="K308" t="s">
        <v>18</v>
      </c>
      <c r="L308" t="str" cm="1">
        <f t="array" ref="L308">_xlfn.IFS(B308&lt;30,"18-29",B308&lt;45,"30-44",B308&lt;60,"45-59",B308&lt;75,"60-74",B308&lt;=90,"75-90")</f>
        <v>60-74</v>
      </c>
      <c r="M308" t="str">
        <f>IF(Table1[[#This Row],[length_of_stay_days]]&gt;7,"Yes","No")</f>
        <v>No</v>
      </c>
    </row>
    <row r="309" spans="1:13" x14ac:dyDescent="0.3">
      <c r="A309" t="s">
        <v>641</v>
      </c>
      <c r="B309">
        <v>62</v>
      </c>
      <c r="C309" t="s">
        <v>20</v>
      </c>
      <c r="D309" t="s">
        <v>28</v>
      </c>
      <c r="E309" t="s">
        <v>28</v>
      </c>
      <c r="F309" t="s">
        <v>270</v>
      </c>
      <c r="G309" t="s">
        <v>408</v>
      </c>
      <c r="H309">
        <v>4</v>
      </c>
      <c r="I309" s="1">
        <v>7190.29</v>
      </c>
      <c r="J309" t="s">
        <v>49</v>
      </c>
      <c r="K309" t="s">
        <v>18</v>
      </c>
      <c r="L309" t="str" cm="1">
        <f t="array" ref="L309">_xlfn.IFS(B309&lt;30,"18-29",B309&lt;45,"30-44",B309&lt;60,"45-59",B309&lt;75,"60-74",B309&lt;=90,"75-90")</f>
        <v>60-74</v>
      </c>
      <c r="M309" t="str">
        <f>IF(Table1[[#This Row],[length_of_stay_days]]&gt;7,"Yes","No")</f>
        <v>No</v>
      </c>
    </row>
    <row r="310" spans="1:13" x14ac:dyDescent="0.3">
      <c r="A310" t="s">
        <v>642</v>
      </c>
      <c r="B310">
        <v>75</v>
      </c>
      <c r="C310" t="s">
        <v>20</v>
      </c>
      <c r="D310" t="s">
        <v>46</v>
      </c>
      <c r="E310" t="s">
        <v>14</v>
      </c>
      <c r="F310" t="s">
        <v>133</v>
      </c>
      <c r="G310" t="s">
        <v>491</v>
      </c>
      <c r="H310">
        <v>9</v>
      </c>
      <c r="I310" s="1">
        <v>16810.71</v>
      </c>
      <c r="J310" t="s">
        <v>17</v>
      </c>
      <c r="K310" t="s">
        <v>18</v>
      </c>
      <c r="L310" t="str" cm="1">
        <f t="array" ref="L310">_xlfn.IFS(B310&lt;30,"18-29",B310&lt;45,"30-44",B310&lt;60,"45-59",B310&lt;75,"60-74",B310&lt;=90,"75-90")</f>
        <v>75-90</v>
      </c>
      <c r="M310" t="str">
        <f>IF(Table1[[#This Row],[length_of_stay_days]]&gt;7,"Yes","No")</f>
        <v>Yes</v>
      </c>
    </row>
    <row r="311" spans="1:13" x14ac:dyDescent="0.3">
      <c r="A311" t="s">
        <v>643</v>
      </c>
      <c r="B311">
        <v>47</v>
      </c>
      <c r="C311" t="s">
        <v>20</v>
      </c>
      <c r="D311" t="s">
        <v>51</v>
      </c>
      <c r="E311" t="s">
        <v>28</v>
      </c>
      <c r="F311" t="s">
        <v>382</v>
      </c>
      <c r="G311" t="s">
        <v>644</v>
      </c>
      <c r="H311">
        <v>6</v>
      </c>
      <c r="I311" s="1">
        <v>11860.31</v>
      </c>
      <c r="J311" t="s">
        <v>49</v>
      </c>
      <c r="K311" t="s">
        <v>18</v>
      </c>
      <c r="L311" t="str" cm="1">
        <f t="array" ref="L311">_xlfn.IFS(B311&lt;30,"18-29",B311&lt;45,"30-44",B311&lt;60,"45-59",B311&lt;75,"60-74",B311&lt;=90,"75-90")</f>
        <v>45-59</v>
      </c>
      <c r="M311" t="str">
        <f>IF(Table1[[#This Row],[length_of_stay_days]]&gt;7,"Yes","No")</f>
        <v>No</v>
      </c>
    </row>
    <row r="312" spans="1:13" x14ac:dyDescent="0.3">
      <c r="A312" t="s">
        <v>645</v>
      </c>
      <c r="B312">
        <v>66</v>
      </c>
      <c r="C312" t="s">
        <v>12</v>
      </c>
      <c r="D312" t="s">
        <v>28</v>
      </c>
      <c r="E312" t="s">
        <v>28</v>
      </c>
      <c r="F312" t="s">
        <v>646</v>
      </c>
      <c r="G312" t="s">
        <v>575</v>
      </c>
      <c r="H312">
        <v>3</v>
      </c>
      <c r="I312" s="1">
        <v>5027.0200000000004</v>
      </c>
      <c r="J312" t="s">
        <v>17</v>
      </c>
      <c r="K312" t="s">
        <v>18</v>
      </c>
      <c r="L312" t="str" cm="1">
        <f t="array" ref="L312">_xlfn.IFS(B312&lt;30,"18-29",B312&lt;45,"30-44",B312&lt;60,"45-59",B312&lt;75,"60-74",B312&lt;=90,"75-90")</f>
        <v>60-74</v>
      </c>
      <c r="M312" t="str">
        <f>IF(Table1[[#This Row],[length_of_stay_days]]&gt;7,"Yes","No")</f>
        <v>No</v>
      </c>
    </row>
    <row r="313" spans="1:13" x14ac:dyDescent="0.3">
      <c r="A313" t="s">
        <v>647</v>
      </c>
      <c r="B313">
        <v>88</v>
      </c>
      <c r="C313" t="s">
        <v>12</v>
      </c>
      <c r="D313" t="s">
        <v>28</v>
      </c>
      <c r="E313" t="s">
        <v>28</v>
      </c>
      <c r="F313" t="s">
        <v>648</v>
      </c>
      <c r="G313" t="s">
        <v>584</v>
      </c>
      <c r="H313">
        <v>5</v>
      </c>
      <c r="I313" s="1">
        <v>4137.01</v>
      </c>
      <c r="J313" t="s">
        <v>17</v>
      </c>
      <c r="K313" t="s">
        <v>18</v>
      </c>
      <c r="L313" t="str" cm="1">
        <f t="array" ref="L313">_xlfn.IFS(B313&lt;30,"18-29",B313&lt;45,"30-44",B313&lt;60,"45-59",B313&lt;75,"60-74",B313&lt;=90,"75-90")</f>
        <v>75-90</v>
      </c>
      <c r="M313" t="str">
        <f>IF(Table1[[#This Row],[length_of_stay_days]]&gt;7,"Yes","No")</f>
        <v>No</v>
      </c>
    </row>
    <row r="314" spans="1:13" x14ac:dyDescent="0.3">
      <c r="A314" t="s">
        <v>649</v>
      </c>
      <c r="B314">
        <v>70</v>
      </c>
      <c r="C314" t="s">
        <v>12</v>
      </c>
      <c r="D314" t="s">
        <v>28</v>
      </c>
      <c r="E314" t="s">
        <v>14</v>
      </c>
      <c r="F314" t="s">
        <v>506</v>
      </c>
      <c r="G314" t="s">
        <v>133</v>
      </c>
      <c r="H314">
        <v>5</v>
      </c>
      <c r="I314" s="1">
        <v>7848.19</v>
      </c>
      <c r="J314" t="s">
        <v>17</v>
      </c>
      <c r="K314" t="s">
        <v>18</v>
      </c>
      <c r="L314" t="str" cm="1">
        <f t="array" ref="L314">_xlfn.IFS(B314&lt;30,"18-29",B314&lt;45,"30-44",B314&lt;60,"45-59",B314&lt;75,"60-74",B314&lt;=90,"75-90")</f>
        <v>60-74</v>
      </c>
      <c r="M314" t="str">
        <f>IF(Table1[[#This Row],[length_of_stay_days]]&gt;7,"Yes","No")</f>
        <v>No</v>
      </c>
    </row>
    <row r="315" spans="1:13" x14ac:dyDescent="0.3">
      <c r="A315" t="s">
        <v>650</v>
      </c>
      <c r="B315">
        <v>41</v>
      </c>
      <c r="C315" t="s">
        <v>12</v>
      </c>
      <c r="D315" t="s">
        <v>32</v>
      </c>
      <c r="E315" t="s">
        <v>14</v>
      </c>
      <c r="F315" t="s">
        <v>203</v>
      </c>
      <c r="G315" t="s">
        <v>47</v>
      </c>
      <c r="H315">
        <v>4</v>
      </c>
      <c r="I315" s="1">
        <v>8616.7900000000009</v>
      </c>
      <c r="J315" t="s">
        <v>17</v>
      </c>
      <c r="K315" t="s">
        <v>18</v>
      </c>
      <c r="L315" t="str" cm="1">
        <f t="array" ref="L315">_xlfn.IFS(B315&lt;30,"18-29",B315&lt;45,"30-44",B315&lt;60,"45-59",B315&lt;75,"60-74",B315&lt;=90,"75-90")</f>
        <v>30-44</v>
      </c>
      <c r="M315" t="str">
        <f>IF(Table1[[#This Row],[length_of_stay_days]]&gt;7,"Yes","No")</f>
        <v>No</v>
      </c>
    </row>
    <row r="316" spans="1:13" x14ac:dyDescent="0.3">
      <c r="A316" t="s">
        <v>651</v>
      </c>
      <c r="B316">
        <v>81</v>
      </c>
      <c r="C316" t="s">
        <v>20</v>
      </c>
      <c r="D316" t="s">
        <v>13</v>
      </c>
      <c r="E316" t="s">
        <v>21</v>
      </c>
      <c r="F316" t="s">
        <v>25</v>
      </c>
      <c r="G316" t="s">
        <v>108</v>
      </c>
      <c r="H316">
        <v>5</v>
      </c>
      <c r="I316" s="1">
        <v>6957.02</v>
      </c>
      <c r="J316" t="s">
        <v>17</v>
      </c>
      <c r="K316" t="s">
        <v>18</v>
      </c>
      <c r="L316" t="str" cm="1">
        <f t="array" ref="L316">_xlfn.IFS(B316&lt;30,"18-29",B316&lt;45,"30-44",B316&lt;60,"45-59",B316&lt;75,"60-74",B316&lt;=90,"75-90")</f>
        <v>75-90</v>
      </c>
      <c r="M316" t="str">
        <f>IF(Table1[[#This Row],[length_of_stay_days]]&gt;7,"Yes","No")</f>
        <v>No</v>
      </c>
    </row>
    <row r="317" spans="1:13" x14ac:dyDescent="0.3">
      <c r="A317" t="s">
        <v>652</v>
      </c>
      <c r="B317">
        <v>84</v>
      </c>
      <c r="C317" t="s">
        <v>20</v>
      </c>
      <c r="D317" t="s">
        <v>28</v>
      </c>
      <c r="E317" t="s">
        <v>14</v>
      </c>
      <c r="F317" t="s">
        <v>152</v>
      </c>
      <c r="G317" t="s">
        <v>390</v>
      </c>
      <c r="H317">
        <v>4</v>
      </c>
      <c r="I317" s="1">
        <v>4099.7700000000004</v>
      </c>
      <c r="J317" t="s">
        <v>49</v>
      </c>
      <c r="K317" t="s">
        <v>18</v>
      </c>
      <c r="L317" t="str" cm="1">
        <f t="array" ref="L317">_xlfn.IFS(B317&lt;30,"18-29",B317&lt;45,"30-44",B317&lt;60,"45-59",B317&lt;75,"60-74",B317&lt;=90,"75-90")</f>
        <v>75-90</v>
      </c>
      <c r="M317" t="str">
        <f>IF(Table1[[#This Row],[length_of_stay_days]]&gt;7,"Yes","No")</f>
        <v>No</v>
      </c>
    </row>
    <row r="318" spans="1:13" x14ac:dyDescent="0.3">
      <c r="A318" t="s">
        <v>653</v>
      </c>
      <c r="B318">
        <v>73</v>
      </c>
      <c r="C318" t="s">
        <v>20</v>
      </c>
      <c r="D318" t="s">
        <v>55</v>
      </c>
      <c r="E318" t="s">
        <v>14</v>
      </c>
      <c r="F318" t="s">
        <v>654</v>
      </c>
      <c r="G318" t="s">
        <v>127</v>
      </c>
      <c r="H318">
        <v>3</v>
      </c>
      <c r="I318" s="1">
        <v>5853.8</v>
      </c>
      <c r="J318" t="s">
        <v>17</v>
      </c>
      <c r="K318" t="s">
        <v>18</v>
      </c>
      <c r="L318" t="str" cm="1">
        <f t="array" ref="L318">_xlfn.IFS(B318&lt;30,"18-29",B318&lt;45,"30-44",B318&lt;60,"45-59",B318&lt;75,"60-74",B318&lt;=90,"75-90")</f>
        <v>60-74</v>
      </c>
      <c r="M318" t="str">
        <f>IF(Table1[[#This Row],[length_of_stay_days]]&gt;7,"Yes","No")</f>
        <v>No</v>
      </c>
    </row>
    <row r="319" spans="1:13" x14ac:dyDescent="0.3">
      <c r="A319" t="s">
        <v>655</v>
      </c>
      <c r="B319">
        <v>18</v>
      </c>
      <c r="C319" t="s">
        <v>12</v>
      </c>
      <c r="D319" t="s">
        <v>32</v>
      </c>
      <c r="E319" t="s">
        <v>28</v>
      </c>
      <c r="F319" t="s">
        <v>319</v>
      </c>
      <c r="G319" t="s">
        <v>656</v>
      </c>
      <c r="H319">
        <v>8</v>
      </c>
      <c r="I319" s="1">
        <v>11610.19</v>
      </c>
      <c r="J319" t="s">
        <v>49</v>
      </c>
      <c r="K319" t="s">
        <v>18</v>
      </c>
      <c r="L319" t="str" cm="1">
        <f t="array" ref="L319">_xlfn.IFS(B319&lt;30,"18-29",B319&lt;45,"30-44",B319&lt;60,"45-59",B319&lt;75,"60-74",B319&lt;=90,"75-90")</f>
        <v>18-29</v>
      </c>
      <c r="M319" t="str">
        <f>IF(Table1[[#This Row],[length_of_stay_days]]&gt;7,"Yes","No")</f>
        <v>Yes</v>
      </c>
    </row>
    <row r="320" spans="1:13" x14ac:dyDescent="0.3">
      <c r="A320" t="s">
        <v>657</v>
      </c>
      <c r="B320">
        <v>63</v>
      </c>
      <c r="C320" t="s">
        <v>12</v>
      </c>
      <c r="D320" t="s">
        <v>28</v>
      </c>
      <c r="E320" t="s">
        <v>14</v>
      </c>
      <c r="F320" t="s">
        <v>658</v>
      </c>
      <c r="G320" t="s">
        <v>554</v>
      </c>
      <c r="H320">
        <v>1</v>
      </c>
      <c r="I320" s="1">
        <v>2134.09</v>
      </c>
      <c r="J320" t="s">
        <v>17</v>
      </c>
      <c r="K320" t="s">
        <v>18</v>
      </c>
      <c r="L320" t="str" cm="1">
        <f t="array" ref="L320">_xlfn.IFS(B320&lt;30,"18-29",B320&lt;45,"30-44",B320&lt;60,"45-59",B320&lt;75,"60-74",B320&lt;=90,"75-90")</f>
        <v>60-74</v>
      </c>
      <c r="M320" t="str">
        <f>IF(Table1[[#This Row],[length_of_stay_days]]&gt;7,"Yes","No")</f>
        <v>No</v>
      </c>
    </row>
    <row r="321" spans="1:13" x14ac:dyDescent="0.3">
      <c r="A321" t="s">
        <v>659</v>
      </c>
      <c r="B321">
        <v>78</v>
      </c>
      <c r="C321" t="s">
        <v>12</v>
      </c>
      <c r="D321" t="s">
        <v>32</v>
      </c>
      <c r="E321" t="s">
        <v>21</v>
      </c>
      <c r="F321" t="s">
        <v>261</v>
      </c>
      <c r="G321" t="s">
        <v>395</v>
      </c>
      <c r="H321">
        <v>10</v>
      </c>
      <c r="I321" s="1">
        <v>14124.51</v>
      </c>
      <c r="J321" t="s">
        <v>17</v>
      </c>
      <c r="K321" t="s">
        <v>44</v>
      </c>
      <c r="L321" t="str" cm="1">
        <f t="array" ref="L321">_xlfn.IFS(B321&lt;30,"18-29",B321&lt;45,"30-44",B321&lt;60,"45-59",B321&lt;75,"60-74",B321&lt;=90,"75-90")</f>
        <v>75-90</v>
      </c>
      <c r="M321" t="str">
        <f>IF(Table1[[#This Row],[length_of_stay_days]]&gt;7,"Yes","No")</f>
        <v>Yes</v>
      </c>
    </row>
    <row r="322" spans="1:13" x14ac:dyDescent="0.3">
      <c r="A322" t="s">
        <v>660</v>
      </c>
      <c r="B322">
        <v>72</v>
      </c>
      <c r="C322" t="s">
        <v>12</v>
      </c>
      <c r="D322" t="s">
        <v>28</v>
      </c>
      <c r="E322" t="s">
        <v>21</v>
      </c>
      <c r="F322" t="s">
        <v>342</v>
      </c>
      <c r="G322" t="s">
        <v>258</v>
      </c>
      <c r="H322">
        <v>5</v>
      </c>
      <c r="I322" s="1">
        <v>7738.46</v>
      </c>
      <c r="J322" t="s">
        <v>17</v>
      </c>
      <c r="K322" t="s">
        <v>18</v>
      </c>
      <c r="L322" t="str" cm="1">
        <f t="array" ref="L322">_xlfn.IFS(B322&lt;30,"18-29",B322&lt;45,"30-44",B322&lt;60,"45-59",B322&lt;75,"60-74",B322&lt;=90,"75-90")</f>
        <v>60-74</v>
      </c>
      <c r="M322" t="str">
        <f>IF(Table1[[#This Row],[length_of_stay_days]]&gt;7,"Yes","No")</f>
        <v>No</v>
      </c>
    </row>
    <row r="323" spans="1:13" x14ac:dyDescent="0.3">
      <c r="A323" t="s">
        <v>661</v>
      </c>
      <c r="B323">
        <v>77</v>
      </c>
      <c r="C323" t="s">
        <v>12</v>
      </c>
      <c r="D323" t="s">
        <v>55</v>
      </c>
      <c r="E323" t="s">
        <v>28</v>
      </c>
      <c r="F323" t="s">
        <v>221</v>
      </c>
      <c r="G323" t="s">
        <v>186</v>
      </c>
      <c r="H323">
        <v>7</v>
      </c>
      <c r="I323" s="1">
        <v>11574.55</v>
      </c>
      <c r="J323" t="s">
        <v>17</v>
      </c>
      <c r="K323" t="s">
        <v>18</v>
      </c>
      <c r="L323" t="str" cm="1">
        <f t="array" ref="L323">_xlfn.IFS(B323&lt;30,"18-29",B323&lt;45,"30-44",B323&lt;60,"45-59",B323&lt;75,"60-74",B323&lt;=90,"75-90")</f>
        <v>75-90</v>
      </c>
      <c r="M323" t="str">
        <f>IF(Table1[[#This Row],[length_of_stay_days]]&gt;7,"Yes","No")</f>
        <v>No</v>
      </c>
    </row>
    <row r="324" spans="1:13" x14ac:dyDescent="0.3">
      <c r="A324" t="s">
        <v>662</v>
      </c>
      <c r="B324">
        <v>30</v>
      </c>
      <c r="C324" t="s">
        <v>12</v>
      </c>
      <c r="D324" t="s">
        <v>13</v>
      </c>
      <c r="E324" t="s">
        <v>28</v>
      </c>
      <c r="F324" t="s">
        <v>663</v>
      </c>
      <c r="G324" t="s">
        <v>327</v>
      </c>
      <c r="H324">
        <v>4</v>
      </c>
      <c r="I324" s="1">
        <v>7200.62</v>
      </c>
      <c r="J324" t="s">
        <v>17</v>
      </c>
      <c r="K324" t="s">
        <v>18</v>
      </c>
      <c r="L324" t="str" cm="1">
        <f t="array" ref="L324">_xlfn.IFS(B324&lt;30,"18-29",B324&lt;45,"30-44",B324&lt;60,"45-59",B324&lt;75,"60-74",B324&lt;=90,"75-90")</f>
        <v>30-44</v>
      </c>
      <c r="M324" t="str">
        <f>IF(Table1[[#This Row],[length_of_stay_days]]&gt;7,"Yes","No")</f>
        <v>No</v>
      </c>
    </row>
    <row r="325" spans="1:13" x14ac:dyDescent="0.3">
      <c r="A325" t="s">
        <v>664</v>
      </c>
      <c r="B325">
        <v>78</v>
      </c>
      <c r="C325" t="s">
        <v>12</v>
      </c>
      <c r="D325" t="s">
        <v>28</v>
      </c>
      <c r="E325" t="s">
        <v>28</v>
      </c>
      <c r="F325" t="s">
        <v>317</v>
      </c>
      <c r="G325" t="s">
        <v>93</v>
      </c>
      <c r="H325">
        <v>6</v>
      </c>
      <c r="I325" s="1">
        <v>5950.27</v>
      </c>
      <c r="J325" t="s">
        <v>17</v>
      </c>
      <c r="K325" t="s">
        <v>18</v>
      </c>
      <c r="L325" t="str" cm="1">
        <f t="array" ref="L325">_xlfn.IFS(B325&lt;30,"18-29",B325&lt;45,"30-44",B325&lt;60,"45-59",B325&lt;75,"60-74",B325&lt;=90,"75-90")</f>
        <v>75-90</v>
      </c>
      <c r="M325" t="str">
        <f>IF(Table1[[#This Row],[length_of_stay_days]]&gt;7,"Yes","No")</f>
        <v>No</v>
      </c>
    </row>
    <row r="326" spans="1:13" x14ac:dyDescent="0.3">
      <c r="A326" t="s">
        <v>665</v>
      </c>
      <c r="B326">
        <v>76</v>
      </c>
      <c r="C326" t="s">
        <v>20</v>
      </c>
      <c r="D326" t="s">
        <v>51</v>
      </c>
      <c r="E326" t="s">
        <v>14</v>
      </c>
      <c r="F326" t="s">
        <v>346</v>
      </c>
      <c r="G326" t="s">
        <v>149</v>
      </c>
      <c r="H326">
        <v>4</v>
      </c>
      <c r="I326" s="1">
        <v>12083.66</v>
      </c>
      <c r="J326" t="s">
        <v>17</v>
      </c>
      <c r="K326" t="s">
        <v>18</v>
      </c>
      <c r="L326" t="str" cm="1">
        <f t="array" ref="L326">_xlfn.IFS(B326&lt;30,"18-29",B326&lt;45,"30-44",B326&lt;60,"45-59",B326&lt;75,"60-74",B326&lt;=90,"75-90")</f>
        <v>75-90</v>
      </c>
      <c r="M326" t="str">
        <f>IF(Table1[[#This Row],[length_of_stay_days]]&gt;7,"Yes","No")</f>
        <v>No</v>
      </c>
    </row>
    <row r="327" spans="1:13" x14ac:dyDescent="0.3">
      <c r="A327" t="s">
        <v>666</v>
      </c>
      <c r="B327">
        <v>25</v>
      </c>
      <c r="C327" t="s">
        <v>20</v>
      </c>
      <c r="D327" t="s">
        <v>28</v>
      </c>
      <c r="E327" t="s">
        <v>28</v>
      </c>
      <c r="F327" t="s">
        <v>157</v>
      </c>
      <c r="G327" t="s">
        <v>148</v>
      </c>
      <c r="H327">
        <v>7</v>
      </c>
      <c r="I327" s="1">
        <v>6337.4</v>
      </c>
      <c r="J327" t="s">
        <v>49</v>
      </c>
      <c r="K327" t="s">
        <v>18</v>
      </c>
      <c r="L327" t="str" cm="1">
        <f t="array" ref="L327">_xlfn.IFS(B327&lt;30,"18-29",B327&lt;45,"30-44",B327&lt;60,"45-59",B327&lt;75,"60-74",B327&lt;=90,"75-90")</f>
        <v>18-29</v>
      </c>
      <c r="M327" t="str">
        <f>IF(Table1[[#This Row],[length_of_stay_days]]&gt;7,"Yes","No")</f>
        <v>No</v>
      </c>
    </row>
    <row r="328" spans="1:13" x14ac:dyDescent="0.3">
      <c r="A328" t="s">
        <v>667</v>
      </c>
      <c r="B328">
        <v>45</v>
      </c>
      <c r="C328" t="s">
        <v>20</v>
      </c>
      <c r="D328" t="s">
        <v>46</v>
      </c>
      <c r="E328" t="s">
        <v>28</v>
      </c>
      <c r="F328" t="s">
        <v>620</v>
      </c>
      <c r="H328">
        <v>7</v>
      </c>
      <c r="I328" s="1">
        <v>16378.98</v>
      </c>
      <c r="J328" t="s">
        <v>17</v>
      </c>
      <c r="K328" t="s">
        <v>44</v>
      </c>
      <c r="L328" t="str" cm="1">
        <f t="array" ref="L328">_xlfn.IFS(B328&lt;30,"18-29",B328&lt;45,"30-44",B328&lt;60,"45-59",B328&lt;75,"60-74",B328&lt;=90,"75-90")</f>
        <v>45-59</v>
      </c>
      <c r="M328" t="str">
        <f>IF(Table1[[#This Row],[length_of_stay_days]]&gt;7,"Yes","No")</f>
        <v>No</v>
      </c>
    </row>
    <row r="329" spans="1:13" x14ac:dyDescent="0.3">
      <c r="A329" t="s">
        <v>668</v>
      </c>
      <c r="B329">
        <v>53</v>
      </c>
      <c r="C329" t="s">
        <v>12</v>
      </c>
      <c r="D329" t="s">
        <v>28</v>
      </c>
      <c r="E329" t="s">
        <v>28</v>
      </c>
      <c r="F329" t="s">
        <v>322</v>
      </c>
      <c r="G329" t="s">
        <v>22</v>
      </c>
      <c r="H329">
        <v>8</v>
      </c>
      <c r="I329" s="1">
        <v>5599.71</v>
      </c>
      <c r="J329" t="s">
        <v>17</v>
      </c>
      <c r="K329" t="s">
        <v>18</v>
      </c>
      <c r="L329" t="str" cm="1">
        <f t="array" ref="L329">_xlfn.IFS(B329&lt;30,"18-29",B329&lt;45,"30-44",B329&lt;60,"45-59",B329&lt;75,"60-74",B329&lt;=90,"75-90")</f>
        <v>45-59</v>
      </c>
      <c r="M329" t="str">
        <f>IF(Table1[[#This Row],[length_of_stay_days]]&gt;7,"Yes","No")</f>
        <v>Yes</v>
      </c>
    </row>
    <row r="330" spans="1:13" x14ac:dyDescent="0.3">
      <c r="A330" t="s">
        <v>669</v>
      </c>
      <c r="B330">
        <v>28</v>
      </c>
      <c r="C330" t="s">
        <v>12</v>
      </c>
      <c r="D330" t="s">
        <v>13</v>
      </c>
      <c r="E330" t="s">
        <v>28</v>
      </c>
      <c r="F330" t="s">
        <v>109</v>
      </c>
      <c r="G330" t="s">
        <v>449</v>
      </c>
      <c r="H330">
        <v>4</v>
      </c>
      <c r="I330" s="1">
        <v>3876.58</v>
      </c>
      <c r="J330" t="s">
        <v>49</v>
      </c>
      <c r="K330" t="s">
        <v>223</v>
      </c>
      <c r="L330" t="str" cm="1">
        <f t="array" ref="L330">_xlfn.IFS(B330&lt;30,"18-29",B330&lt;45,"30-44",B330&lt;60,"45-59",B330&lt;75,"60-74",B330&lt;=90,"75-90")</f>
        <v>18-29</v>
      </c>
      <c r="M330" t="str">
        <f>IF(Table1[[#This Row],[length_of_stay_days]]&gt;7,"Yes","No")</f>
        <v>No</v>
      </c>
    </row>
    <row r="331" spans="1:13" x14ac:dyDescent="0.3">
      <c r="A331" t="s">
        <v>670</v>
      </c>
      <c r="B331">
        <v>56</v>
      </c>
      <c r="C331" t="s">
        <v>12</v>
      </c>
      <c r="D331" t="s">
        <v>32</v>
      </c>
      <c r="E331" t="s">
        <v>21</v>
      </c>
      <c r="F331" t="s">
        <v>180</v>
      </c>
      <c r="G331" t="s">
        <v>506</v>
      </c>
      <c r="H331">
        <v>9</v>
      </c>
      <c r="I331" s="1">
        <v>13155.11</v>
      </c>
      <c r="J331" t="s">
        <v>17</v>
      </c>
      <c r="K331" t="s">
        <v>18</v>
      </c>
      <c r="L331" t="str" cm="1">
        <f t="array" ref="L331">_xlfn.IFS(B331&lt;30,"18-29",B331&lt;45,"30-44",B331&lt;60,"45-59",B331&lt;75,"60-74",B331&lt;=90,"75-90")</f>
        <v>45-59</v>
      </c>
      <c r="M331" t="str">
        <f>IF(Table1[[#This Row],[length_of_stay_days]]&gt;7,"Yes","No")</f>
        <v>Yes</v>
      </c>
    </row>
    <row r="332" spans="1:13" x14ac:dyDescent="0.3">
      <c r="A332" t="s">
        <v>671</v>
      </c>
      <c r="B332">
        <v>78</v>
      </c>
      <c r="C332" t="s">
        <v>20</v>
      </c>
      <c r="D332" t="s">
        <v>28</v>
      </c>
      <c r="E332" t="s">
        <v>14</v>
      </c>
      <c r="F332" t="s">
        <v>207</v>
      </c>
      <c r="G332" t="s">
        <v>86</v>
      </c>
      <c r="H332">
        <v>5</v>
      </c>
      <c r="I332" s="1">
        <v>4531.08</v>
      </c>
      <c r="J332" t="s">
        <v>17</v>
      </c>
      <c r="K332" t="s">
        <v>18</v>
      </c>
      <c r="L332" t="str" cm="1">
        <f t="array" ref="L332">_xlfn.IFS(B332&lt;30,"18-29",B332&lt;45,"30-44",B332&lt;60,"45-59",B332&lt;75,"60-74",B332&lt;=90,"75-90")</f>
        <v>75-90</v>
      </c>
      <c r="M332" t="str">
        <f>IF(Table1[[#This Row],[length_of_stay_days]]&gt;7,"Yes","No")</f>
        <v>No</v>
      </c>
    </row>
    <row r="333" spans="1:13" x14ac:dyDescent="0.3">
      <c r="A333" t="s">
        <v>672</v>
      </c>
      <c r="B333">
        <v>65</v>
      </c>
      <c r="C333" t="s">
        <v>20</v>
      </c>
      <c r="D333" t="s">
        <v>32</v>
      </c>
      <c r="E333" t="s">
        <v>28</v>
      </c>
      <c r="F333" t="s">
        <v>574</v>
      </c>
      <c r="G333" t="s">
        <v>168</v>
      </c>
      <c r="H333">
        <v>8</v>
      </c>
      <c r="I333" s="1">
        <v>11971.76</v>
      </c>
      <c r="J333" t="s">
        <v>17</v>
      </c>
      <c r="K333" t="s">
        <v>18</v>
      </c>
      <c r="L333" t="str" cm="1">
        <f t="array" ref="L333">_xlfn.IFS(B333&lt;30,"18-29",B333&lt;45,"30-44",B333&lt;60,"45-59",B333&lt;75,"60-74",B333&lt;=90,"75-90")</f>
        <v>60-74</v>
      </c>
      <c r="M333" t="str">
        <f>IF(Table1[[#This Row],[length_of_stay_days]]&gt;7,"Yes","No")</f>
        <v>Yes</v>
      </c>
    </row>
    <row r="334" spans="1:13" x14ac:dyDescent="0.3">
      <c r="A334" t="s">
        <v>673</v>
      </c>
      <c r="B334">
        <v>23</v>
      </c>
      <c r="C334" t="s">
        <v>20</v>
      </c>
      <c r="D334" t="s">
        <v>13</v>
      </c>
      <c r="E334" t="s">
        <v>28</v>
      </c>
      <c r="F334" t="s">
        <v>168</v>
      </c>
      <c r="G334" t="s">
        <v>415</v>
      </c>
      <c r="H334">
        <v>4</v>
      </c>
      <c r="I334" s="1">
        <v>7404.46</v>
      </c>
      <c r="J334" t="s">
        <v>17</v>
      </c>
      <c r="K334" t="s">
        <v>18</v>
      </c>
      <c r="L334" t="str" cm="1">
        <f t="array" ref="L334">_xlfn.IFS(B334&lt;30,"18-29",B334&lt;45,"30-44",B334&lt;60,"45-59",B334&lt;75,"60-74",B334&lt;=90,"75-90")</f>
        <v>18-29</v>
      </c>
      <c r="M334" t="str">
        <f>IF(Table1[[#This Row],[length_of_stay_days]]&gt;7,"Yes","No")</f>
        <v>No</v>
      </c>
    </row>
    <row r="335" spans="1:13" x14ac:dyDescent="0.3">
      <c r="A335" t="s">
        <v>674</v>
      </c>
      <c r="B335">
        <v>84</v>
      </c>
      <c r="C335" t="s">
        <v>12</v>
      </c>
      <c r="D335" t="s">
        <v>13</v>
      </c>
      <c r="E335" t="s">
        <v>28</v>
      </c>
      <c r="F335" t="s">
        <v>675</v>
      </c>
      <c r="G335" t="s">
        <v>676</v>
      </c>
      <c r="H335">
        <v>7</v>
      </c>
      <c r="I335" s="1">
        <v>9442.39</v>
      </c>
      <c r="J335" t="s">
        <v>17</v>
      </c>
      <c r="K335" t="s">
        <v>18</v>
      </c>
      <c r="L335" t="str" cm="1">
        <f t="array" ref="L335">_xlfn.IFS(B335&lt;30,"18-29",B335&lt;45,"30-44",B335&lt;60,"45-59",B335&lt;75,"60-74",B335&lt;=90,"75-90")</f>
        <v>75-90</v>
      </c>
      <c r="M335" t="str">
        <f>IF(Table1[[#This Row],[length_of_stay_days]]&gt;7,"Yes","No")</f>
        <v>No</v>
      </c>
    </row>
    <row r="336" spans="1:13" x14ac:dyDescent="0.3">
      <c r="A336" t="s">
        <v>677</v>
      </c>
      <c r="B336">
        <v>88</v>
      </c>
      <c r="C336" t="s">
        <v>12</v>
      </c>
      <c r="D336" t="s">
        <v>28</v>
      </c>
      <c r="E336" t="s">
        <v>28</v>
      </c>
      <c r="F336" t="s">
        <v>579</v>
      </c>
      <c r="G336" t="s">
        <v>678</v>
      </c>
      <c r="H336">
        <v>5</v>
      </c>
      <c r="I336" s="1">
        <v>6317.77</v>
      </c>
      <c r="J336" t="s">
        <v>17</v>
      </c>
      <c r="K336" t="s">
        <v>18</v>
      </c>
      <c r="L336" t="str" cm="1">
        <f t="array" ref="L336">_xlfn.IFS(B336&lt;30,"18-29",B336&lt;45,"30-44",B336&lt;60,"45-59",B336&lt;75,"60-74",B336&lt;=90,"75-90")</f>
        <v>75-90</v>
      </c>
      <c r="M336" t="str">
        <f>IF(Table1[[#This Row],[length_of_stay_days]]&gt;7,"Yes","No")</f>
        <v>No</v>
      </c>
    </row>
    <row r="337" spans="1:13" x14ac:dyDescent="0.3">
      <c r="A337" t="s">
        <v>679</v>
      </c>
      <c r="B337">
        <v>33</v>
      </c>
      <c r="C337" t="s">
        <v>12</v>
      </c>
      <c r="D337" t="s">
        <v>55</v>
      </c>
      <c r="E337" t="s">
        <v>21</v>
      </c>
      <c r="F337" t="s">
        <v>680</v>
      </c>
      <c r="G337" t="s">
        <v>75</v>
      </c>
      <c r="H337">
        <v>6</v>
      </c>
      <c r="I337" s="1">
        <v>4937.91</v>
      </c>
      <c r="J337" t="s">
        <v>17</v>
      </c>
      <c r="K337" t="s">
        <v>18</v>
      </c>
      <c r="L337" t="str" cm="1">
        <f t="array" ref="L337">_xlfn.IFS(B337&lt;30,"18-29",B337&lt;45,"30-44",B337&lt;60,"45-59",B337&lt;75,"60-74",B337&lt;=90,"75-90")</f>
        <v>30-44</v>
      </c>
      <c r="M337" t="str">
        <f>IF(Table1[[#This Row],[length_of_stay_days]]&gt;7,"Yes","No")</f>
        <v>No</v>
      </c>
    </row>
    <row r="338" spans="1:13" x14ac:dyDescent="0.3">
      <c r="A338" t="s">
        <v>681</v>
      </c>
      <c r="B338">
        <v>22</v>
      </c>
      <c r="C338" t="s">
        <v>12</v>
      </c>
      <c r="D338" t="s">
        <v>32</v>
      </c>
      <c r="E338" t="s">
        <v>14</v>
      </c>
      <c r="F338" t="s">
        <v>174</v>
      </c>
      <c r="G338" t="s">
        <v>308</v>
      </c>
      <c r="H338">
        <v>7</v>
      </c>
      <c r="I338" s="1">
        <v>11383.56</v>
      </c>
      <c r="J338" t="s">
        <v>17</v>
      </c>
      <c r="K338" t="s">
        <v>18</v>
      </c>
      <c r="L338" t="str" cm="1">
        <f t="array" ref="L338">_xlfn.IFS(B338&lt;30,"18-29",B338&lt;45,"30-44",B338&lt;60,"45-59",B338&lt;75,"60-74",B338&lt;=90,"75-90")</f>
        <v>18-29</v>
      </c>
      <c r="M338" t="str">
        <f>IF(Table1[[#This Row],[length_of_stay_days]]&gt;7,"Yes","No")</f>
        <v>No</v>
      </c>
    </row>
    <row r="339" spans="1:13" x14ac:dyDescent="0.3">
      <c r="A339" t="s">
        <v>682</v>
      </c>
      <c r="B339">
        <v>67</v>
      </c>
      <c r="C339" t="s">
        <v>12</v>
      </c>
      <c r="D339" t="s">
        <v>55</v>
      </c>
      <c r="E339" t="s">
        <v>28</v>
      </c>
      <c r="F339" t="s">
        <v>683</v>
      </c>
      <c r="G339" t="s">
        <v>271</v>
      </c>
      <c r="H339">
        <v>12</v>
      </c>
      <c r="I339" s="1">
        <v>14464.49</v>
      </c>
      <c r="J339" t="s">
        <v>17</v>
      </c>
      <c r="K339" t="s">
        <v>18</v>
      </c>
      <c r="L339" t="str" cm="1">
        <f t="array" ref="L339">_xlfn.IFS(B339&lt;30,"18-29",B339&lt;45,"30-44",B339&lt;60,"45-59",B339&lt;75,"60-74",B339&lt;=90,"75-90")</f>
        <v>60-74</v>
      </c>
      <c r="M339" t="str">
        <f>IF(Table1[[#This Row],[length_of_stay_days]]&gt;7,"Yes","No")</f>
        <v>Yes</v>
      </c>
    </row>
    <row r="340" spans="1:13" x14ac:dyDescent="0.3">
      <c r="A340" t="s">
        <v>684</v>
      </c>
      <c r="B340">
        <v>56</v>
      </c>
      <c r="C340" t="s">
        <v>20</v>
      </c>
      <c r="D340" t="s">
        <v>13</v>
      </c>
      <c r="E340" t="s">
        <v>21</v>
      </c>
      <c r="F340" t="s">
        <v>337</v>
      </c>
      <c r="G340" t="s">
        <v>43</v>
      </c>
      <c r="H340">
        <v>3</v>
      </c>
      <c r="I340" s="1">
        <v>6103.04</v>
      </c>
      <c r="J340" t="s">
        <v>17</v>
      </c>
      <c r="K340" t="s">
        <v>18</v>
      </c>
      <c r="L340" t="str" cm="1">
        <f t="array" ref="L340">_xlfn.IFS(B340&lt;30,"18-29",B340&lt;45,"30-44",B340&lt;60,"45-59",B340&lt;75,"60-74",B340&lt;=90,"75-90")</f>
        <v>45-59</v>
      </c>
      <c r="M340" t="str">
        <f>IF(Table1[[#This Row],[length_of_stay_days]]&gt;7,"Yes","No")</f>
        <v>No</v>
      </c>
    </row>
    <row r="341" spans="1:13" x14ac:dyDescent="0.3">
      <c r="A341" t="s">
        <v>685</v>
      </c>
      <c r="B341">
        <v>66</v>
      </c>
      <c r="C341" t="s">
        <v>12</v>
      </c>
      <c r="D341" t="s">
        <v>28</v>
      </c>
      <c r="E341" t="s">
        <v>14</v>
      </c>
      <c r="F341" t="s">
        <v>121</v>
      </c>
      <c r="G341" t="s">
        <v>101</v>
      </c>
      <c r="H341">
        <v>2</v>
      </c>
      <c r="I341" s="1">
        <v>5798.95</v>
      </c>
      <c r="J341" t="s">
        <v>17</v>
      </c>
      <c r="K341" t="s">
        <v>18</v>
      </c>
      <c r="L341" t="str" cm="1">
        <f t="array" ref="L341">_xlfn.IFS(B341&lt;30,"18-29",B341&lt;45,"30-44",B341&lt;60,"45-59",B341&lt;75,"60-74",B341&lt;=90,"75-90")</f>
        <v>60-74</v>
      </c>
      <c r="M341" t="str">
        <f>IF(Table1[[#This Row],[length_of_stay_days]]&gt;7,"Yes","No")</f>
        <v>No</v>
      </c>
    </row>
    <row r="342" spans="1:13" x14ac:dyDescent="0.3">
      <c r="A342" t="s">
        <v>686</v>
      </c>
      <c r="B342">
        <v>68</v>
      </c>
      <c r="C342" t="s">
        <v>20</v>
      </c>
      <c r="D342" t="s">
        <v>28</v>
      </c>
      <c r="E342" t="s">
        <v>28</v>
      </c>
      <c r="F342" t="s">
        <v>658</v>
      </c>
      <c r="G342" t="s">
        <v>547</v>
      </c>
      <c r="H342">
        <v>5</v>
      </c>
      <c r="I342" s="1">
        <v>6364.28</v>
      </c>
      <c r="J342" t="s">
        <v>17</v>
      </c>
      <c r="K342" t="s">
        <v>18</v>
      </c>
      <c r="L342" t="str" cm="1">
        <f t="array" ref="L342">_xlfn.IFS(B342&lt;30,"18-29",B342&lt;45,"30-44",B342&lt;60,"45-59",B342&lt;75,"60-74",B342&lt;=90,"75-90")</f>
        <v>60-74</v>
      </c>
      <c r="M342" t="str">
        <f>IF(Table1[[#This Row],[length_of_stay_days]]&gt;7,"Yes","No")</f>
        <v>No</v>
      </c>
    </row>
    <row r="343" spans="1:13" x14ac:dyDescent="0.3">
      <c r="A343" t="s">
        <v>687</v>
      </c>
      <c r="B343">
        <v>75</v>
      </c>
      <c r="C343" t="s">
        <v>12</v>
      </c>
      <c r="D343" t="s">
        <v>32</v>
      </c>
      <c r="E343" t="s">
        <v>14</v>
      </c>
      <c r="F343" t="s">
        <v>123</v>
      </c>
      <c r="G343" t="s">
        <v>126</v>
      </c>
      <c r="H343">
        <v>6</v>
      </c>
      <c r="I343" s="1">
        <v>11451.79</v>
      </c>
      <c r="J343" t="s">
        <v>17</v>
      </c>
      <c r="K343" t="s">
        <v>18</v>
      </c>
      <c r="L343" t="str" cm="1">
        <f t="array" ref="L343">_xlfn.IFS(B343&lt;30,"18-29",B343&lt;45,"30-44",B343&lt;60,"45-59",B343&lt;75,"60-74",B343&lt;=90,"75-90")</f>
        <v>75-90</v>
      </c>
      <c r="M343" t="str">
        <f>IF(Table1[[#This Row],[length_of_stay_days]]&gt;7,"Yes","No")</f>
        <v>No</v>
      </c>
    </row>
    <row r="344" spans="1:13" x14ac:dyDescent="0.3">
      <c r="A344" t="s">
        <v>688</v>
      </c>
      <c r="B344">
        <v>83</v>
      </c>
      <c r="C344" t="s">
        <v>20</v>
      </c>
      <c r="D344" t="s">
        <v>32</v>
      </c>
      <c r="E344" t="s">
        <v>28</v>
      </c>
      <c r="F344" t="s">
        <v>689</v>
      </c>
      <c r="G344" t="s">
        <v>133</v>
      </c>
      <c r="H344">
        <v>8</v>
      </c>
      <c r="I344" s="1">
        <v>11926.3</v>
      </c>
      <c r="J344" t="s">
        <v>17</v>
      </c>
      <c r="K344" t="s">
        <v>18</v>
      </c>
      <c r="L344" t="str" cm="1">
        <f t="array" ref="L344">_xlfn.IFS(B344&lt;30,"18-29",B344&lt;45,"30-44",B344&lt;60,"45-59",B344&lt;75,"60-74",B344&lt;=90,"75-90")</f>
        <v>75-90</v>
      </c>
      <c r="M344" t="str">
        <f>IF(Table1[[#This Row],[length_of_stay_days]]&gt;7,"Yes","No")</f>
        <v>Yes</v>
      </c>
    </row>
    <row r="345" spans="1:13" x14ac:dyDescent="0.3">
      <c r="A345" t="s">
        <v>690</v>
      </c>
      <c r="B345">
        <v>69</v>
      </c>
      <c r="C345" t="s">
        <v>12</v>
      </c>
      <c r="D345" t="s">
        <v>55</v>
      </c>
      <c r="E345" t="s">
        <v>28</v>
      </c>
      <c r="F345" t="s">
        <v>309</v>
      </c>
      <c r="G345" t="s">
        <v>273</v>
      </c>
      <c r="H345">
        <v>4</v>
      </c>
      <c r="I345" s="1">
        <v>8404.66</v>
      </c>
      <c r="J345" t="s">
        <v>17</v>
      </c>
      <c r="K345" t="s">
        <v>18</v>
      </c>
      <c r="L345" t="str" cm="1">
        <f t="array" ref="L345">_xlfn.IFS(B345&lt;30,"18-29",B345&lt;45,"30-44",B345&lt;60,"45-59",B345&lt;75,"60-74",B345&lt;=90,"75-90")</f>
        <v>60-74</v>
      </c>
      <c r="M345" t="str">
        <f>IF(Table1[[#This Row],[length_of_stay_days]]&gt;7,"Yes","No")</f>
        <v>No</v>
      </c>
    </row>
    <row r="346" spans="1:13" x14ac:dyDescent="0.3">
      <c r="A346" t="s">
        <v>691</v>
      </c>
      <c r="B346">
        <v>76</v>
      </c>
      <c r="C346" t="s">
        <v>12</v>
      </c>
      <c r="D346" t="s">
        <v>28</v>
      </c>
      <c r="E346" t="s">
        <v>14</v>
      </c>
      <c r="F346" t="s">
        <v>656</v>
      </c>
      <c r="G346" t="s">
        <v>90</v>
      </c>
      <c r="H346">
        <v>5</v>
      </c>
      <c r="I346" s="1">
        <v>6165.1</v>
      </c>
      <c r="J346" t="s">
        <v>17</v>
      </c>
      <c r="K346" t="s">
        <v>18</v>
      </c>
      <c r="L346" t="str" cm="1">
        <f t="array" ref="L346">_xlfn.IFS(B346&lt;30,"18-29",B346&lt;45,"30-44",B346&lt;60,"45-59",B346&lt;75,"60-74",B346&lt;=90,"75-90")</f>
        <v>75-90</v>
      </c>
      <c r="M346" t="str">
        <f>IF(Table1[[#This Row],[length_of_stay_days]]&gt;7,"Yes","No")</f>
        <v>No</v>
      </c>
    </row>
    <row r="347" spans="1:13" x14ac:dyDescent="0.3">
      <c r="A347" t="s">
        <v>692</v>
      </c>
      <c r="B347">
        <v>67</v>
      </c>
      <c r="C347" t="s">
        <v>12</v>
      </c>
      <c r="D347" t="s">
        <v>13</v>
      </c>
      <c r="E347" t="s">
        <v>14</v>
      </c>
      <c r="F347" t="s">
        <v>314</v>
      </c>
      <c r="G347" t="s">
        <v>371</v>
      </c>
      <c r="H347">
        <v>5</v>
      </c>
      <c r="I347" s="1">
        <v>7800.16</v>
      </c>
      <c r="J347" t="s">
        <v>17</v>
      </c>
      <c r="K347" t="s">
        <v>18</v>
      </c>
      <c r="L347" t="str" cm="1">
        <f t="array" ref="L347">_xlfn.IFS(B347&lt;30,"18-29",B347&lt;45,"30-44",B347&lt;60,"45-59",B347&lt;75,"60-74",B347&lt;=90,"75-90")</f>
        <v>60-74</v>
      </c>
      <c r="M347" t="str">
        <f>IF(Table1[[#This Row],[length_of_stay_days]]&gt;7,"Yes","No")</f>
        <v>No</v>
      </c>
    </row>
    <row r="348" spans="1:13" x14ac:dyDescent="0.3">
      <c r="A348" t="s">
        <v>693</v>
      </c>
      <c r="B348">
        <v>18</v>
      </c>
      <c r="C348" t="s">
        <v>20</v>
      </c>
      <c r="D348" t="s">
        <v>28</v>
      </c>
      <c r="E348" t="s">
        <v>14</v>
      </c>
      <c r="F348" t="s">
        <v>443</v>
      </c>
      <c r="G348" t="s">
        <v>523</v>
      </c>
      <c r="H348">
        <v>5</v>
      </c>
      <c r="I348" s="1">
        <v>6971.84</v>
      </c>
      <c r="J348" t="s">
        <v>17</v>
      </c>
      <c r="K348" t="s">
        <v>18</v>
      </c>
      <c r="L348" t="str" cm="1">
        <f t="array" ref="L348">_xlfn.IFS(B348&lt;30,"18-29",B348&lt;45,"30-44",B348&lt;60,"45-59",B348&lt;75,"60-74",B348&lt;=90,"75-90")</f>
        <v>18-29</v>
      </c>
      <c r="M348" t="str">
        <f>IF(Table1[[#This Row],[length_of_stay_days]]&gt;7,"Yes","No")</f>
        <v>No</v>
      </c>
    </row>
    <row r="349" spans="1:13" x14ac:dyDescent="0.3">
      <c r="A349" t="s">
        <v>694</v>
      </c>
      <c r="B349">
        <v>57</v>
      </c>
      <c r="C349" t="s">
        <v>20</v>
      </c>
      <c r="D349" t="s">
        <v>13</v>
      </c>
      <c r="E349" t="s">
        <v>28</v>
      </c>
      <c r="F349" t="s">
        <v>496</v>
      </c>
      <c r="G349" t="s">
        <v>216</v>
      </c>
      <c r="H349">
        <v>5</v>
      </c>
      <c r="I349" s="1">
        <v>9403.19</v>
      </c>
      <c r="J349" t="s">
        <v>17</v>
      </c>
      <c r="K349" t="s">
        <v>18</v>
      </c>
      <c r="L349" t="str" cm="1">
        <f t="array" ref="L349">_xlfn.IFS(B349&lt;30,"18-29",B349&lt;45,"30-44",B349&lt;60,"45-59",B349&lt;75,"60-74",B349&lt;=90,"75-90")</f>
        <v>45-59</v>
      </c>
      <c r="M349" t="str">
        <f>IF(Table1[[#This Row],[length_of_stay_days]]&gt;7,"Yes","No")</f>
        <v>No</v>
      </c>
    </row>
    <row r="350" spans="1:13" x14ac:dyDescent="0.3">
      <c r="A350" t="s">
        <v>695</v>
      </c>
      <c r="B350">
        <v>53</v>
      </c>
      <c r="C350" t="s">
        <v>12</v>
      </c>
      <c r="D350" t="s">
        <v>32</v>
      </c>
      <c r="E350" t="s">
        <v>21</v>
      </c>
      <c r="F350" t="s">
        <v>146</v>
      </c>
      <c r="G350" t="s">
        <v>189</v>
      </c>
      <c r="H350">
        <v>8</v>
      </c>
      <c r="I350" s="1">
        <v>13814.56</v>
      </c>
      <c r="J350" t="s">
        <v>49</v>
      </c>
      <c r="K350" t="s">
        <v>18</v>
      </c>
      <c r="L350" t="str" cm="1">
        <f t="array" ref="L350">_xlfn.IFS(B350&lt;30,"18-29",B350&lt;45,"30-44",B350&lt;60,"45-59",B350&lt;75,"60-74",B350&lt;=90,"75-90")</f>
        <v>45-59</v>
      </c>
      <c r="M350" t="str">
        <f>IF(Table1[[#This Row],[length_of_stay_days]]&gt;7,"Yes","No")</f>
        <v>Yes</v>
      </c>
    </row>
    <row r="351" spans="1:13" x14ac:dyDescent="0.3">
      <c r="A351" t="s">
        <v>696</v>
      </c>
      <c r="B351">
        <v>86</v>
      </c>
      <c r="C351" t="s">
        <v>12</v>
      </c>
      <c r="D351" t="s">
        <v>28</v>
      </c>
      <c r="E351" t="s">
        <v>14</v>
      </c>
      <c r="F351" t="s">
        <v>588</v>
      </c>
      <c r="G351" t="s">
        <v>512</v>
      </c>
      <c r="H351">
        <v>7</v>
      </c>
      <c r="I351" s="1">
        <v>6072.07</v>
      </c>
      <c r="J351" t="s">
        <v>17</v>
      </c>
      <c r="K351" t="s">
        <v>18</v>
      </c>
      <c r="L351" t="str" cm="1">
        <f t="array" ref="L351">_xlfn.IFS(B351&lt;30,"18-29",B351&lt;45,"30-44",B351&lt;60,"45-59",B351&lt;75,"60-74",B351&lt;=90,"75-90")</f>
        <v>75-90</v>
      </c>
      <c r="M351" t="str">
        <f>IF(Table1[[#This Row],[length_of_stay_days]]&gt;7,"Yes","No")</f>
        <v>No</v>
      </c>
    </row>
    <row r="352" spans="1:13" x14ac:dyDescent="0.3">
      <c r="A352" t="s">
        <v>697</v>
      </c>
      <c r="B352">
        <v>59</v>
      </c>
      <c r="C352" t="s">
        <v>12</v>
      </c>
      <c r="D352" t="s">
        <v>55</v>
      </c>
      <c r="E352" t="s">
        <v>21</v>
      </c>
      <c r="F352" t="s">
        <v>322</v>
      </c>
      <c r="H352">
        <v>8</v>
      </c>
      <c r="I352" s="1">
        <v>10044.24</v>
      </c>
      <c r="J352" t="s">
        <v>17</v>
      </c>
      <c r="K352" t="s">
        <v>18</v>
      </c>
      <c r="L352" t="str" cm="1">
        <f t="array" ref="L352">_xlfn.IFS(B352&lt;30,"18-29",B352&lt;45,"30-44",B352&lt;60,"45-59",B352&lt;75,"60-74",B352&lt;=90,"75-90")</f>
        <v>45-59</v>
      </c>
      <c r="M352" t="str">
        <f>IF(Table1[[#This Row],[length_of_stay_days]]&gt;7,"Yes","No")</f>
        <v>Yes</v>
      </c>
    </row>
    <row r="353" spans="1:13" x14ac:dyDescent="0.3">
      <c r="A353" t="s">
        <v>698</v>
      </c>
      <c r="B353">
        <v>64</v>
      </c>
      <c r="C353" t="s">
        <v>20</v>
      </c>
      <c r="D353" t="s">
        <v>32</v>
      </c>
      <c r="E353" t="s">
        <v>28</v>
      </c>
      <c r="F353" t="s">
        <v>252</v>
      </c>
      <c r="G353" t="s">
        <v>604</v>
      </c>
      <c r="H353">
        <v>7</v>
      </c>
      <c r="I353" s="1">
        <v>14503.51</v>
      </c>
      <c r="J353" t="s">
        <v>17</v>
      </c>
      <c r="K353" t="s">
        <v>18</v>
      </c>
      <c r="L353" t="str" cm="1">
        <f t="array" ref="L353">_xlfn.IFS(B353&lt;30,"18-29",B353&lt;45,"30-44",B353&lt;60,"45-59",B353&lt;75,"60-74",B353&lt;=90,"75-90")</f>
        <v>60-74</v>
      </c>
      <c r="M353" t="str">
        <f>IF(Table1[[#This Row],[length_of_stay_days]]&gt;7,"Yes","No")</f>
        <v>No</v>
      </c>
    </row>
    <row r="354" spans="1:13" x14ac:dyDescent="0.3">
      <c r="A354" t="s">
        <v>699</v>
      </c>
      <c r="B354">
        <v>82</v>
      </c>
      <c r="C354" t="s">
        <v>20</v>
      </c>
      <c r="D354" t="s">
        <v>28</v>
      </c>
      <c r="E354" t="s">
        <v>14</v>
      </c>
      <c r="F354" t="s">
        <v>250</v>
      </c>
      <c r="G354" t="s">
        <v>596</v>
      </c>
      <c r="H354">
        <v>6</v>
      </c>
      <c r="I354" s="1">
        <v>7202.56</v>
      </c>
      <c r="J354" t="s">
        <v>17</v>
      </c>
      <c r="K354" t="s">
        <v>18</v>
      </c>
      <c r="L354" t="str" cm="1">
        <f t="array" ref="L354">_xlfn.IFS(B354&lt;30,"18-29",B354&lt;45,"30-44",B354&lt;60,"45-59",B354&lt;75,"60-74",B354&lt;=90,"75-90")</f>
        <v>75-90</v>
      </c>
      <c r="M354" t="str">
        <f>IF(Table1[[#This Row],[length_of_stay_days]]&gt;7,"Yes","No")</f>
        <v>No</v>
      </c>
    </row>
    <row r="355" spans="1:13" x14ac:dyDescent="0.3">
      <c r="A355" t="s">
        <v>700</v>
      </c>
      <c r="B355">
        <v>61</v>
      </c>
      <c r="C355" t="s">
        <v>20</v>
      </c>
      <c r="D355" t="s">
        <v>32</v>
      </c>
      <c r="E355" t="s">
        <v>28</v>
      </c>
      <c r="F355" t="s">
        <v>701</v>
      </c>
      <c r="G355" t="s">
        <v>311</v>
      </c>
      <c r="H355">
        <v>6</v>
      </c>
      <c r="I355" s="1">
        <v>9951.0400000000009</v>
      </c>
      <c r="J355" t="s">
        <v>17</v>
      </c>
      <c r="K355" t="s">
        <v>18</v>
      </c>
      <c r="L355" t="str" cm="1">
        <f t="array" ref="L355">_xlfn.IFS(B355&lt;30,"18-29",B355&lt;45,"30-44",B355&lt;60,"45-59",B355&lt;75,"60-74",B355&lt;=90,"75-90")</f>
        <v>60-74</v>
      </c>
      <c r="M355" t="str">
        <f>IF(Table1[[#This Row],[length_of_stay_days]]&gt;7,"Yes","No")</f>
        <v>No</v>
      </c>
    </row>
    <row r="356" spans="1:13" x14ac:dyDescent="0.3">
      <c r="A356" t="s">
        <v>702</v>
      </c>
      <c r="B356">
        <v>29</v>
      </c>
      <c r="C356" t="s">
        <v>20</v>
      </c>
      <c r="D356" t="s">
        <v>28</v>
      </c>
      <c r="E356" t="s">
        <v>28</v>
      </c>
      <c r="F356" t="s">
        <v>219</v>
      </c>
      <c r="G356" t="s">
        <v>83</v>
      </c>
      <c r="H356">
        <v>7</v>
      </c>
      <c r="I356" s="1">
        <v>7585.35</v>
      </c>
      <c r="J356" t="s">
        <v>17</v>
      </c>
      <c r="K356" t="s">
        <v>18</v>
      </c>
      <c r="L356" t="str" cm="1">
        <f t="array" ref="L356">_xlfn.IFS(B356&lt;30,"18-29",B356&lt;45,"30-44",B356&lt;60,"45-59",B356&lt;75,"60-74",B356&lt;=90,"75-90")</f>
        <v>18-29</v>
      </c>
      <c r="M356" t="str">
        <f>IF(Table1[[#This Row],[length_of_stay_days]]&gt;7,"Yes","No")</f>
        <v>No</v>
      </c>
    </row>
    <row r="357" spans="1:13" x14ac:dyDescent="0.3">
      <c r="A357" t="s">
        <v>703</v>
      </c>
      <c r="B357">
        <v>81</v>
      </c>
      <c r="C357" t="s">
        <v>20</v>
      </c>
      <c r="D357" t="s">
        <v>32</v>
      </c>
      <c r="E357" t="s">
        <v>21</v>
      </c>
      <c r="F357" t="s">
        <v>22</v>
      </c>
      <c r="G357" t="s">
        <v>317</v>
      </c>
      <c r="H357">
        <v>8</v>
      </c>
      <c r="I357" s="1">
        <v>10340.14</v>
      </c>
      <c r="J357" t="s">
        <v>49</v>
      </c>
      <c r="K357" t="s">
        <v>18</v>
      </c>
      <c r="L357" t="str" cm="1">
        <f t="array" ref="L357">_xlfn.IFS(B357&lt;30,"18-29",B357&lt;45,"30-44",B357&lt;60,"45-59",B357&lt;75,"60-74",B357&lt;=90,"75-90")</f>
        <v>75-90</v>
      </c>
      <c r="M357" t="str">
        <f>IF(Table1[[#This Row],[length_of_stay_days]]&gt;7,"Yes","No")</f>
        <v>Yes</v>
      </c>
    </row>
    <row r="358" spans="1:13" x14ac:dyDescent="0.3">
      <c r="A358" t="s">
        <v>704</v>
      </c>
      <c r="B358">
        <v>68</v>
      </c>
      <c r="C358" t="s">
        <v>12</v>
      </c>
      <c r="D358" t="s">
        <v>28</v>
      </c>
      <c r="E358" t="s">
        <v>28</v>
      </c>
      <c r="F358" t="s">
        <v>212</v>
      </c>
      <c r="G358" t="s">
        <v>306</v>
      </c>
      <c r="H358">
        <v>5</v>
      </c>
      <c r="I358" s="1">
        <v>4887.8100000000004</v>
      </c>
      <c r="J358" t="s">
        <v>49</v>
      </c>
      <c r="K358" t="s">
        <v>18</v>
      </c>
      <c r="L358" t="str" cm="1">
        <f t="array" ref="L358">_xlfn.IFS(B358&lt;30,"18-29",B358&lt;45,"30-44",B358&lt;60,"45-59",B358&lt;75,"60-74",B358&lt;=90,"75-90")</f>
        <v>60-74</v>
      </c>
      <c r="M358" t="str">
        <f>IF(Table1[[#This Row],[length_of_stay_days]]&gt;7,"Yes","No")</f>
        <v>No</v>
      </c>
    </row>
    <row r="359" spans="1:13" x14ac:dyDescent="0.3">
      <c r="A359" t="s">
        <v>705</v>
      </c>
      <c r="B359">
        <v>66</v>
      </c>
      <c r="C359" t="s">
        <v>12</v>
      </c>
      <c r="D359" t="s">
        <v>28</v>
      </c>
      <c r="E359" t="s">
        <v>28</v>
      </c>
      <c r="F359" t="s">
        <v>352</v>
      </c>
      <c r="G359" t="s">
        <v>350</v>
      </c>
      <c r="H359">
        <v>5</v>
      </c>
      <c r="I359" s="1">
        <v>6526.63</v>
      </c>
      <c r="J359" t="s">
        <v>49</v>
      </c>
      <c r="K359" t="s">
        <v>18</v>
      </c>
      <c r="L359" t="str" cm="1">
        <f t="array" ref="L359">_xlfn.IFS(B359&lt;30,"18-29",B359&lt;45,"30-44",B359&lt;60,"45-59",B359&lt;75,"60-74",B359&lt;=90,"75-90")</f>
        <v>60-74</v>
      </c>
      <c r="M359" t="str">
        <f>IF(Table1[[#This Row],[length_of_stay_days]]&gt;7,"Yes","No")</f>
        <v>No</v>
      </c>
    </row>
    <row r="360" spans="1:13" x14ac:dyDescent="0.3">
      <c r="A360" t="s">
        <v>706</v>
      </c>
      <c r="B360">
        <v>75</v>
      </c>
      <c r="C360" t="s">
        <v>70</v>
      </c>
      <c r="D360" t="s">
        <v>28</v>
      </c>
      <c r="E360" t="s">
        <v>21</v>
      </c>
      <c r="F360" t="s">
        <v>410</v>
      </c>
      <c r="G360" t="s">
        <v>465</v>
      </c>
      <c r="H360">
        <v>5</v>
      </c>
      <c r="I360" s="1">
        <v>6285.43</v>
      </c>
      <c r="J360" t="s">
        <v>17</v>
      </c>
      <c r="K360" t="s">
        <v>18</v>
      </c>
      <c r="L360" t="str" cm="1">
        <f t="array" ref="L360">_xlfn.IFS(B360&lt;30,"18-29",B360&lt;45,"30-44",B360&lt;60,"45-59",B360&lt;75,"60-74",B360&lt;=90,"75-90")</f>
        <v>75-90</v>
      </c>
      <c r="M360" t="str">
        <f>IF(Table1[[#This Row],[length_of_stay_days]]&gt;7,"Yes","No")</f>
        <v>No</v>
      </c>
    </row>
    <row r="361" spans="1:13" x14ac:dyDescent="0.3">
      <c r="A361" t="s">
        <v>707</v>
      </c>
      <c r="B361">
        <v>50</v>
      </c>
      <c r="C361" t="s">
        <v>12</v>
      </c>
      <c r="D361" t="s">
        <v>13</v>
      </c>
      <c r="E361" t="s">
        <v>28</v>
      </c>
      <c r="F361" t="s">
        <v>29</v>
      </c>
      <c r="G361" t="s">
        <v>30</v>
      </c>
      <c r="H361">
        <v>5</v>
      </c>
      <c r="I361" s="1">
        <v>9750.07</v>
      </c>
      <c r="J361" t="s">
        <v>17</v>
      </c>
      <c r="K361" t="s">
        <v>18</v>
      </c>
      <c r="L361" t="str" cm="1">
        <f t="array" ref="L361">_xlfn.IFS(B361&lt;30,"18-29",B361&lt;45,"30-44",B361&lt;60,"45-59",B361&lt;75,"60-74",B361&lt;=90,"75-90")</f>
        <v>45-59</v>
      </c>
      <c r="M361" t="str">
        <f>IF(Table1[[#This Row],[length_of_stay_days]]&gt;7,"Yes","No")</f>
        <v>No</v>
      </c>
    </row>
    <row r="362" spans="1:13" x14ac:dyDescent="0.3">
      <c r="A362" t="s">
        <v>708</v>
      </c>
      <c r="B362">
        <v>65</v>
      </c>
      <c r="C362" t="s">
        <v>20</v>
      </c>
      <c r="D362" t="s">
        <v>28</v>
      </c>
      <c r="E362" t="s">
        <v>14</v>
      </c>
      <c r="F362" t="s">
        <v>89</v>
      </c>
      <c r="G362" t="s">
        <v>648</v>
      </c>
      <c r="H362">
        <v>1</v>
      </c>
      <c r="I362" s="1">
        <v>2752.21</v>
      </c>
      <c r="J362" t="s">
        <v>17</v>
      </c>
      <c r="K362" t="s">
        <v>18</v>
      </c>
      <c r="L362" t="str" cm="1">
        <f t="array" ref="L362">_xlfn.IFS(B362&lt;30,"18-29",B362&lt;45,"30-44",B362&lt;60,"45-59",B362&lt;75,"60-74",B362&lt;=90,"75-90")</f>
        <v>60-74</v>
      </c>
      <c r="M362" t="str">
        <f>IF(Table1[[#This Row],[length_of_stay_days]]&gt;7,"Yes","No")</f>
        <v>No</v>
      </c>
    </row>
    <row r="363" spans="1:13" x14ac:dyDescent="0.3">
      <c r="A363" t="s">
        <v>709</v>
      </c>
      <c r="B363">
        <v>62</v>
      </c>
      <c r="C363" t="s">
        <v>12</v>
      </c>
      <c r="D363" t="s">
        <v>28</v>
      </c>
      <c r="E363" t="s">
        <v>28</v>
      </c>
      <c r="F363" t="s">
        <v>22</v>
      </c>
      <c r="H363">
        <v>1</v>
      </c>
      <c r="I363" s="1">
        <v>4904.43</v>
      </c>
      <c r="J363" t="s">
        <v>17</v>
      </c>
      <c r="K363" t="s">
        <v>18</v>
      </c>
      <c r="L363" t="str" cm="1">
        <f t="array" ref="L363">_xlfn.IFS(B363&lt;30,"18-29",B363&lt;45,"30-44",B363&lt;60,"45-59",B363&lt;75,"60-74",B363&lt;=90,"75-90")</f>
        <v>60-74</v>
      </c>
      <c r="M363" t="str">
        <f>IF(Table1[[#This Row],[length_of_stay_days]]&gt;7,"Yes","No")</f>
        <v>No</v>
      </c>
    </row>
    <row r="364" spans="1:13" x14ac:dyDescent="0.3">
      <c r="A364" t="s">
        <v>710</v>
      </c>
      <c r="B364">
        <v>18</v>
      </c>
      <c r="C364" t="s">
        <v>12</v>
      </c>
      <c r="D364" t="s">
        <v>55</v>
      </c>
      <c r="E364" t="s">
        <v>28</v>
      </c>
      <c r="F364" t="s">
        <v>563</v>
      </c>
      <c r="G364" t="s">
        <v>203</v>
      </c>
      <c r="H364">
        <v>7</v>
      </c>
      <c r="I364" s="1">
        <v>8839.83</v>
      </c>
      <c r="J364" t="s">
        <v>17</v>
      </c>
      <c r="K364" t="s">
        <v>18</v>
      </c>
      <c r="L364" t="str" cm="1">
        <f t="array" ref="L364">_xlfn.IFS(B364&lt;30,"18-29",B364&lt;45,"30-44",B364&lt;60,"45-59",B364&lt;75,"60-74",B364&lt;=90,"75-90")</f>
        <v>18-29</v>
      </c>
      <c r="M364" t="str">
        <f>IF(Table1[[#This Row],[length_of_stay_days]]&gt;7,"Yes","No")</f>
        <v>No</v>
      </c>
    </row>
    <row r="365" spans="1:13" x14ac:dyDescent="0.3">
      <c r="A365" t="s">
        <v>711</v>
      </c>
      <c r="B365">
        <v>68</v>
      </c>
      <c r="C365" t="s">
        <v>12</v>
      </c>
      <c r="D365" t="s">
        <v>55</v>
      </c>
      <c r="E365" t="s">
        <v>28</v>
      </c>
      <c r="F365" t="s">
        <v>712</v>
      </c>
      <c r="G365" t="s">
        <v>121</v>
      </c>
      <c r="H365">
        <v>9</v>
      </c>
      <c r="I365" s="1">
        <v>11852.63</v>
      </c>
      <c r="J365" t="s">
        <v>17</v>
      </c>
      <c r="K365" t="s">
        <v>18</v>
      </c>
      <c r="L365" t="str" cm="1">
        <f t="array" ref="L365">_xlfn.IFS(B365&lt;30,"18-29",B365&lt;45,"30-44",B365&lt;60,"45-59",B365&lt;75,"60-74",B365&lt;=90,"75-90")</f>
        <v>60-74</v>
      </c>
      <c r="M365" t="str">
        <f>IF(Table1[[#This Row],[length_of_stay_days]]&gt;7,"Yes","No")</f>
        <v>Yes</v>
      </c>
    </row>
    <row r="366" spans="1:13" x14ac:dyDescent="0.3">
      <c r="A366" t="s">
        <v>713</v>
      </c>
      <c r="B366">
        <v>50</v>
      </c>
      <c r="C366" t="s">
        <v>20</v>
      </c>
      <c r="D366" t="s">
        <v>32</v>
      </c>
      <c r="E366" t="s">
        <v>21</v>
      </c>
      <c r="F366" t="s">
        <v>458</v>
      </c>
      <c r="G366" t="s">
        <v>581</v>
      </c>
      <c r="H366">
        <v>4</v>
      </c>
      <c r="I366" s="1">
        <v>11426.63</v>
      </c>
      <c r="J366" t="s">
        <v>17</v>
      </c>
      <c r="K366" t="s">
        <v>18</v>
      </c>
      <c r="L366" t="str" cm="1">
        <f t="array" ref="L366">_xlfn.IFS(B366&lt;30,"18-29",B366&lt;45,"30-44",B366&lt;60,"45-59",B366&lt;75,"60-74",B366&lt;=90,"75-90")</f>
        <v>45-59</v>
      </c>
      <c r="M366" t="str">
        <f>IF(Table1[[#This Row],[length_of_stay_days]]&gt;7,"Yes","No")</f>
        <v>No</v>
      </c>
    </row>
    <row r="367" spans="1:13" x14ac:dyDescent="0.3">
      <c r="A367" t="s">
        <v>714</v>
      </c>
      <c r="B367">
        <v>42</v>
      </c>
      <c r="C367" t="s">
        <v>12</v>
      </c>
      <c r="D367" t="s">
        <v>46</v>
      </c>
      <c r="E367" t="s">
        <v>21</v>
      </c>
      <c r="F367" t="s">
        <v>501</v>
      </c>
      <c r="G367" t="s">
        <v>283</v>
      </c>
      <c r="H367">
        <v>8</v>
      </c>
      <c r="I367" s="1">
        <v>15510.28</v>
      </c>
      <c r="J367" t="s">
        <v>17</v>
      </c>
      <c r="K367" t="s">
        <v>18</v>
      </c>
      <c r="L367" t="str" cm="1">
        <f t="array" ref="L367">_xlfn.IFS(B367&lt;30,"18-29",B367&lt;45,"30-44",B367&lt;60,"45-59",B367&lt;75,"60-74",B367&lt;=90,"75-90")</f>
        <v>30-44</v>
      </c>
      <c r="M367" t="str">
        <f>IF(Table1[[#This Row],[length_of_stay_days]]&gt;7,"Yes","No")</f>
        <v>Yes</v>
      </c>
    </row>
    <row r="368" spans="1:13" x14ac:dyDescent="0.3">
      <c r="A368" t="s">
        <v>715</v>
      </c>
      <c r="B368">
        <v>36</v>
      </c>
      <c r="C368" t="s">
        <v>20</v>
      </c>
      <c r="D368" t="s">
        <v>28</v>
      </c>
      <c r="E368" t="s">
        <v>28</v>
      </c>
      <c r="F368" t="s">
        <v>616</v>
      </c>
      <c r="G368" t="s">
        <v>617</v>
      </c>
      <c r="H368">
        <v>3</v>
      </c>
      <c r="I368" s="1">
        <v>4080.79</v>
      </c>
      <c r="J368" t="s">
        <v>17</v>
      </c>
      <c r="K368" t="s">
        <v>18</v>
      </c>
      <c r="L368" t="str" cm="1">
        <f t="array" ref="L368">_xlfn.IFS(B368&lt;30,"18-29",B368&lt;45,"30-44",B368&lt;60,"45-59",B368&lt;75,"60-74",B368&lt;=90,"75-90")</f>
        <v>30-44</v>
      </c>
      <c r="M368" t="str">
        <f>IF(Table1[[#This Row],[length_of_stay_days]]&gt;7,"Yes","No")</f>
        <v>No</v>
      </c>
    </row>
    <row r="369" spans="1:13" x14ac:dyDescent="0.3">
      <c r="A369" t="s">
        <v>716</v>
      </c>
      <c r="B369">
        <v>65</v>
      </c>
      <c r="C369" t="s">
        <v>20</v>
      </c>
      <c r="D369" t="s">
        <v>13</v>
      </c>
      <c r="E369" t="s">
        <v>21</v>
      </c>
      <c r="F369" t="s">
        <v>231</v>
      </c>
      <c r="G369" t="s">
        <v>258</v>
      </c>
      <c r="H369">
        <v>6</v>
      </c>
      <c r="I369" s="1">
        <v>7117.72</v>
      </c>
      <c r="J369" t="s">
        <v>17</v>
      </c>
      <c r="K369" t="s">
        <v>18</v>
      </c>
      <c r="L369" t="str" cm="1">
        <f t="array" ref="L369">_xlfn.IFS(B369&lt;30,"18-29",B369&lt;45,"30-44",B369&lt;60,"45-59",B369&lt;75,"60-74",B369&lt;=90,"75-90")</f>
        <v>60-74</v>
      </c>
      <c r="M369" t="str">
        <f>IF(Table1[[#This Row],[length_of_stay_days]]&gt;7,"Yes","No")</f>
        <v>No</v>
      </c>
    </row>
    <row r="370" spans="1:13" x14ac:dyDescent="0.3">
      <c r="A370" t="s">
        <v>717</v>
      </c>
      <c r="B370">
        <v>64</v>
      </c>
      <c r="C370" t="s">
        <v>20</v>
      </c>
      <c r="D370" t="s">
        <v>13</v>
      </c>
      <c r="E370" t="s">
        <v>21</v>
      </c>
      <c r="F370" t="s">
        <v>467</v>
      </c>
      <c r="G370" t="s">
        <v>225</v>
      </c>
      <c r="H370">
        <v>4</v>
      </c>
      <c r="I370" s="1">
        <v>6671.17</v>
      </c>
      <c r="J370" t="s">
        <v>17</v>
      </c>
      <c r="K370" t="s">
        <v>18</v>
      </c>
      <c r="L370" t="str" cm="1">
        <f t="array" ref="L370">_xlfn.IFS(B370&lt;30,"18-29",B370&lt;45,"30-44",B370&lt;60,"45-59",B370&lt;75,"60-74",B370&lt;=90,"75-90")</f>
        <v>60-74</v>
      </c>
      <c r="M370" t="str">
        <f>IF(Table1[[#This Row],[length_of_stay_days]]&gt;7,"Yes","No")</f>
        <v>No</v>
      </c>
    </row>
    <row r="371" spans="1:13" x14ac:dyDescent="0.3">
      <c r="A371" t="s">
        <v>718</v>
      </c>
      <c r="B371">
        <v>36</v>
      </c>
      <c r="C371" t="s">
        <v>12</v>
      </c>
      <c r="D371" t="s">
        <v>46</v>
      </c>
      <c r="E371" t="s">
        <v>28</v>
      </c>
      <c r="F371" t="s">
        <v>629</v>
      </c>
      <c r="G371" t="s">
        <v>613</v>
      </c>
      <c r="H371">
        <v>7</v>
      </c>
      <c r="I371" s="1">
        <v>11761.17</v>
      </c>
      <c r="J371" t="s">
        <v>17</v>
      </c>
      <c r="K371" t="s">
        <v>18</v>
      </c>
      <c r="L371" t="str" cm="1">
        <f t="array" ref="L371">_xlfn.IFS(B371&lt;30,"18-29",B371&lt;45,"30-44",B371&lt;60,"45-59",B371&lt;75,"60-74",B371&lt;=90,"75-90")</f>
        <v>30-44</v>
      </c>
      <c r="M371" t="str">
        <f>IF(Table1[[#This Row],[length_of_stay_days]]&gt;7,"Yes","No")</f>
        <v>No</v>
      </c>
    </row>
    <row r="372" spans="1:13" x14ac:dyDescent="0.3">
      <c r="A372" t="s">
        <v>719</v>
      </c>
      <c r="B372">
        <v>61</v>
      </c>
      <c r="C372" t="s">
        <v>70</v>
      </c>
      <c r="D372" t="s">
        <v>32</v>
      </c>
      <c r="E372" t="s">
        <v>28</v>
      </c>
      <c r="F372" t="s">
        <v>433</v>
      </c>
      <c r="G372" t="s">
        <v>620</v>
      </c>
      <c r="H372">
        <v>8</v>
      </c>
      <c r="I372" s="1">
        <v>12533.86</v>
      </c>
      <c r="J372" t="s">
        <v>17</v>
      </c>
      <c r="K372" t="s">
        <v>18</v>
      </c>
      <c r="L372" t="str" cm="1">
        <f t="array" ref="L372">_xlfn.IFS(B372&lt;30,"18-29",B372&lt;45,"30-44",B372&lt;60,"45-59",B372&lt;75,"60-74",B372&lt;=90,"75-90")</f>
        <v>60-74</v>
      </c>
      <c r="M372" t="str">
        <f>IF(Table1[[#This Row],[length_of_stay_days]]&gt;7,"Yes","No")</f>
        <v>Yes</v>
      </c>
    </row>
    <row r="373" spans="1:13" x14ac:dyDescent="0.3">
      <c r="A373" t="s">
        <v>720</v>
      </c>
      <c r="B373">
        <v>66</v>
      </c>
      <c r="C373" t="s">
        <v>20</v>
      </c>
      <c r="D373" t="s">
        <v>51</v>
      </c>
      <c r="E373" t="s">
        <v>28</v>
      </c>
      <c r="F373" t="s">
        <v>555</v>
      </c>
      <c r="G373" t="s">
        <v>460</v>
      </c>
      <c r="H373">
        <v>9</v>
      </c>
      <c r="I373" s="1">
        <v>15963.84</v>
      </c>
      <c r="J373" t="s">
        <v>17</v>
      </c>
      <c r="K373" t="s">
        <v>18</v>
      </c>
      <c r="L373" t="str" cm="1">
        <f t="array" ref="L373">_xlfn.IFS(B373&lt;30,"18-29",B373&lt;45,"30-44",B373&lt;60,"45-59",B373&lt;75,"60-74",B373&lt;=90,"75-90")</f>
        <v>60-74</v>
      </c>
      <c r="M373" t="str">
        <f>IF(Table1[[#This Row],[length_of_stay_days]]&gt;7,"Yes","No")</f>
        <v>Yes</v>
      </c>
    </row>
    <row r="374" spans="1:13" x14ac:dyDescent="0.3">
      <c r="A374" t="s">
        <v>721</v>
      </c>
      <c r="B374">
        <v>45</v>
      </c>
      <c r="C374" t="s">
        <v>12</v>
      </c>
      <c r="D374" t="s">
        <v>13</v>
      </c>
      <c r="E374" t="s">
        <v>28</v>
      </c>
      <c r="F374" t="s">
        <v>341</v>
      </c>
      <c r="G374" t="s">
        <v>342</v>
      </c>
      <c r="H374">
        <v>5</v>
      </c>
      <c r="I374" s="1">
        <v>6587.23</v>
      </c>
      <c r="J374" t="s">
        <v>17</v>
      </c>
      <c r="K374" t="s">
        <v>18</v>
      </c>
      <c r="L374" t="str" cm="1">
        <f t="array" ref="L374">_xlfn.IFS(B374&lt;30,"18-29",B374&lt;45,"30-44",B374&lt;60,"45-59",B374&lt;75,"60-74",B374&lt;=90,"75-90")</f>
        <v>45-59</v>
      </c>
      <c r="M374" t="str">
        <f>IF(Table1[[#This Row],[length_of_stay_days]]&gt;7,"Yes","No")</f>
        <v>No</v>
      </c>
    </row>
    <row r="375" spans="1:13" x14ac:dyDescent="0.3">
      <c r="A375" t="s">
        <v>722</v>
      </c>
      <c r="B375">
        <v>66</v>
      </c>
      <c r="C375" t="s">
        <v>12</v>
      </c>
      <c r="D375" t="s">
        <v>32</v>
      </c>
      <c r="E375" t="s">
        <v>28</v>
      </c>
      <c r="F375" t="s">
        <v>241</v>
      </c>
      <c r="G375" t="s">
        <v>68</v>
      </c>
      <c r="H375">
        <v>6</v>
      </c>
      <c r="I375" s="1">
        <v>10297.15</v>
      </c>
      <c r="J375" t="s">
        <v>17</v>
      </c>
      <c r="K375" t="s">
        <v>18</v>
      </c>
      <c r="L375" t="str" cm="1">
        <f t="array" ref="L375">_xlfn.IFS(B375&lt;30,"18-29",B375&lt;45,"30-44",B375&lt;60,"45-59",B375&lt;75,"60-74",B375&lt;=90,"75-90")</f>
        <v>60-74</v>
      </c>
      <c r="M375" t="str">
        <f>IF(Table1[[#This Row],[length_of_stay_days]]&gt;7,"Yes","No")</f>
        <v>No</v>
      </c>
    </row>
    <row r="376" spans="1:13" x14ac:dyDescent="0.3">
      <c r="A376" t="s">
        <v>723</v>
      </c>
      <c r="B376">
        <v>79</v>
      </c>
      <c r="C376" t="s">
        <v>70</v>
      </c>
      <c r="D376" t="s">
        <v>55</v>
      </c>
      <c r="E376" t="s">
        <v>14</v>
      </c>
      <c r="F376" t="s">
        <v>724</v>
      </c>
      <c r="G376" t="s">
        <v>92</v>
      </c>
      <c r="H376">
        <v>4</v>
      </c>
      <c r="I376" s="1">
        <v>8542.8700000000008</v>
      </c>
      <c r="J376" t="s">
        <v>17</v>
      </c>
      <c r="K376" t="s">
        <v>18</v>
      </c>
      <c r="L376" t="str" cm="1">
        <f t="array" ref="L376">_xlfn.IFS(B376&lt;30,"18-29",B376&lt;45,"30-44",B376&lt;60,"45-59",B376&lt;75,"60-74",B376&lt;=90,"75-90")</f>
        <v>75-90</v>
      </c>
      <c r="M376" t="str">
        <f>IF(Table1[[#This Row],[length_of_stay_days]]&gt;7,"Yes","No")</f>
        <v>No</v>
      </c>
    </row>
    <row r="377" spans="1:13" x14ac:dyDescent="0.3">
      <c r="A377" t="s">
        <v>725</v>
      </c>
      <c r="B377">
        <v>18</v>
      </c>
      <c r="C377" t="s">
        <v>20</v>
      </c>
      <c r="D377" t="s">
        <v>51</v>
      </c>
      <c r="E377" t="s">
        <v>14</v>
      </c>
      <c r="F377" t="s">
        <v>361</v>
      </c>
      <c r="G377" t="s">
        <v>61</v>
      </c>
      <c r="H377">
        <v>6</v>
      </c>
      <c r="I377" s="1">
        <v>10838.05</v>
      </c>
      <c r="J377" t="s">
        <v>17</v>
      </c>
      <c r="K377" t="s">
        <v>18</v>
      </c>
      <c r="L377" t="str" cm="1">
        <f t="array" ref="L377">_xlfn.IFS(B377&lt;30,"18-29",B377&lt;45,"30-44",B377&lt;60,"45-59",B377&lt;75,"60-74",B377&lt;=90,"75-90")</f>
        <v>18-29</v>
      </c>
      <c r="M377" t="str">
        <f>IF(Table1[[#This Row],[length_of_stay_days]]&gt;7,"Yes","No")</f>
        <v>No</v>
      </c>
    </row>
    <row r="378" spans="1:13" x14ac:dyDescent="0.3">
      <c r="A378" t="s">
        <v>726</v>
      </c>
      <c r="B378">
        <v>71</v>
      </c>
      <c r="C378" t="s">
        <v>12</v>
      </c>
      <c r="D378" t="s">
        <v>51</v>
      </c>
      <c r="E378" t="s">
        <v>28</v>
      </c>
      <c r="F378" t="s">
        <v>135</v>
      </c>
      <c r="G378" t="s">
        <v>727</v>
      </c>
      <c r="H378">
        <v>8</v>
      </c>
      <c r="I378" s="1">
        <v>13830.48</v>
      </c>
      <c r="J378" t="s">
        <v>49</v>
      </c>
      <c r="K378" t="s">
        <v>18</v>
      </c>
      <c r="L378" t="str" cm="1">
        <f t="array" ref="L378">_xlfn.IFS(B378&lt;30,"18-29",B378&lt;45,"30-44",B378&lt;60,"45-59",B378&lt;75,"60-74",B378&lt;=90,"75-90")</f>
        <v>60-74</v>
      </c>
      <c r="M378" t="str">
        <f>IF(Table1[[#This Row],[length_of_stay_days]]&gt;7,"Yes","No")</f>
        <v>Yes</v>
      </c>
    </row>
    <row r="379" spans="1:13" x14ac:dyDescent="0.3">
      <c r="A379" t="s">
        <v>728</v>
      </c>
      <c r="B379">
        <v>85</v>
      </c>
      <c r="C379" t="s">
        <v>20</v>
      </c>
      <c r="D379" t="s">
        <v>32</v>
      </c>
      <c r="E379" t="s">
        <v>28</v>
      </c>
      <c r="F379" t="s">
        <v>208</v>
      </c>
      <c r="G379" t="s">
        <v>25</v>
      </c>
      <c r="H379">
        <v>5</v>
      </c>
      <c r="I379" s="1">
        <v>12815.35</v>
      </c>
      <c r="J379" t="s">
        <v>17</v>
      </c>
      <c r="K379" t="s">
        <v>18</v>
      </c>
      <c r="L379" t="str" cm="1">
        <f t="array" ref="L379">_xlfn.IFS(B379&lt;30,"18-29",B379&lt;45,"30-44",B379&lt;60,"45-59",B379&lt;75,"60-74",B379&lt;=90,"75-90")</f>
        <v>75-90</v>
      </c>
      <c r="M379" t="str">
        <f>IF(Table1[[#This Row],[length_of_stay_days]]&gt;7,"Yes","No")</f>
        <v>No</v>
      </c>
    </row>
    <row r="380" spans="1:13" x14ac:dyDescent="0.3">
      <c r="A380" t="s">
        <v>729</v>
      </c>
      <c r="B380">
        <v>84</v>
      </c>
      <c r="C380" t="s">
        <v>20</v>
      </c>
      <c r="D380" t="s">
        <v>13</v>
      </c>
      <c r="E380" t="s">
        <v>21</v>
      </c>
      <c r="F380" t="s">
        <v>730</v>
      </c>
      <c r="G380" t="s">
        <v>314</v>
      </c>
      <c r="H380">
        <v>9</v>
      </c>
      <c r="I380" s="1">
        <v>8369.73</v>
      </c>
      <c r="J380" t="s">
        <v>49</v>
      </c>
      <c r="K380" t="s">
        <v>18</v>
      </c>
      <c r="L380" t="str" cm="1">
        <f t="array" ref="L380">_xlfn.IFS(B380&lt;30,"18-29",B380&lt;45,"30-44",B380&lt;60,"45-59",B380&lt;75,"60-74",B380&lt;=90,"75-90")</f>
        <v>75-90</v>
      </c>
      <c r="M380" t="str">
        <f>IF(Table1[[#This Row],[length_of_stay_days]]&gt;7,"Yes","No")</f>
        <v>Yes</v>
      </c>
    </row>
    <row r="381" spans="1:13" x14ac:dyDescent="0.3">
      <c r="A381" t="s">
        <v>731</v>
      </c>
      <c r="B381">
        <v>32</v>
      </c>
      <c r="C381" t="s">
        <v>20</v>
      </c>
      <c r="D381" t="s">
        <v>46</v>
      </c>
      <c r="E381" t="s">
        <v>28</v>
      </c>
      <c r="F381" t="s">
        <v>96</v>
      </c>
      <c r="G381" t="s">
        <v>382</v>
      </c>
      <c r="H381">
        <v>9</v>
      </c>
      <c r="I381" s="1">
        <v>17035.87</v>
      </c>
      <c r="J381" t="s">
        <v>17</v>
      </c>
      <c r="K381" t="s">
        <v>18</v>
      </c>
      <c r="L381" t="str" cm="1">
        <f t="array" ref="L381">_xlfn.IFS(B381&lt;30,"18-29",B381&lt;45,"30-44",B381&lt;60,"45-59",B381&lt;75,"60-74",B381&lt;=90,"75-90")</f>
        <v>30-44</v>
      </c>
      <c r="M381" t="str">
        <f>IF(Table1[[#This Row],[length_of_stay_days]]&gt;7,"Yes","No")</f>
        <v>Yes</v>
      </c>
    </row>
    <row r="382" spans="1:13" x14ac:dyDescent="0.3">
      <c r="A382" t="s">
        <v>732</v>
      </c>
      <c r="B382">
        <v>89</v>
      </c>
      <c r="C382" t="s">
        <v>20</v>
      </c>
      <c r="D382" t="s">
        <v>32</v>
      </c>
      <c r="E382" t="s">
        <v>28</v>
      </c>
      <c r="F382" t="s">
        <v>323</v>
      </c>
      <c r="G382" t="s">
        <v>724</v>
      </c>
      <c r="H382">
        <v>9</v>
      </c>
      <c r="I382" s="1">
        <v>11971.66</v>
      </c>
      <c r="J382" t="s">
        <v>17</v>
      </c>
      <c r="K382" t="s">
        <v>18</v>
      </c>
      <c r="L382" t="str" cm="1">
        <f t="array" ref="L382">_xlfn.IFS(B382&lt;30,"18-29",B382&lt;45,"30-44",B382&lt;60,"45-59",B382&lt;75,"60-74",B382&lt;=90,"75-90")</f>
        <v>75-90</v>
      </c>
      <c r="M382" t="str">
        <f>IF(Table1[[#This Row],[length_of_stay_days]]&gt;7,"Yes","No")</f>
        <v>Yes</v>
      </c>
    </row>
    <row r="383" spans="1:13" x14ac:dyDescent="0.3">
      <c r="A383" t="s">
        <v>733</v>
      </c>
      <c r="B383">
        <v>45</v>
      </c>
      <c r="C383" t="s">
        <v>12</v>
      </c>
      <c r="D383" t="s">
        <v>51</v>
      </c>
      <c r="E383" t="s">
        <v>28</v>
      </c>
      <c r="F383" t="s">
        <v>241</v>
      </c>
      <c r="G383" t="s">
        <v>114</v>
      </c>
      <c r="H383">
        <v>5</v>
      </c>
      <c r="I383" s="1">
        <v>11401.11</v>
      </c>
      <c r="J383" t="s">
        <v>49</v>
      </c>
      <c r="K383" t="s">
        <v>18</v>
      </c>
      <c r="L383" t="str" cm="1">
        <f t="array" ref="L383">_xlfn.IFS(B383&lt;30,"18-29",B383&lt;45,"30-44",B383&lt;60,"45-59",B383&lt;75,"60-74",B383&lt;=90,"75-90")</f>
        <v>45-59</v>
      </c>
      <c r="M383" t="str">
        <f>IF(Table1[[#This Row],[length_of_stay_days]]&gt;7,"Yes","No")</f>
        <v>No</v>
      </c>
    </row>
    <row r="384" spans="1:13" x14ac:dyDescent="0.3">
      <c r="A384" t="s">
        <v>734</v>
      </c>
      <c r="B384">
        <v>51</v>
      </c>
      <c r="C384" t="s">
        <v>20</v>
      </c>
      <c r="D384" t="s">
        <v>32</v>
      </c>
      <c r="E384" t="s">
        <v>21</v>
      </c>
      <c r="F384" t="s">
        <v>130</v>
      </c>
      <c r="G384" t="s">
        <v>357</v>
      </c>
      <c r="H384">
        <v>5</v>
      </c>
      <c r="I384" s="1">
        <v>10263.48</v>
      </c>
      <c r="J384" t="s">
        <v>17</v>
      </c>
      <c r="K384" t="s">
        <v>18</v>
      </c>
      <c r="L384" t="str" cm="1">
        <f t="array" ref="L384">_xlfn.IFS(B384&lt;30,"18-29",B384&lt;45,"30-44",B384&lt;60,"45-59",B384&lt;75,"60-74",B384&lt;=90,"75-90")</f>
        <v>45-59</v>
      </c>
      <c r="M384" t="str">
        <f>IF(Table1[[#This Row],[length_of_stay_days]]&gt;7,"Yes","No")</f>
        <v>No</v>
      </c>
    </row>
    <row r="385" spans="1:13" x14ac:dyDescent="0.3">
      <c r="A385" t="s">
        <v>735</v>
      </c>
      <c r="B385">
        <v>56</v>
      </c>
      <c r="C385" t="s">
        <v>20</v>
      </c>
      <c r="D385" t="s">
        <v>32</v>
      </c>
      <c r="E385" t="s">
        <v>28</v>
      </c>
      <c r="F385" t="s">
        <v>526</v>
      </c>
      <c r="G385" t="s">
        <v>65</v>
      </c>
      <c r="H385">
        <v>5</v>
      </c>
      <c r="I385" s="1">
        <v>8219.7099999999991</v>
      </c>
      <c r="J385" t="s">
        <v>17</v>
      </c>
      <c r="K385" t="s">
        <v>18</v>
      </c>
      <c r="L385" t="str" cm="1">
        <f t="array" ref="L385">_xlfn.IFS(B385&lt;30,"18-29",B385&lt;45,"30-44",B385&lt;60,"45-59",B385&lt;75,"60-74",B385&lt;=90,"75-90")</f>
        <v>45-59</v>
      </c>
      <c r="M385" t="str">
        <f>IF(Table1[[#This Row],[length_of_stay_days]]&gt;7,"Yes","No")</f>
        <v>No</v>
      </c>
    </row>
    <row r="386" spans="1:13" x14ac:dyDescent="0.3">
      <c r="A386" t="s">
        <v>736</v>
      </c>
      <c r="B386">
        <v>74</v>
      </c>
      <c r="C386" t="s">
        <v>12</v>
      </c>
      <c r="D386" t="s">
        <v>13</v>
      </c>
      <c r="E386" t="s">
        <v>28</v>
      </c>
      <c r="F386" t="s">
        <v>184</v>
      </c>
      <c r="G386" t="s">
        <v>195</v>
      </c>
      <c r="H386">
        <v>6</v>
      </c>
      <c r="I386" s="1">
        <v>6945.02</v>
      </c>
      <c r="J386" t="s">
        <v>49</v>
      </c>
      <c r="K386" t="s">
        <v>18</v>
      </c>
      <c r="L386" t="str" cm="1">
        <f t="array" ref="L386">_xlfn.IFS(B386&lt;30,"18-29",B386&lt;45,"30-44",B386&lt;60,"45-59",B386&lt;75,"60-74",B386&lt;=90,"75-90")</f>
        <v>60-74</v>
      </c>
      <c r="M386" t="str">
        <f>IF(Table1[[#This Row],[length_of_stay_days]]&gt;7,"Yes","No")</f>
        <v>No</v>
      </c>
    </row>
    <row r="387" spans="1:13" x14ac:dyDescent="0.3">
      <c r="A387" t="s">
        <v>737</v>
      </c>
      <c r="B387">
        <v>68</v>
      </c>
      <c r="C387" t="s">
        <v>12</v>
      </c>
      <c r="D387" t="s">
        <v>28</v>
      </c>
      <c r="E387" t="s">
        <v>28</v>
      </c>
      <c r="F387" t="s">
        <v>574</v>
      </c>
      <c r="G387" t="s">
        <v>646</v>
      </c>
      <c r="H387">
        <v>1</v>
      </c>
      <c r="I387" s="1">
        <v>4373.62</v>
      </c>
      <c r="J387" t="s">
        <v>17</v>
      </c>
      <c r="K387" t="s">
        <v>18</v>
      </c>
      <c r="L387" t="str" cm="1">
        <f t="array" ref="L387">_xlfn.IFS(B387&lt;30,"18-29",B387&lt;45,"30-44",B387&lt;60,"45-59",B387&lt;75,"60-74",B387&lt;=90,"75-90")</f>
        <v>60-74</v>
      </c>
      <c r="M387" t="str">
        <f>IF(Table1[[#This Row],[length_of_stay_days]]&gt;7,"Yes","No")</f>
        <v>No</v>
      </c>
    </row>
    <row r="388" spans="1:13" x14ac:dyDescent="0.3">
      <c r="A388" t="s">
        <v>738</v>
      </c>
      <c r="B388">
        <v>41</v>
      </c>
      <c r="C388" t="s">
        <v>20</v>
      </c>
      <c r="D388" t="s">
        <v>13</v>
      </c>
      <c r="E388" t="s">
        <v>28</v>
      </c>
      <c r="F388" t="s">
        <v>434</v>
      </c>
      <c r="G388" t="s">
        <v>460</v>
      </c>
      <c r="H388">
        <v>5</v>
      </c>
      <c r="I388" s="1">
        <v>8033.64</v>
      </c>
      <c r="J388" t="s">
        <v>17</v>
      </c>
      <c r="K388" t="s">
        <v>18</v>
      </c>
      <c r="L388" t="str" cm="1">
        <f t="array" ref="L388">_xlfn.IFS(B388&lt;30,"18-29",B388&lt;45,"30-44",B388&lt;60,"45-59",B388&lt;75,"60-74",B388&lt;=90,"75-90")</f>
        <v>30-44</v>
      </c>
      <c r="M388" t="str">
        <f>IF(Table1[[#This Row],[length_of_stay_days]]&gt;7,"Yes","No")</f>
        <v>No</v>
      </c>
    </row>
    <row r="389" spans="1:13" x14ac:dyDescent="0.3">
      <c r="A389" t="s">
        <v>739</v>
      </c>
      <c r="B389">
        <v>58</v>
      </c>
      <c r="C389" t="s">
        <v>20</v>
      </c>
      <c r="D389" t="s">
        <v>51</v>
      </c>
      <c r="E389" t="s">
        <v>28</v>
      </c>
      <c r="F389" t="s">
        <v>489</v>
      </c>
      <c r="G389" t="s">
        <v>415</v>
      </c>
      <c r="H389">
        <v>9</v>
      </c>
      <c r="I389" s="1">
        <v>13371.6</v>
      </c>
      <c r="J389" t="s">
        <v>17</v>
      </c>
      <c r="K389" t="s">
        <v>18</v>
      </c>
      <c r="L389" t="str" cm="1">
        <f t="array" ref="L389">_xlfn.IFS(B389&lt;30,"18-29",B389&lt;45,"30-44",B389&lt;60,"45-59",B389&lt;75,"60-74",B389&lt;=90,"75-90")</f>
        <v>45-59</v>
      </c>
      <c r="M389" t="str">
        <f>IF(Table1[[#This Row],[length_of_stay_days]]&gt;7,"Yes","No")</f>
        <v>Yes</v>
      </c>
    </row>
    <row r="390" spans="1:13" x14ac:dyDescent="0.3">
      <c r="A390" t="s">
        <v>740</v>
      </c>
      <c r="B390">
        <v>33</v>
      </c>
      <c r="C390" t="s">
        <v>20</v>
      </c>
      <c r="D390" t="s">
        <v>46</v>
      </c>
      <c r="E390" t="s">
        <v>28</v>
      </c>
      <c r="F390" t="s">
        <v>701</v>
      </c>
      <c r="G390" t="s">
        <v>311</v>
      </c>
      <c r="H390">
        <v>6</v>
      </c>
      <c r="I390" s="1">
        <v>14502.85</v>
      </c>
      <c r="J390" t="s">
        <v>17</v>
      </c>
      <c r="K390" t="s">
        <v>18</v>
      </c>
      <c r="L390" t="str" cm="1">
        <f t="array" ref="L390">_xlfn.IFS(B390&lt;30,"18-29",B390&lt;45,"30-44",B390&lt;60,"45-59",B390&lt;75,"60-74",B390&lt;=90,"75-90")</f>
        <v>30-44</v>
      </c>
      <c r="M390" t="str">
        <f>IF(Table1[[#This Row],[length_of_stay_days]]&gt;7,"Yes","No")</f>
        <v>No</v>
      </c>
    </row>
    <row r="391" spans="1:13" x14ac:dyDescent="0.3">
      <c r="A391" t="s">
        <v>741</v>
      </c>
      <c r="B391">
        <v>51</v>
      </c>
      <c r="C391" t="s">
        <v>20</v>
      </c>
      <c r="D391" t="s">
        <v>32</v>
      </c>
      <c r="E391" t="s">
        <v>14</v>
      </c>
      <c r="F391" t="s">
        <v>742</v>
      </c>
      <c r="G391" t="s">
        <v>246</v>
      </c>
      <c r="H391">
        <v>6</v>
      </c>
      <c r="I391" s="1">
        <v>9242.66</v>
      </c>
      <c r="J391" t="s">
        <v>17</v>
      </c>
      <c r="K391" t="s">
        <v>18</v>
      </c>
      <c r="L391" t="str" cm="1">
        <f t="array" ref="L391">_xlfn.IFS(B391&lt;30,"18-29",B391&lt;45,"30-44",B391&lt;60,"45-59",B391&lt;75,"60-74",B391&lt;=90,"75-90")</f>
        <v>45-59</v>
      </c>
      <c r="M391" t="str">
        <f>IF(Table1[[#This Row],[length_of_stay_days]]&gt;7,"Yes","No")</f>
        <v>No</v>
      </c>
    </row>
    <row r="392" spans="1:13" x14ac:dyDescent="0.3">
      <c r="A392" t="s">
        <v>743</v>
      </c>
      <c r="B392">
        <v>47</v>
      </c>
      <c r="C392" t="s">
        <v>20</v>
      </c>
      <c r="D392" t="s">
        <v>28</v>
      </c>
      <c r="E392" t="s">
        <v>28</v>
      </c>
      <c r="F392" t="s">
        <v>194</v>
      </c>
      <c r="G392" t="s">
        <v>149</v>
      </c>
      <c r="H392">
        <v>2</v>
      </c>
      <c r="I392" s="1">
        <v>2998.16</v>
      </c>
      <c r="J392" t="s">
        <v>17</v>
      </c>
      <c r="K392" t="s">
        <v>44</v>
      </c>
      <c r="L392" t="str" cm="1">
        <f t="array" ref="L392">_xlfn.IFS(B392&lt;30,"18-29",B392&lt;45,"30-44",B392&lt;60,"45-59",B392&lt;75,"60-74",B392&lt;=90,"75-90")</f>
        <v>45-59</v>
      </c>
      <c r="M392" t="str">
        <f>IF(Table1[[#This Row],[length_of_stay_days]]&gt;7,"Yes","No")</f>
        <v>No</v>
      </c>
    </row>
    <row r="393" spans="1:13" x14ac:dyDescent="0.3">
      <c r="A393" t="s">
        <v>744</v>
      </c>
      <c r="B393">
        <v>79</v>
      </c>
      <c r="C393" t="s">
        <v>12</v>
      </c>
      <c r="D393" t="s">
        <v>28</v>
      </c>
      <c r="E393" t="s">
        <v>28</v>
      </c>
      <c r="F393" t="s">
        <v>34</v>
      </c>
      <c r="G393" t="s">
        <v>292</v>
      </c>
      <c r="H393">
        <v>8</v>
      </c>
      <c r="I393" s="1">
        <v>8023.41</v>
      </c>
      <c r="J393" t="s">
        <v>17</v>
      </c>
      <c r="K393" t="s">
        <v>18</v>
      </c>
      <c r="L393" t="str" cm="1">
        <f t="array" ref="L393">_xlfn.IFS(B393&lt;30,"18-29",B393&lt;45,"30-44",B393&lt;60,"45-59",B393&lt;75,"60-74",B393&lt;=90,"75-90")</f>
        <v>75-90</v>
      </c>
      <c r="M393" t="str">
        <f>IF(Table1[[#This Row],[length_of_stay_days]]&gt;7,"Yes","No")</f>
        <v>Yes</v>
      </c>
    </row>
    <row r="394" spans="1:13" x14ac:dyDescent="0.3">
      <c r="A394" t="s">
        <v>745</v>
      </c>
      <c r="B394">
        <v>82</v>
      </c>
      <c r="C394" t="s">
        <v>20</v>
      </c>
      <c r="D394" t="s">
        <v>55</v>
      </c>
      <c r="E394" t="s">
        <v>14</v>
      </c>
      <c r="F394" t="s">
        <v>609</v>
      </c>
      <c r="G394" t="s">
        <v>746</v>
      </c>
      <c r="H394">
        <v>6</v>
      </c>
      <c r="I394" s="1">
        <v>9658.25</v>
      </c>
      <c r="J394" t="s">
        <v>17</v>
      </c>
      <c r="K394" t="s">
        <v>18</v>
      </c>
      <c r="L394" t="str" cm="1">
        <f t="array" ref="L394">_xlfn.IFS(B394&lt;30,"18-29",B394&lt;45,"30-44",B394&lt;60,"45-59",B394&lt;75,"60-74",B394&lt;=90,"75-90")</f>
        <v>75-90</v>
      </c>
      <c r="M394" t="str">
        <f>IF(Table1[[#This Row],[length_of_stay_days]]&gt;7,"Yes","No")</f>
        <v>No</v>
      </c>
    </row>
    <row r="395" spans="1:13" x14ac:dyDescent="0.3">
      <c r="A395" t="s">
        <v>747</v>
      </c>
      <c r="B395">
        <v>81</v>
      </c>
      <c r="C395" t="s">
        <v>20</v>
      </c>
      <c r="D395" t="s">
        <v>55</v>
      </c>
      <c r="E395" t="s">
        <v>28</v>
      </c>
      <c r="F395" t="s">
        <v>309</v>
      </c>
      <c r="G395" t="s">
        <v>273</v>
      </c>
      <c r="H395">
        <v>4</v>
      </c>
      <c r="I395" s="1">
        <v>12006.48</v>
      </c>
      <c r="J395" t="s">
        <v>17</v>
      </c>
      <c r="K395" t="s">
        <v>18</v>
      </c>
      <c r="L395" t="str" cm="1">
        <f t="array" ref="L395">_xlfn.IFS(B395&lt;30,"18-29",B395&lt;45,"30-44",B395&lt;60,"45-59",B395&lt;75,"60-74",B395&lt;=90,"75-90")</f>
        <v>75-90</v>
      </c>
      <c r="M395" t="str">
        <f>IF(Table1[[#This Row],[length_of_stay_days]]&gt;7,"Yes","No")</f>
        <v>No</v>
      </c>
    </row>
    <row r="396" spans="1:13" x14ac:dyDescent="0.3">
      <c r="A396" t="s">
        <v>748</v>
      </c>
      <c r="B396">
        <v>51</v>
      </c>
      <c r="C396" t="s">
        <v>20</v>
      </c>
      <c r="D396" t="s">
        <v>13</v>
      </c>
      <c r="E396" t="s">
        <v>28</v>
      </c>
      <c r="F396" t="s">
        <v>575</v>
      </c>
      <c r="G396" t="s">
        <v>67</v>
      </c>
      <c r="H396">
        <v>6</v>
      </c>
      <c r="I396" s="1">
        <v>7529.06</v>
      </c>
      <c r="J396" t="s">
        <v>17</v>
      </c>
      <c r="K396" t="s">
        <v>18</v>
      </c>
      <c r="L396" t="str" cm="1">
        <f t="array" ref="L396">_xlfn.IFS(B396&lt;30,"18-29",B396&lt;45,"30-44",B396&lt;60,"45-59",B396&lt;75,"60-74",B396&lt;=90,"75-90")</f>
        <v>45-59</v>
      </c>
      <c r="M396" t="str">
        <f>IF(Table1[[#This Row],[length_of_stay_days]]&gt;7,"Yes","No")</f>
        <v>No</v>
      </c>
    </row>
    <row r="397" spans="1:13" x14ac:dyDescent="0.3">
      <c r="A397" t="s">
        <v>749</v>
      </c>
      <c r="B397">
        <v>70</v>
      </c>
      <c r="C397" t="s">
        <v>12</v>
      </c>
      <c r="D397" t="s">
        <v>28</v>
      </c>
      <c r="E397" t="s">
        <v>14</v>
      </c>
      <c r="F397" t="s">
        <v>261</v>
      </c>
      <c r="G397" t="s">
        <v>171</v>
      </c>
      <c r="H397">
        <v>5</v>
      </c>
      <c r="I397" s="1">
        <v>5894.6</v>
      </c>
      <c r="J397" t="s">
        <v>17</v>
      </c>
      <c r="K397" t="s">
        <v>18</v>
      </c>
      <c r="L397" t="str" cm="1">
        <f t="array" ref="L397">_xlfn.IFS(B397&lt;30,"18-29",B397&lt;45,"30-44",B397&lt;60,"45-59",B397&lt;75,"60-74",B397&lt;=90,"75-90")</f>
        <v>60-74</v>
      </c>
      <c r="M397" t="str">
        <f>IF(Table1[[#This Row],[length_of_stay_days]]&gt;7,"Yes","No")</f>
        <v>No</v>
      </c>
    </row>
    <row r="398" spans="1:13" x14ac:dyDescent="0.3">
      <c r="A398" t="s">
        <v>750</v>
      </c>
      <c r="B398">
        <v>30</v>
      </c>
      <c r="C398" t="s">
        <v>20</v>
      </c>
      <c r="D398" t="s">
        <v>28</v>
      </c>
      <c r="E398" t="s">
        <v>14</v>
      </c>
      <c r="F398" t="s">
        <v>126</v>
      </c>
      <c r="G398" t="s">
        <v>751</v>
      </c>
      <c r="H398">
        <v>2</v>
      </c>
      <c r="I398" s="1">
        <v>5154.3100000000004</v>
      </c>
      <c r="J398" t="s">
        <v>17</v>
      </c>
      <c r="K398" t="s">
        <v>18</v>
      </c>
      <c r="L398" t="str" cm="1">
        <f t="array" ref="L398">_xlfn.IFS(B398&lt;30,"18-29",B398&lt;45,"30-44",B398&lt;60,"45-59",B398&lt;75,"60-74",B398&lt;=90,"75-90")</f>
        <v>30-44</v>
      </c>
      <c r="M398" t="str">
        <f>IF(Table1[[#This Row],[length_of_stay_days]]&gt;7,"Yes","No")</f>
        <v>No</v>
      </c>
    </row>
    <row r="399" spans="1:13" x14ac:dyDescent="0.3">
      <c r="A399" t="s">
        <v>752</v>
      </c>
      <c r="B399">
        <v>70</v>
      </c>
      <c r="C399" t="s">
        <v>20</v>
      </c>
      <c r="D399" t="s">
        <v>13</v>
      </c>
      <c r="E399" t="s">
        <v>28</v>
      </c>
      <c r="F399" t="s">
        <v>288</v>
      </c>
      <c r="G399" t="s">
        <v>390</v>
      </c>
      <c r="H399">
        <v>3</v>
      </c>
      <c r="I399" s="1">
        <v>6213.45</v>
      </c>
      <c r="J399" t="s">
        <v>17</v>
      </c>
      <c r="K399" t="s">
        <v>18</v>
      </c>
      <c r="L399" t="str" cm="1">
        <f t="array" ref="L399">_xlfn.IFS(B399&lt;30,"18-29",B399&lt;45,"30-44",B399&lt;60,"45-59",B399&lt;75,"60-74",B399&lt;=90,"75-90")</f>
        <v>60-74</v>
      </c>
      <c r="M399" t="str">
        <f>IF(Table1[[#This Row],[length_of_stay_days]]&gt;7,"Yes","No")</f>
        <v>No</v>
      </c>
    </row>
    <row r="400" spans="1:13" x14ac:dyDescent="0.3">
      <c r="A400" t="s">
        <v>753</v>
      </c>
      <c r="B400">
        <v>26</v>
      </c>
      <c r="C400" t="s">
        <v>20</v>
      </c>
      <c r="D400" t="s">
        <v>13</v>
      </c>
      <c r="E400" t="s">
        <v>21</v>
      </c>
      <c r="F400" t="s">
        <v>456</v>
      </c>
      <c r="G400" t="s">
        <v>523</v>
      </c>
      <c r="H400">
        <v>6</v>
      </c>
      <c r="I400" s="1">
        <v>8827.33</v>
      </c>
      <c r="J400" t="s">
        <v>17</v>
      </c>
      <c r="K400" t="s">
        <v>18</v>
      </c>
      <c r="L400" t="str" cm="1">
        <f t="array" ref="L400">_xlfn.IFS(B400&lt;30,"18-29",B400&lt;45,"30-44",B400&lt;60,"45-59",B400&lt;75,"60-74",B400&lt;=90,"75-90")</f>
        <v>18-29</v>
      </c>
      <c r="M400" t="str">
        <f>IF(Table1[[#This Row],[length_of_stay_days]]&gt;7,"Yes","No")</f>
        <v>No</v>
      </c>
    </row>
    <row r="401" spans="1:13" x14ac:dyDescent="0.3">
      <c r="A401" t="s">
        <v>754</v>
      </c>
      <c r="B401">
        <v>83</v>
      </c>
      <c r="C401" t="s">
        <v>20</v>
      </c>
      <c r="D401" t="s">
        <v>28</v>
      </c>
      <c r="E401" t="s">
        <v>28</v>
      </c>
      <c r="F401" t="s">
        <v>501</v>
      </c>
      <c r="G401" t="s">
        <v>676</v>
      </c>
      <c r="H401">
        <v>1</v>
      </c>
      <c r="I401" s="1">
        <v>5224.97</v>
      </c>
      <c r="J401" t="s">
        <v>17</v>
      </c>
      <c r="K401" t="s">
        <v>18</v>
      </c>
      <c r="L401" t="str" cm="1">
        <f t="array" ref="L401">_xlfn.IFS(B401&lt;30,"18-29",B401&lt;45,"30-44",B401&lt;60,"45-59",B401&lt;75,"60-74",B401&lt;=90,"75-90")</f>
        <v>75-90</v>
      </c>
      <c r="M401" t="str">
        <f>IF(Table1[[#This Row],[length_of_stay_days]]&gt;7,"Yes","No")</f>
        <v>No</v>
      </c>
    </row>
    <row r="402" spans="1:13" x14ac:dyDescent="0.3">
      <c r="A402" t="s">
        <v>755</v>
      </c>
      <c r="B402">
        <v>61</v>
      </c>
      <c r="C402" t="s">
        <v>12</v>
      </c>
      <c r="D402" t="s">
        <v>28</v>
      </c>
      <c r="E402" t="s">
        <v>28</v>
      </c>
      <c r="F402" t="s">
        <v>173</v>
      </c>
      <c r="G402" t="s">
        <v>163</v>
      </c>
      <c r="H402">
        <v>6</v>
      </c>
      <c r="I402" s="1">
        <v>4860.95</v>
      </c>
      <c r="J402" t="s">
        <v>17</v>
      </c>
      <c r="K402" t="s">
        <v>18</v>
      </c>
      <c r="L402" t="str" cm="1">
        <f t="array" ref="L402">_xlfn.IFS(B402&lt;30,"18-29",B402&lt;45,"30-44",B402&lt;60,"45-59",B402&lt;75,"60-74",B402&lt;=90,"75-90")</f>
        <v>60-74</v>
      </c>
      <c r="M402" t="str">
        <f>IF(Table1[[#This Row],[length_of_stay_days]]&gt;7,"Yes","No")</f>
        <v>No</v>
      </c>
    </row>
    <row r="403" spans="1:13" x14ac:dyDescent="0.3">
      <c r="A403" t="s">
        <v>756</v>
      </c>
      <c r="B403">
        <v>87</v>
      </c>
      <c r="C403" t="s">
        <v>12</v>
      </c>
      <c r="D403" t="s">
        <v>55</v>
      </c>
      <c r="E403" t="s">
        <v>28</v>
      </c>
      <c r="F403" t="s">
        <v>165</v>
      </c>
      <c r="G403" t="s">
        <v>757</v>
      </c>
      <c r="H403">
        <v>9</v>
      </c>
      <c r="I403" s="1">
        <v>12034.68</v>
      </c>
      <c r="J403" t="s">
        <v>49</v>
      </c>
      <c r="K403" t="s">
        <v>18</v>
      </c>
      <c r="L403" t="str" cm="1">
        <f t="array" ref="L403">_xlfn.IFS(B403&lt;30,"18-29",B403&lt;45,"30-44",B403&lt;60,"45-59",B403&lt;75,"60-74",B403&lt;=90,"75-90")</f>
        <v>75-90</v>
      </c>
      <c r="M403" t="str">
        <f>IF(Table1[[#This Row],[length_of_stay_days]]&gt;7,"Yes","No")</f>
        <v>Yes</v>
      </c>
    </row>
    <row r="404" spans="1:13" x14ac:dyDescent="0.3">
      <c r="A404" t="s">
        <v>758</v>
      </c>
      <c r="B404">
        <v>90</v>
      </c>
      <c r="C404" t="s">
        <v>20</v>
      </c>
      <c r="D404" t="s">
        <v>28</v>
      </c>
      <c r="E404" t="s">
        <v>14</v>
      </c>
      <c r="F404" t="s">
        <v>629</v>
      </c>
      <c r="G404" t="s">
        <v>344</v>
      </c>
      <c r="H404">
        <v>5</v>
      </c>
      <c r="I404" s="1">
        <v>6292.99</v>
      </c>
      <c r="J404" t="s">
        <v>17</v>
      </c>
      <c r="K404" t="s">
        <v>18</v>
      </c>
      <c r="L404" t="str" cm="1">
        <f t="array" ref="L404">_xlfn.IFS(B404&lt;30,"18-29",B404&lt;45,"30-44",B404&lt;60,"45-59",B404&lt;75,"60-74",B404&lt;=90,"75-90")</f>
        <v>75-90</v>
      </c>
      <c r="M404" t="str">
        <f>IF(Table1[[#This Row],[length_of_stay_days]]&gt;7,"Yes","No")</f>
        <v>No</v>
      </c>
    </row>
    <row r="405" spans="1:13" x14ac:dyDescent="0.3">
      <c r="A405" t="s">
        <v>759</v>
      </c>
      <c r="B405">
        <v>28</v>
      </c>
      <c r="C405" t="s">
        <v>20</v>
      </c>
      <c r="D405" t="s">
        <v>46</v>
      </c>
      <c r="E405" t="s">
        <v>14</v>
      </c>
      <c r="F405" t="s">
        <v>293</v>
      </c>
      <c r="G405" t="s">
        <v>180</v>
      </c>
      <c r="H405">
        <v>4</v>
      </c>
      <c r="I405" s="1">
        <v>11334.02</v>
      </c>
      <c r="J405" t="s">
        <v>17</v>
      </c>
      <c r="K405" t="s">
        <v>18</v>
      </c>
      <c r="L405" t="str" cm="1">
        <f t="array" ref="L405">_xlfn.IFS(B405&lt;30,"18-29",B405&lt;45,"30-44",B405&lt;60,"45-59",B405&lt;75,"60-74",B405&lt;=90,"75-90")</f>
        <v>18-29</v>
      </c>
      <c r="M405" t="str">
        <f>IF(Table1[[#This Row],[length_of_stay_days]]&gt;7,"Yes","No")</f>
        <v>No</v>
      </c>
    </row>
    <row r="406" spans="1:13" x14ac:dyDescent="0.3">
      <c r="A406" t="s">
        <v>760</v>
      </c>
      <c r="B406">
        <v>72</v>
      </c>
      <c r="C406" t="s">
        <v>12</v>
      </c>
      <c r="D406" t="s">
        <v>13</v>
      </c>
      <c r="E406" t="s">
        <v>14</v>
      </c>
      <c r="F406" t="s">
        <v>306</v>
      </c>
      <c r="G406" t="s">
        <v>588</v>
      </c>
      <c r="H406">
        <v>2</v>
      </c>
      <c r="I406" s="1">
        <v>5566.77</v>
      </c>
      <c r="J406" t="s">
        <v>17</v>
      </c>
      <c r="K406" t="s">
        <v>18</v>
      </c>
      <c r="L406" t="str" cm="1">
        <f t="array" ref="L406">_xlfn.IFS(B406&lt;30,"18-29",B406&lt;45,"30-44",B406&lt;60,"45-59",B406&lt;75,"60-74",B406&lt;=90,"75-90")</f>
        <v>60-74</v>
      </c>
      <c r="M406" t="str">
        <f>IF(Table1[[#This Row],[length_of_stay_days]]&gt;7,"Yes","No")</f>
        <v>No</v>
      </c>
    </row>
    <row r="407" spans="1:13" x14ac:dyDescent="0.3">
      <c r="A407" t="s">
        <v>761</v>
      </c>
      <c r="B407">
        <v>18</v>
      </c>
      <c r="C407" t="s">
        <v>12</v>
      </c>
      <c r="D407" t="s">
        <v>28</v>
      </c>
      <c r="E407" t="s">
        <v>21</v>
      </c>
      <c r="F407" t="s">
        <v>190</v>
      </c>
      <c r="G407" t="s">
        <v>762</v>
      </c>
      <c r="H407">
        <v>6</v>
      </c>
      <c r="I407" s="1">
        <v>7748.35</v>
      </c>
      <c r="J407" t="s">
        <v>17</v>
      </c>
      <c r="K407" t="s">
        <v>18</v>
      </c>
      <c r="L407" t="str" cm="1">
        <f t="array" ref="L407">_xlfn.IFS(B407&lt;30,"18-29",B407&lt;45,"30-44",B407&lt;60,"45-59",B407&lt;75,"60-74",B407&lt;=90,"75-90")</f>
        <v>18-29</v>
      </c>
      <c r="M407" t="str">
        <f>IF(Table1[[#This Row],[length_of_stay_days]]&gt;7,"Yes","No")</f>
        <v>No</v>
      </c>
    </row>
    <row r="408" spans="1:13" x14ac:dyDescent="0.3">
      <c r="A408" t="s">
        <v>763</v>
      </c>
      <c r="B408">
        <v>50</v>
      </c>
      <c r="C408" t="s">
        <v>20</v>
      </c>
      <c r="D408" t="s">
        <v>51</v>
      </c>
      <c r="E408" t="s">
        <v>14</v>
      </c>
      <c r="F408" t="s">
        <v>68</v>
      </c>
      <c r="G408" t="s">
        <v>526</v>
      </c>
      <c r="H408">
        <v>6</v>
      </c>
      <c r="I408" s="1">
        <v>10797.77</v>
      </c>
      <c r="J408" t="s">
        <v>17</v>
      </c>
      <c r="K408" t="s">
        <v>18</v>
      </c>
      <c r="L408" t="str" cm="1">
        <f t="array" ref="L408">_xlfn.IFS(B408&lt;30,"18-29",B408&lt;45,"30-44",B408&lt;60,"45-59",B408&lt;75,"60-74",B408&lt;=90,"75-90")</f>
        <v>45-59</v>
      </c>
      <c r="M408" t="str">
        <f>IF(Table1[[#This Row],[length_of_stay_days]]&gt;7,"Yes","No")</f>
        <v>No</v>
      </c>
    </row>
    <row r="409" spans="1:13" x14ac:dyDescent="0.3">
      <c r="A409" t="s">
        <v>764</v>
      </c>
      <c r="B409">
        <v>24</v>
      </c>
      <c r="C409" t="s">
        <v>12</v>
      </c>
      <c r="D409" t="s">
        <v>13</v>
      </c>
      <c r="E409" t="s">
        <v>14</v>
      </c>
      <c r="F409" t="s">
        <v>337</v>
      </c>
      <c r="G409" t="s">
        <v>765</v>
      </c>
      <c r="H409">
        <v>5</v>
      </c>
      <c r="I409" s="1">
        <v>8638.42</v>
      </c>
      <c r="J409" t="s">
        <v>17</v>
      </c>
      <c r="K409" t="s">
        <v>18</v>
      </c>
      <c r="L409" t="str" cm="1">
        <f t="array" ref="L409">_xlfn.IFS(B409&lt;30,"18-29",B409&lt;45,"30-44",B409&lt;60,"45-59",B409&lt;75,"60-74",B409&lt;=90,"75-90")</f>
        <v>18-29</v>
      </c>
      <c r="M409" t="str">
        <f>IF(Table1[[#This Row],[length_of_stay_days]]&gt;7,"Yes","No")</f>
        <v>No</v>
      </c>
    </row>
    <row r="410" spans="1:13" x14ac:dyDescent="0.3">
      <c r="A410" t="s">
        <v>766</v>
      </c>
      <c r="B410">
        <v>19</v>
      </c>
      <c r="C410" t="s">
        <v>20</v>
      </c>
      <c r="D410" t="s">
        <v>32</v>
      </c>
      <c r="E410" t="s">
        <v>28</v>
      </c>
      <c r="F410" t="s">
        <v>182</v>
      </c>
      <c r="G410" t="s">
        <v>767</v>
      </c>
      <c r="H410">
        <v>6</v>
      </c>
      <c r="I410" s="1">
        <v>8711.7099999999991</v>
      </c>
      <c r="J410" t="s">
        <v>17</v>
      </c>
      <c r="K410" t="s">
        <v>18</v>
      </c>
      <c r="L410" t="str" cm="1">
        <f t="array" ref="L410">_xlfn.IFS(B410&lt;30,"18-29",B410&lt;45,"30-44",B410&lt;60,"45-59",B410&lt;75,"60-74",B410&lt;=90,"75-90")</f>
        <v>18-29</v>
      </c>
      <c r="M410" t="str">
        <f>IF(Table1[[#This Row],[length_of_stay_days]]&gt;7,"Yes","No")</f>
        <v>No</v>
      </c>
    </row>
    <row r="411" spans="1:13" x14ac:dyDescent="0.3">
      <c r="A411" t="s">
        <v>768</v>
      </c>
      <c r="B411">
        <v>86</v>
      </c>
      <c r="C411" t="s">
        <v>12</v>
      </c>
      <c r="D411" t="s">
        <v>28</v>
      </c>
      <c r="E411" t="s">
        <v>28</v>
      </c>
      <c r="F411" t="s">
        <v>465</v>
      </c>
      <c r="G411" t="s">
        <v>489</v>
      </c>
      <c r="H411">
        <v>1</v>
      </c>
      <c r="I411" s="1">
        <v>2172.4899999999998</v>
      </c>
      <c r="J411" t="s">
        <v>17</v>
      </c>
      <c r="K411" t="s">
        <v>18</v>
      </c>
      <c r="L411" t="str" cm="1">
        <f t="array" ref="L411">_xlfn.IFS(B411&lt;30,"18-29",B411&lt;45,"30-44",B411&lt;60,"45-59",B411&lt;75,"60-74",B411&lt;=90,"75-90")</f>
        <v>75-90</v>
      </c>
      <c r="M411" t="str">
        <f>IF(Table1[[#This Row],[length_of_stay_days]]&gt;7,"Yes","No")</f>
        <v>No</v>
      </c>
    </row>
    <row r="412" spans="1:13" x14ac:dyDescent="0.3">
      <c r="A412" t="s">
        <v>769</v>
      </c>
      <c r="B412">
        <v>31</v>
      </c>
      <c r="C412" t="s">
        <v>20</v>
      </c>
      <c r="D412" t="s">
        <v>55</v>
      </c>
      <c r="E412" t="s">
        <v>28</v>
      </c>
      <c r="F412" t="s">
        <v>388</v>
      </c>
      <c r="G412" t="s">
        <v>762</v>
      </c>
      <c r="H412">
        <v>5</v>
      </c>
      <c r="I412" s="1">
        <v>6692.39</v>
      </c>
      <c r="J412" t="s">
        <v>17</v>
      </c>
      <c r="K412" t="s">
        <v>18</v>
      </c>
      <c r="L412" t="str" cm="1">
        <f t="array" ref="L412">_xlfn.IFS(B412&lt;30,"18-29",B412&lt;45,"30-44",B412&lt;60,"45-59",B412&lt;75,"60-74",B412&lt;=90,"75-90")</f>
        <v>30-44</v>
      </c>
      <c r="M412" t="str">
        <f>IF(Table1[[#This Row],[length_of_stay_days]]&gt;7,"Yes","No")</f>
        <v>No</v>
      </c>
    </row>
    <row r="413" spans="1:13" x14ac:dyDescent="0.3">
      <c r="A413" t="s">
        <v>770</v>
      </c>
      <c r="B413">
        <v>18</v>
      </c>
      <c r="C413" t="s">
        <v>20</v>
      </c>
      <c r="D413" t="s">
        <v>13</v>
      </c>
      <c r="E413" t="s">
        <v>28</v>
      </c>
      <c r="F413" t="s">
        <v>742</v>
      </c>
      <c r="G413" t="s">
        <v>246</v>
      </c>
      <c r="H413">
        <v>6</v>
      </c>
      <c r="I413" s="1">
        <v>9591.08</v>
      </c>
      <c r="J413" t="s">
        <v>17</v>
      </c>
      <c r="K413" t="s">
        <v>18</v>
      </c>
      <c r="L413" t="str" cm="1">
        <f t="array" ref="L413">_xlfn.IFS(B413&lt;30,"18-29",B413&lt;45,"30-44",B413&lt;60,"45-59",B413&lt;75,"60-74",B413&lt;=90,"75-90")</f>
        <v>18-29</v>
      </c>
      <c r="M413" t="str">
        <f>IF(Table1[[#This Row],[length_of_stay_days]]&gt;7,"Yes","No")</f>
        <v>No</v>
      </c>
    </row>
    <row r="414" spans="1:13" x14ac:dyDescent="0.3">
      <c r="A414" t="s">
        <v>771</v>
      </c>
      <c r="B414">
        <v>49</v>
      </c>
      <c r="C414" t="s">
        <v>12</v>
      </c>
      <c r="D414" t="s">
        <v>55</v>
      </c>
      <c r="E414" t="s">
        <v>28</v>
      </c>
      <c r="F414" t="s">
        <v>261</v>
      </c>
      <c r="G414" t="s">
        <v>390</v>
      </c>
      <c r="H414">
        <v>6</v>
      </c>
      <c r="I414" s="1">
        <v>11721.48</v>
      </c>
      <c r="J414" t="s">
        <v>17</v>
      </c>
      <c r="K414" t="s">
        <v>18</v>
      </c>
      <c r="L414" t="str" cm="1">
        <f t="array" ref="L414">_xlfn.IFS(B414&lt;30,"18-29",B414&lt;45,"30-44",B414&lt;60,"45-59",B414&lt;75,"60-74",B414&lt;=90,"75-90")</f>
        <v>45-59</v>
      </c>
      <c r="M414" t="str">
        <f>IF(Table1[[#This Row],[length_of_stay_days]]&gt;7,"Yes","No")</f>
        <v>No</v>
      </c>
    </row>
    <row r="415" spans="1:13" x14ac:dyDescent="0.3">
      <c r="A415" t="s">
        <v>772</v>
      </c>
      <c r="B415">
        <v>55</v>
      </c>
      <c r="C415" t="s">
        <v>12</v>
      </c>
      <c r="D415" t="s">
        <v>28</v>
      </c>
      <c r="E415" t="s">
        <v>21</v>
      </c>
      <c r="F415" t="s">
        <v>532</v>
      </c>
      <c r="G415" t="s">
        <v>52</v>
      </c>
      <c r="H415">
        <v>5</v>
      </c>
      <c r="I415" s="1">
        <v>4845.71</v>
      </c>
      <c r="J415" t="s">
        <v>17</v>
      </c>
      <c r="K415" t="s">
        <v>18</v>
      </c>
      <c r="L415" t="str" cm="1">
        <f t="array" ref="L415">_xlfn.IFS(B415&lt;30,"18-29",B415&lt;45,"30-44",B415&lt;60,"45-59",B415&lt;75,"60-74",B415&lt;=90,"75-90")</f>
        <v>45-59</v>
      </c>
      <c r="M415" t="str">
        <f>IF(Table1[[#This Row],[length_of_stay_days]]&gt;7,"Yes","No")</f>
        <v>No</v>
      </c>
    </row>
    <row r="416" spans="1:13" x14ac:dyDescent="0.3">
      <c r="A416" t="s">
        <v>773</v>
      </c>
      <c r="B416">
        <v>20</v>
      </c>
      <c r="C416" t="s">
        <v>12</v>
      </c>
      <c r="D416" t="s">
        <v>13</v>
      </c>
      <c r="E416" t="s">
        <v>14</v>
      </c>
      <c r="F416" t="s">
        <v>774</v>
      </c>
      <c r="G416" t="s">
        <v>384</v>
      </c>
      <c r="H416">
        <v>4</v>
      </c>
      <c r="I416" s="1">
        <v>5750.89</v>
      </c>
      <c r="J416" t="s">
        <v>17</v>
      </c>
      <c r="K416" t="s">
        <v>18</v>
      </c>
      <c r="L416" t="str" cm="1">
        <f t="array" ref="L416">_xlfn.IFS(B416&lt;30,"18-29",B416&lt;45,"30-44",B416&lt;60,"45-59",B416&lt;75,"60-74",B416&lt;=90,"75-90")</f>
        <v>18-29</v>
      </c>
      <c r="M416" t="str">
        <f>IF(Table1[[#This Row],[length_of_stay_days]]&gt;7,"Yes","No")</f>
        <v>No</v>
      </c>
    </row>
    <row r="417" spans="1:13" x14ac:dyDescent="0.3">
      <c r="A417" t="s">
        <v>775</v>
      </c>
      <c r="B417">
        <v>53</v>
      </c>
      <c r="C417" t="s">
        <v>20</v>
      </c>
      <c r="D417" t="s">
        <v>51</v>
      </c>
      <c r="E417" t="s">
        <v>21</v>
      </c>
      <c r="F417" t="s">
        <v>776</v>
      </c>
      <c r="G417" t="s">
        <v>86</v>
      </c>
      <c r="H417">
        <v>8</v>
      </c>
      <c r="I417" s="1">
        <v>12445.47</v>
      </c>
      <c r="J417" t="s">
        <v>17</v>
      </c>
      <c r="K417" t="s">
        <v>18</v>
      </c>
      <c r="L417" t="str" cm="1">
        <f t="array" ref="L417">_xlfn.IFS(B417&lt;30,"18-29",B417&lt;45,"30-44",B417&lt;60,"45-59",B417&lt;75,"60-74",B417&lt;=90,"75-90")</f>
        <v>45-59</v>
      </c>
      <c r="M417" t="str">
        <f>IF(Table1[[#This Row],[length_of_stay_days]]&gt;7,"Yes","No")</f>
        <v>Yes</v>
      </c>
    </row>
    <row r="418" spans="1:13" x14ac:dyDescent="0.3">
      <c r="A418" t="s">
        <v>777</v>
      </c>
      <c r="B418">
        <v>50</v>
      </c>
      <c r="C418" t="s">
        <v>20</v>
      </c>
      <c r="D418" t="s">
        <v>46</v>
      </c>
      <c r="E418" t="s">
        <v>14</v>
      </c>
      <c r="F418" t="s">
        <v>453</v>
      </c>
      <c r="G418" t="s">
        <v>778</v>
      </c>
      <c r="H418">
        <v>4</v>
      </c>
      <c r="I418" s="1">
        <v>11754.33</v>
      </c>
      <c r="J418" t="s">
        <v>17</v>
      </c>
      <c r="K418" t="s">
        <v>18</v>
      </c>
      <c r="L418" t="str" cm="1">
        <f t="array" ref="L418">_xlfn.IFS(B418&lt;30,"18-29",B418&lt;45,"30-44",B418&lt;60,"45-59",B418&lt;75,"60-74",B418&lt;=90,"75-90")</f>
        <v>45-59</v>
      </c>
      <c r="M418" t="str">
        <f>IF(Table1[[#This Row],[length_of_stay_days]]&gt;7,"Yes","No")</f>
        <v>No</v>
      </c>
    </row>
    <row r="419" spans="1:13" x14ac:dyDescent="0.3">
      <c r="A419" t="s">
        <v>779</v>
      </c>
      <c r="B419">
        <v>50</v>
      </c>
      <c r="C419" t="s">
        <v>20</v>
      </c>
      <c r="D419" t="s">
        <v>32</v>
      </c>
      <c r="E419" t="s">
        <v>21</v>
      </c>
      <c r="F419" t="s">
        <v>280</v>
      </c>
      <c r="G419" t="s">
        <v>275</v>
      </c>
      <c r="H419">
        <v>4</v>
      </c>
      <c r="I419" s="1">
        <v>9120.0300000000007</v>
      </c>
      <c r="J419" t="s">
        <v>17</v>
      </c>
      <c r="K419" t="s">
        <v>18</v>
      </c>
      <c r="L419" t="str" cm="1">
        <f t="array" ref="L419">_xlfn.IFS(B419&lt;30,"18-29",B419&lt;45,"30-44",B419&lt;60,"45-59",B419&lt;75,"60-74",B419&lt;=90,"75-90")</f>
        <v>45-59</v>
      </c>
      <c r="M419" t="str">
        <f>IF(Table1[[#This Row],[length_of_stay_days]]&gt;7,"Yes","No")</f>
        <v>No</v>
      </c>
    </row>
    <row r="420" spans="1:13" x14ac:dyDescent="0.3">
      <c r="A420" t="s">
        <v>780</v>
      </c>
      <c r="B420">
        <v>61</v>
      </c>
      <c r="C420" t="s">
        <v>12</v>
      </c>
      <c r="D420" t="s">
        <v>51</v>
      </c>
      <c r="E420" t="s">
        <v>14</v>
      </c>
      <c r="F420" t="s">
        <v>116</v>
      </c>
      <c r="G420" t="s">
        <v>579</v>
      </c>
      <c r="H420">
        <v>6</v>
      </c>
      <c r="I420" s="1">
        <v>10470.030000000001</v>
      </c>
      <c r="J420" t="s">
        <v>17</v>
      </c>
      <c r="K420" t="s">
        <v>18</v>
      </c>
      <c r="L420" t="str" cm="1">
        <f t="array" ref="L420">_xlfn.IFS(B420&lt;30,"18-29",B420&lt;45,"30-44",B420&lt;60,"45-59",B420&lt;75,"60-74",B420&lt;=90,"75-90")</f>
        <v>60-74</v>
      </c>
      <c r="M420" t="str">
        <f>IF(Table1[[#This Row],[length_of_stay_days]]&gt;7,"Yes","No")</f>
        <v>No</v>
      </c>
    </row>
    <row r="421" spans="1:13" x14ac:dyDescent="0.3">
      <c r="A421" t="s">
        <v>781</v>
      </c>
      <c r="B421">
        <v>21</v>
      </c>
      <c r="C421" t="s">
        <v>70</v>
      </c>
      <c r="D421" t="s">
        <v>55</v>
      </c>
      <c r="E421" t="s">
        <v>28</v>
      </c>
      <c r="F421" t="s">
        <v>348</v>
      </c>
      <c r="G421" t="s">
        <v>388</v>
      </c>
      <c r="H421">
        <v>5</v>
      </c>
      <c r="I421" s="1">
        <v>8602.44</v>
      </c>
      <c r="J421" t="s">
        <v>17</v>
      </c>
      <c r="K421" t="s">
        <v>18</v>
      </c>
      <c r="L421" t="str" cm="1">
        <f t="array" ref="L421">_xlfn.IFS(B421&lt;30,"18-29",B421&lt;45,"30-44",B421&lt;60,"45-59",B421&lt;75,"60-74",B421&lt;=90,"75-90")</f>
        <v>18-29</v>
      </c>
      <c r="M421" t="str">
        <f>IF(Table1[[#This Row],[length_of_stay_days]]&gt;7,"Yes","No")</f>
        <v>No</v>
      </c>
    </row>
    <row r="422" spans="1:13" x14ac:dyDescent="0.3">
      <c r="A422" t="s">
        <v>782</v>
      </c>
      <c r="B422">
        <v>45</v>
      </c>
      <c r="C422" t="s">
        <v>20</v>
      </c>
      <c r="D422" t="s">
        <v>32</v>
      </c>
      <c r="E422" t="s">
        <v>21</v>
      </c>
      <c r="F422" t="s">
        <v>422</v>
      </c>
      <c r="G422" t="s">
        <v>783</v>
      </c>
      <c r="H422">
        <v>6</v>
      </c>
      <c r="I422" s="1">
        <v>11895.4</v>
      </c>
      <c r="J422" t="s">
        <v>17</v>
      </c>
      <c r="K422" t="s">
        <v>18</v>
      </c>
      <c r="L422" t="str" cm="1">
        <f t="array" ref="L422">_xlfn.IFS(B422&lt;30,"18-29",B422&lt;45,"30-44",B422&lt;60,"45-59",B422&lt;75,"60-74",B422&lt;=90,"75-90")</f>
        <v>45-59</v>
      </c>
      <c r="M422" t="str">
        <f>IF(Table1[[#This Row],[length_of_stay_days]]&gt;7,"Yes","No")</f>
        <v>No</v>
      </c>
    </row>
    <row r="423" spans="1:13" x14ac:dyDescent="0.3">
      <c r="A423" t="s">
        <v>784</v>
      </c>
      <c r="B423">
        <v>32</v>
      </c>
      <c r="C423" t="s">
        <v>12</v>
      </c>
      <c r="D423" t="s">
        <v>28</v>
      </c>
      <c r="E423" t="s">
        <v>14</v>
      </c>
      <c r="F423" t="s">
        <v>112</v>
      </c>
      <c r="G423" t="s">
        <v>205</v>
      </c>
      <c r="H423">
        <v>7</v>
      </c>
      <c r="I423" s="1">
        <v>7445.7</v>
      </c>
      <c r="J423" t="s">
        <v>17</v>
      </c>
      <c r="K423" t="s">
        <v>18</v>
      </c>
      <c r="L423" t="str" cm="1">
        <f t="array" ref="L423">_xlfn.IFS(B423&lt;30,"18-29",B423&lt;45,"30-44",B423&lt;60,"45-59",B423&lt;75,"60-74",B423&lt;=90,"75-90")</f>
        <v>30-44</v>
      </c>
      <c r="M423" t="str">
        <f>IF(Table1[[#This Row],[length_of_stay_days]]&gt;7,"Yes","No")</f>
        <v>No</v>
      </c>
    </row>
    <row r="424" spans="1:13" x14ac:dyDescent="0.3">
      <c r="A424" t="s">
        <v>785</v>
      </c>
      <c r="B424">
        <v>34</v>
      </c>
      <c r="C424" t="s">
        <v>20</v>
      </c>
      <c r="D424" t="s">
        <v>51</v>
      </c>
      <c r="E424" t="s">
        <v>21</v>
      </c>
      <c r="F424" t="s">
        <v>285</v>
      </c>
      <c r="G424" t="s">
        <v>516</v>
      </c>
      <c r="H424">
        <v>6</v>
      </c>
      <c r="I424" s="1">
        <v>12886.57</v>
      </c>
      <c r="J424" t="s">
        <v>17</v>
      </c>
      <c r="K424" t="s">
        <v>18</v>
      </c>
      <c r="L424" t="str" cm="1">
        <f t="array" ref="L424">_xlfn.IFS(B424&lt;30,"18-29",B424&lt;45,"30-44",B424&lt;60,"45-59",B424&lt;75,"60-74",B424&lt;=90,"75-90")</f>
        <v>30-44</v>
      </c>
      <c r="M424" t="str">
        <f>IF(Table1[[#This Row],[length_of_stay_days]]&gt;7,"Yes","No")</f>
        <v>No</v>
      </c>
    </row>
    <row r="425" spans="1:13" x14ac:dyDescent="0.3">
      <c r="A425" t="s">
        <v>786</v>
      </c>
      <c r="B425">
        <v>45</v>
      </c>
      <c r="C425" t="s">
        <v>12</v>
      </c>
      <c r="D425" t="s">
        <v>46</v>
      </c>
      <c r="E425" t="s">
        <v>14</v>
      </c>
      <c r="F425" t="s">
        <v>443</v>
      </c>
      <c r="G425" t="s">
        <v>787</v>
      </c>
      <c r="H425">
        <v>4</v>
      </c>
      <c r="I425" s="1">
        <v>11881.55</v>
      </c>
      <c r="J425" t="s">
        <v>17</v>
      </c>
      <c r="K425" t="s">
        <v>18</v>
      </c>
      <c r="L425" t="str" cm="1">
        <f t="array" ref="L425">_xlfn.IFS(B425&lt;30,"18-29",B425&lt;45,"30-44",B425&lt;60,"45-59",B425&lt;75,"60-74",B425&lt;=90,"75-90")</f>
        <v>45-59</v>
      </c>
      <c r="M425" t="str">
        <f>IF(Table1[[#This Row],[length_of_stay_days]]&gt;7,"Yes","No")</f>
        <v>No</v>
      </c>
    </row>
    <row r="426" spans="1:13" x14ac:dyDescent="0.3">
      <c r="A426" t="s">
        <v>788</v>
      </c>
      <c r="B426">
        <v>28</v>
      </c>
      <c r="C426" t="s">
        <v>12</v>
      </c>
      <c r="D426" t="s">
        <v>46</v>
      </c>
      <c r="E426" t="s">
        <v>28</v>
      </c>
      <c r="F426" t="s">
        <v>319</v>
      </c>
      <c r="G426" t="s">
        <v>320</v>
      </c>
      <c r="H426">
        <v>4</v>
      </c>
      <c r="I426" s="1">
        <v>13661.42</v>
      </c>
      <c r="J426" t="s">
        <v>17</v>
      </c>
      <c r="K426" t="s">
        <v>18</v>
      </c>
      <c r="L426" t="str" cm="1">
        <f t="array" ref="L426">_xlfn.IFS(B426&lt;30,"18-29",B426&lt;45,"30-44",B426&lt;60,"45-59",B426&lt;75,"60-74",B426&lt;=90,"75-90")</f>
        <v>18-29</v>
      </c>
      <c r="M426" t="str">
        <f>IF(Table1[[#This Row],[length_of_stay_days]]&gt;7,"Yes","No")</f>
        <v>No</v>
      </c>
    </row>
    <row r="427" spans="1:13" x14ac:dyDescent="0.3">
      <c r="A427" t="s">
        <v>789</v>
      </c>
      <c r="B427">
        <v>38</v>
      </c>
      <c r="C427" t="s">
        <v>20</v>
      </c>
      <c r="D427" t="s">
        <v>28</v>
      </c>
      <c r="E427" t="s">
        <v>28</v>
      </c>
      <c r="F427" t="s">
        <v>168</v>
      </c>
      <c r="G427" t="s">
        <v>402</v>
      </c>
      <c r="H427">
        <v>1</v>
      </c>
      <c r="I427" s="1">
        <v>6510.68</v>
      </c>
      <c r="J427" t="s">
        <v>17</v>
      </c>
      <c r="K427" t="s">
        <v>18</v>
      </c>
      <c r="L427" t="str" cm="1">
        <f t="array" ref="L427">_xlfn.IFS(B427&lt;30,"18-29",B427&lt;45,"30-44",B427&lt;60,"45-59",B427&lt;75,"60-74",B427&lt;=90,"75-90")</f>
        <v>30-44</v>
      </c>
      <c r="M427" t="str">
        <f>IF(Table1[[#This Row],[length_of_stay_days]]&gt;7,"Yes","No")</f>
        <v>No</v>
      </c>
    </row>
    <row r="428" spans="1:13" x14ac:dyDescent="0.3">
      <c r="A428" t="s">
        <v>790</v>
      </c>
      <c r="B428">
        <v>67</v>
      </c>
      <c r="C428" t="s">
        <v>20</v>
      </c>
      <c r="D428" t="s">
        <v>32</v>
      </c>
      <c r="E428" t="s">
        <v>14</v>
      </c>
      <c r="F428" t="s">
        <v>791</v>
      </c>
      <c r="G428" t="s">
        <v>226</v>
      </c>
      <c r="H428">
        <v>8</v>
      </c>
      <c r="I428" s="1">
        <v>12646.7</v>
      </c>
      <c r="J428" t="s">
        <v>17</v>
      </c>
      <c r="K428" t="s">
        <v>18</v>
      </c>
      <c r="L428" t="str" cm="1">
        <f t="array" ref="L428">_xlfn.IFS(B428&lt;30,"18-29",B428&lt;45,"30-44",B428&lt;60,"45-59",B428&lt;75,"60-74",B428&lt;=90,"75-90")</f>
        <v>60-74</v>
      </c>
      <c r="M428" t="str">
        <f>IF(Table1[[#This Row],[length_of_stay_days]]&gt;7,"Yes","No")</f>
        <v>Yes</v>
      </c>
    </row>
    <row r="429" spans="1:13" x14ac:dyDescent="0.3">
      <c r="A429" t="s">
        <v>792</v>
      </c>
      <c r="B429">
        <v>76</v>
      </c>
      <c r="C429" t="s">
        <v>20</v>
      </c>
      <c r="D429" t="s">
        <v>28</v>
      </c>
      <c r="E429" t="s">
        <v>14</v>
      </c>
      <c r="F429" t="s">
        <v>207</v>
      </c>
      <c r="G429" t="s">
        <v>451</v>
      </c>
      <c r="H429">
        <v>3</v>
      </c>
      <c r="I429" s="1">
        <v>6317.61</v>
      </c>
      <c r="J429" t="s">
        <v>17</v>
      </c>
      <c r="K429" t="s">
        <v>18</v>
      </c>
      <c r="L429" t="str" cm="1">
        <f t="array" ref="L429">_xlfn.IFS(B429&lt;30,"18-29",B429&lt;45,"30-44",B429&lt;60,"45-59",B429&lt;75,"60-74",B429&lt;=90,"75-90")</f>
        <v>75-90</v>
      </c>
      <c r="M429" t="str">
        <f>IF(Table1[[#This Row],[length_of_stay_days]]&gt;7,"Yes","No")</f>
        <v>No</v>
      </c>
    </row>
    <row r="430" spans="1:13" x14ac:dyDescent="0.3">
      <c r="A430" t="s">
        <v>793</v>
      </c>
      <c r="B430">
        <v>70</v>
      </c>
      <c r="C430" t="s">
        <v>20</v>
      </c>
      <c r="D430" t="s">
        <v>28</v>
      </c>
      <c r="E430" t="s">
        <v>28</v>
      </c>
      <c r="F430" t="s">
        <v>678</v>
      </c>
      <c r="G430" t="s">
        <v>121</v>
      </c>
      <c r="H430">
        <v>10</v>
      </c>
      <c r="I430" s="1">
        <v>11306.48</v>
      </c>
      <c r="J430" t="s">
        <v>49</v>
      </c>
      <c r="K430" t="s">
        <v>18</v>
      </c>
      <c r="L430" t="str" cm="1">
        <f t="array" ref="L430">_xlfn.IFS(B430&lt;30,"18-29",B430&lt;45,"30-44",B430&lt;60,"45-59",B430&lt;75,"60-74",B430&lt;=90,"75-90")</f>
        <v>60-74</v>
      </c>
      <c r="M430" t="str">
        <f>IF(Table1[[#This Row],[length_of_stay_days]]&gt;7,"Yes","No")</f>
        <v>Yes</v>
      </c>
    </row>
    <row r="431" spans="1:13" x14ac:dyDescent="0.3">
      <c r="A431" t="s">
        <v>794</v>
      </c>
      <c r="B431">
        <v>78</v>
      </c>
      <c r="C431" t="s">
        <v>12</v>
      </c>
      <c r="D431" t="s">
        <v>13</v>
      </c>
      <c r="E431" t="s">
        <v>28</v>
      </c>
      <c r="F431" t="s">
        <v>228</v>
      </c>
      <c r="G431" t="s">
        <v>243</v>
      </c>
      <c r="H431">
        <v>8</v>
      </c>
      <c r="I431" s="1">
        <v>10722.83</v>
      </c>
      <c r="J431" t="s">
        <v>17</v>
      </c>
      <c r="K431" t="s">
        <v>18</v>
      </c>
      <c r="L431" t="str" cm="1">
        <f t="array" ref="L431">_xlfn.IFS(B431&lt;30,"18-29",B431&lt;45,"30-44",B431&lt;60,"45-59",B431&lt;75,"60-74",B431&lt;=90,"75-90")</f>
        <v>75-90</v>
      </c>
      <c r="M431" t="str">
        <f>IF(Table1[[#This Row],[length_of_stay_days]]&gt;7,"Yes","No")</f>
        <v>Yes</v>
      </c>
    </row>
    <row r="432" spans="1:13" x14ac:dyDescent="0.3">
      <c r="A432" t="s">
        <v>795</v>
      </c>
      <c r="B432">
        <v>39</v>
      </c>
      <c r="C432" t="s">
        <v>20</v>
      </c>
      <c r="D432" t="s">
        <v>51</v>
      </c>
      <c r="E432" t="s">
        <v>14</v>
      </c>
      <c r="F432" t="s">
        <v>503</v>
      </c>
      <c r="G432" t="s">
        <v>72</v>
      </c>
      <c r="H432">
        <v>7</v>
      </c>
      <c r="I432" s="1">
        <v>14072.5</v>
      </c>
      <c r="J432" t="s">
        <v>17</v>
      </c>
      <c r="K432" t="s">
        <v>18</v>
      </c>
      <c r="L432" t="str" cm="1">
        <f t="array" ref="L432">_xlfn.IFS(B432&lt;30,"18-29",B432&lt;45,"30-44",B432&lt;60,"45-59",B432&lt;75,"60-74",B432&lt;=90,"75-90")</f>
        <v>30-44</v>
      </c>
      <c r="M432" t="str">
        <f>IF(Table1[[#This Row],[length_of_stay_days]]&gt;7,"Yes","No")</f>
        <v>No</v>
      </c>
    </row>
    <row r="433" spans="1:13" x14ac:dyDescent="0.3">
      <c r="A433" t="s">
        <v>796</v>
      </c>
      <c r="B433">
        <v>31</v>
      </c>
      <c r="C433" t="s">
        <v>12</v>
      </c>
      <c r="D433" t="s">
        <v>28</v>
      </c>
      <c r="E433" t="s">
        <v>14</v>
      </c>
      <c r="F433" t="s">
        <v>797</v>
      </c>
      <c r="G433" t="s">
        <v>163</v>
      </c>
      <c r="H433">
        <v>1</v>
      </c>
      <c r="I433" s="1">
        <v>1536.31</v>
      </c>
      <c r="J433" t="s">
        <v>17</v>
      </c>
      <c r="K433" t="s">
        <v>18</v>
      </c>
      <c r="L433" t="str" cm="1">
        <f t="array" ref="L433">_xlfn.IFS(B433&lt;30,"18-29",B433&lt;45,"30-44",B433&lt;60,"45-59",B433&lt;75,"60-74",B433&lt;=90,"75-90")</f>
        <v>30-44</v>
      </c>
      <c r="M433" t="str">
        <f>IF(Table1[[#This Row],[length_of_stay_days]]&gt;7,"Yes","No")</f>
        <v>No</v>
      </c>
    </row>
    <row r="434" spans="1:13" x14ac:dyDescent="0.3">
      <c r="A434" t="s">
        <v>798</v>
      </c>
      <c r="B434">
        <v>36</v>
      </c>
      <c r="C434" t="s">
        <v>20</v>
      </c>
      <c r="D434" t="s">
        <v>13</v>
      </c>
      <c r="E434" t="s">
        <v>14</v>
      </c>
      <c r="F434" t="s">
        <v>358</v>
      </c>
      <c r="G434" t="s">
        <v>37</v>
      </c>
      <c r="H434">
        <v>3</v>
      </c>
      <c r="I434" s="1">
        <v>5217.2700000000004</v>
      </c>
      <c r="J434" t="s">
        <v>17</v>
      </c>
      <c r="K434" t="s">
        <v>18</v>
      </c>
      <c r="L434" t="str" cm="1">
        <f t="array" ref="L434">_xlfn.IFS(B434&lt;30,"18-29",B434&lt;45,"30-44",B434&lt;60,"45-59",B434&lt;75,"60-74",B434&lt;=90,"75-90")</f>
        <v>30-44</v>
      </c>
      <c r="M434" t="str">
        <f>IF(Table1[[#This Row],[length_of_stay_days]]&gt;7,"Yes","No")</f>
        <v>No</v>
      </c>
    </row>
    <row r="435" spans="1:13" x14ac:dyDescent="0.3">
      <c r="A435" t="s">
        <v>799</v>
      </c>
      <c r="B435">
        <v>57</v>
      </c>
      <c r="C435" t="s">
        <v>20</v>
      </c>
      <c r="D435" t="s">
        <v>46</v>
      </c>
      <c r="E435" t="s">
        <v>28</v>
      </c>
      <c r="F435" t="s">
        <v>440</v>
      </c>
      <c r="G435" t="s">
        <v>523</v>
      </c>
      <c r="H435">
        <v>8</v>
      </c>
      <c r="I435" s="1">
        <v>14633.14</v>
      </c>
      <c r="J435" t="s">
        <v>17</v>
      </c>
      <c r="K435" t="s">
        <v>18</v>
      </c>
      <c r="L435" t="str" cm="1">
        <f t="array" ref="L435">_xlfn.IFS(B435&lt;30,"18-29",B435&lt;45,"30-44",B435&lt;60,"45-59",B435&lt;75,"60-74",B435&lt;=90,"75-90")</f>
        <v>45-59</v>
      </c>
      <c r="M435" t="str">
        <f>IF(Table1[[#This Row],[length_of_stay_days]]&gt;7,"Yes","No")</f>
        <v>Yes</v>
      </c>
    </row>
    <row r="436" spans="1:13" x14ac:dyDescent="0.3">
      <c r="A436" t="s">
        <v>800</v>
      </c>
      <c r="B436">
        <v>20</v>
      </c>
      <c r="C436" t="s">
        <v>12</v>
      </c>
      <c r="D436" t="s">
        <v>55</v>
      </c>
      <c r="E436" t="s">
        <v>28</v>
      </c>
      <c r="F436" t="s">
        <v>306</v>
      </c>
      <c r="G436" t="s">
        <v>496</v>
      </c>
      <c r="H436">
        <v>8</v>
      </c>
      <c r="I436" s="1">
        <v>11019.38</v>
      </c>
      <c r="J436" t="s">
        <v>17</v>
      </c>
      <c r="K436" t="s">
        <v>18</v>
      </c>
      <c r="L436" t="str" cm="1">
        <f t="array" ref="L436">_xlfn.IFS(B436&lt;30,"18-29",B436&lt;45,"30-44",B436&lt;60,"45-59",B436&lt;75,"60-74",B436&lt;=90,"75-90")</f>
        <v>18-29</v>
      </c>
      <c r="M436" t="str">
        <f>IF(Table1[[#This Row],[length_of_stay_days]]&gt;7,"Yes","No")</f>
        <v>Yes</v>
      </c>
    </row>
    <row r="437" spans="1:13" x14ac:dyDescent="0.3">
      <c r="A437" t="s">
        <v>801</v>
      </c>
      <c r="B437">
        <v>27</v>
      </c>
      <c r="C437" t="s">
        <v>12</v>
      </c>
      <c r="D437" t="s">
        <v>55</v>
      </c>
      <c r="E437" t="s">
        <v>14</v>
      </c>
      <c r="F437" t="s">
        <v>463</v>
      </c>
      <c r="G437" t="s">
        <v>264</v>
      </c>
      <c r="H437">
        <v>4</v>
      </c>
      <c r="I437" s="1">
        <v>9825.94</v>
      </c>
      <c r="J437" t="s">
        <v>17</v>
      </c>
      <c r="K437" t="s">
        <v>18</v>
      </c>
      <c r="L437" t="str" cm="1">
        <f t="array" ref="L437">_xlfn.IFS(B437&lt;30,"18-29",B437&lt;45,"30-44",B437&lt;60,"45-59",B437&lt;75,"60-74",B437&lt;=90,"75-90")</f>
        <v>18-29</v>
      </c>
      <c r="M437" t="str">
        <f>IF(Table1[[#This Row],[length_of_stay_days]]&gt;7,"Yes","No")</f>
        <v>No</v>
      </c>
    </row>
    <row r="438" spans="1:13" x14ac:dyDescent="0.3">
      <c r="A438" t="s">
        <v>802</v>
      </c>
      <c r="B438">
        <v>54</v>
      </c>
      <c r="C438" t="s">
        <v>12</v>
      </c>
      <c r="D438" t="s">
        <v>55</v>
      </c>
      <c r="E438" t="s">
        <v>28</v>
      </c>
      <c r="F438" t="s">
        <v>52</v>
      </c>
      <c r="G438" t="s">
        <v>210</v>
      </c>
      <c r="H438">
        <v>4</v>
      </c>
      <c r="I438" s="1">
        <v>6539.49</v>
      </c>
      <c r="J438" t="s">
        <v>17</v>
      </c>
      <c r="K438" t="s">
        <v>18</v>
      </c>
      <c r="L438" t="str" cm="1">
        <f t="array" ref="L438">_xlfn.IFS(B438&lt;30,"18-29",B438&lt;45,"30-44",B438&lt;60,"45-59",B438&lt;75,"60-74",B438&lt;=90,"75-90")</f>
        <v>45-59</v>
      </c>
      <c r="M438" t="str">
        <f>IF(Table1[[#This Row],[length_of_stay_days]]&gt;7,"Yes","No")</f>
        <v>No</v>
      </c>
    </row>
    <row r="439" spans="1:13" x14ac:dyDescent="0.3">
      <c r="A439" t="s">
        <v>803</v>
      </c>
      <c r="B439">
        <v>28</v>
      </c>
      <c r="C439" t="s">
        <v>12</v>
      </c>
      <c r="D439" t="s">
        <v>28</v>
      </c>
      <c r="E439" t="s">
        <v>28</v>
      </c>
      <c r="F439" t="s">
        <v>436</v>
      </c>
      <c r="G439" t="s">
        <v>214</v>
      </c>
      <c r="H439">
        <v>6</v>
      </c>
      <c r="I439" s="1">
        <v>6384.12</v>
      </c>
      <c r="J439" t="s">
        <v>17</v>
      </c>
      <c r="K439" t="s">
        <v>18</v>
      </c>
      <c r="L439" t="str" cm="1">
        <f t="array" ref="L439">_xlfn.IFS(B439&lt;30,"18-29",B439&lt;45,"30-44",B439&lt;60,"45-59",B439&lt;75,"60-74",B439&lt;=90,"75-90")</f>
        <v>18-29</v>
      </c>
      <c r="M439" t="str">
        <f>IF(Table1[[#This Row],[length_of_stay_days]]&gt;7,"Yes","No")</f>
        <v>No</v>
      </c>
    </row>
    <row r="440" spans="1:13" x14ac:dyDescent="0.3">
      <c r="A440" t="s">
        <v>804</v>
      </c>
      <c r="B440">
        <v>19</v>
      </c>
      <c r="C440" t="s">
        <v>12</v>
      </c>
      <c r="D440" t="s">
        <v>13</v>
      </c>
      <c r="E440" t="s">
        <v>28</v>
      </c>
      <c r="F440" t="s">
        <v>301</v>
      </c>
      <c r="G440" t="s">
        <v>405</v>
      </c>
      <c r="H440">
        <v>1</v>
      </c>
      <c r="I440" s="1">
        <v>4373.1499999999996</v>
      </c>
      <c r="J440" t="s">
        <v>17</v>
      </c>
      <c r="K440" t="s">
        <v>18</v>
      </c>
      <c r="L440" t="str" cm="1">
        <f t="array" ref="L440">_xlfn.IFS(B440&lt;30,"18-29",B440&lt;45,"30-44",B440&lt;60,"45-59",B440&lt;75,"60-74",B440&lt;=90,"75-90")</f>
        <v>18-29</v>
      </c>
      <c r="M440" t="str">
        <f>IF(Table1[[#This Row],[length_of_stay_days]]&gt;7,"Yes","No")</f>
        <v>No</v>
      </c>
    </row>
    <row r="441" spans="1:13" x14ac:dyDescent="0.3">
      <c r="A441" t="s">
        <v>805</v>
      </c>
      <c r="B441">
        <v>37</v>
      </c>
      <c r="C441" t="s">
        <v>20</v>
      </c>
      <c r="D441" t="s">
        <v>13</v>
      </c>
      <c r="E441" t="s">
        <v>28</v>
      </c>
      <c r="F441" t="s">
        <v>228</v>
      </c>
      <c r="G441" t="s">
        <v>109</v>
      </c>
      <c r="H441">
        <v>3</v>
      </c>
      <c r="I441" s="1">
        <v>8016.76</v>
      </c>
      <c r="J441" t="s">
        <v>49</v>
      </c>
      <c r="K441" t="s">
        <v>18</v>
      </c>
      <c r="L441" t="str" cm="1">
        <f t="array" ref="L441">_xlfn.IFS(B441&lt;30,"18-29",B441&lt;45,"30-44",B441&lt;60,"45-59",B441&lt;75,"60-74",B441&lt;=90,"75-90")</f>
        <v>30-44</v>
      </c>
      <c r="M441" t="str">
        <f>IF(Table1[[#This Row],[length_of_stay_days]]&gt;7,"Yes","No")</f>
        <v>No</v>
      </c>
    </row>
    <row r="442" spans="1:13" x14ac:dyDescent="0.3">
      <c r="A442" t="s">
        <v>806</v>
      </c>
      <c r="B442">
        <v>18</v>
      </c>
      <c r="C442" t="s">
        <v>12</v>
      </c>
      <c r="D442" t="s">
        <v>28</v>
      </c>
      <c r="E442" t="s">
        <v>14</v>
      </c>
      <c r="F442" t="s">
        <v>384</v>
      </c>
      <c r="G442" t="s">
        <v>807</v>
      </c>
      <c r="H442">
        <v>4</v>
      </c>
      <c r="I442" s="1">
        <v>4232.99</v>
      </c>
      <c r="J442" t="s">
        <v>17</v>
      </c>
      <c r="K442" t="s">
        <v>18</v>
      </c>
      <c r="L442" t="str" cm="1">
        <f t="array" ref="L442">_xlfn.IFS(B442&lt;30,"18-29",B442&lt;45,"30-44",B442&lt;60,"45-59",B442&lt;75,"60-74",B442&lt;=90,"75-90")</f>
        <v>18-29</v>
      </c>
      <c r="M442" t="str">
        <f>IF(Table1[[#This Row],[length_of_stay_days]]&gt;7,"Yes","No")</f>
        <v>No</v>
      </c>
    </row>
    <row r="443" spans="1:13" x14ac:dyDescent="0.3">
      <c r="A443" t="s">
        <v>808</v>
      </c>
      <c r="B443">
        <v>64</v>
      </c>
      <c r="C443" t="s">
        <v>12</v>
      </c>
      <c r="D443" t="s">
        <v>28</v>
      </c>
      <c r="E443" t="s">
        <v>28</v>
      </c>
      <c r="F443" t="s">
        <v>325</v>
      </c>
      <c r="H443">
        <v>7</v>
      </c>
      <c r="I443" s="1">
        <v>8454.9699999999993</v>
      </c>
      <c r="J443" t="s">
        <v>17</v>
      </c>
      <c r="K443" t="s">
        <v>18</v>
      </c>
      <c r="L443" t="str" cm="1">
        <f t="array" ref="L443">_xlfn.IFS(B443&lt;30,"18-29",B443&lt;45,"30-44",B443&lt;60,"45-59",B443&lt;75,"60-74",B443&lt;=90,"75-90")</f>
        <v>60-74</v>
      </c>
      <c r="M443" t="str">
        <f>IF(Table1[[#This Row],[length_of_stay_days]]&gt;7,"Yes","No")</f>
        <v>No</v>
      </c>
    </row>
    <row r="444" spans="1:13" x14ac:dyDescent="0.3">
      <c r="A444" t="s">
        <v>809</v>
      </c>
      <c r="B444">
        <v>66</v>
      </c>
      <c r="C444" t="s">
        <v>12</v>
      </c>
      <c r="D444" t="s">
        <v>46</v>
      </c>
      <c r="E444" t="s">
        <v>28</v>
      </c>
      <c r="F444" t="s">
        <v>74</v>
      </c>
      <c r="G444" t="s">
        <v>203</v>
      </c>
      <c r="H444">
        <v>8</v>
      </c>
      <c r="I444" s="1">
        <v>13618.52</v>
      </c>
      <c r="J444" t="s">
        <v>17</v>
      </c>
      <c r="K444" t="s">
        <v>44</v>
      </c>
      <c r="L444" t="str" cm="1">
        <f t="array" ref="L444">_xlfn.IFS(B444&lt;30,"18-29",B444&lt;45,"30-44",B444&lt;60,"45-59",B444&lt;75,"60-74",B444&lt;=90,"75-90")</f>
        <v>60-74</v>
      </c>
      <c r="M444" t="str">
        <f>IF(Table1[[#This Row],[length_of_stay_days]]&gt;7,"Yes","No")</f>
        <v>Yes</v>
      </c>
    </row>
    <row r="445" spans="1:13" x14ac:dyDescent="0.3">
      <c r="A445" t="s">
        <v>810</v>
      </c>
      <c r="B445">
        <v>72</v>
      </c>
      <c r="C445" t="s">
        <v>20</v>
      </c>
      <c r="D445" t="s">
        <v>46</v>
      </c>
      <c r="E445" t="s">
        <v>28</v>
      </c>
      <c r="F445" t="s">
        <v>166</v>
      </c>
      <c r="G445" t="s">
        <v>811</v>
      </c>
      <c r="H445">
        <v>9</v>
      </c>
      <c r="I445" s="1">
        <v>13340.93</v>
      </c>
      <c r="J445" t="s">
        <v>17</v>
      </c>
      <c r="K445" t="s">
        <v>44</v>
      </c>
      <c r="L445" t="str" cm="1">
        <f t="array" ref="L445">_xlfn.IFS(B445&lt;30,"18-29",B445&lt;45,"30-44",B445&lt;60,"45-59",B445&lt;75,"60-74",B445&lt;=90,"75-90")</f>
        <v>60-74</v>
      </c>
      <c r="M445" t="str">
        <f>IF(Table1[[#This Row],[length_of_stay_days]]&gt;7,"Yes","No")</f>
        <v>Yes</v>
      </c>
    </row>
    <row r="446" spans="1:13" x14ac:dyDescent="0.3">
      <c r="A446" t="s">
        <v>812</v>
      </c>
      <c r="B446">
        <v>83</v>
      </c>
      <c r="C446" t="s">
        <v>12</v>
      </c>
      <c r="D446" t="s">
        <v>28</v>
      </c>
      <c r="E446" t="s">
        <v>28</v>
      </c>
      <c r="F446" t="s">
        <v>135</v>
      </c>
      <c r="G446" t="s">
        <v>92</v>
      </c>
      <c r="H446">
        <v>7</v>
      </c>
      <c r="I446" s="1">
        <v>7836.43</v>
      </c>
      <c r="J446" t="s">
        <v>17</v>
      </c>
      <c r="K446" t="s">
        <v>18</v>
      </c>
      <c r="L446" t="str" cm="1">
        <f t="array" ref="L446">_xlfn.IFS(B446&lt;30,"18-29",B446&lt;45,"30-44",B446&lt;60,"45-59",B446&lt;75,"60-74",B446&lt;=90,"75-90")</f>
        <v>75-90</v>
      </c>
      <c r="M446" t="str">
        <f>IF(Table1[[#This Row],[length_of_stay_days]]&gt;7,"Yes","No")</f>
        <v>No</v>
      </c>
    </row>
    <row r="447" spans="1:13" x14ac:dyDescent="0.3">
      <c r="A447" t="s">
        <v>813</v>
      </c>
      <c r="B447">
        <v>51</v>
      </c>
      <c r="C447" t="s">
        <v>20</v>
      </c>
      <c r="D447" t="s">
        <v>32</v>
      </c>
      <c r="E447" t="s">
        <v>28</v>
      </c>
      <c r="F447" t="s">
        <v>157</v>
      </c>
      <c r="G447" t="s">
        <v>158</v>
      </c>
      <c r="H447">
        <v>6</v>
      </c>
      <c r="I447" s="1">
        <v>10958.68</v>
      </c>
      <c r="J447" t="s">
        <v>17</v>
      </c>
      <c r="K447" t="s">
        <v>223</v>
      </c>
      <c r="L447" t="str" cm="1">
        <f t="array" ref="L447">_xlfn.IFS(B447&lt;30,"18-29",B447&lt;45,"30-44",B447&lt;60,"45-59",B447&lt;75,"60-74",B447&lt;=90,"75-90")</f>
        <v>45-59</v>
      </c>
      <c r="M447" t="str">
        <f>IF(Table1[[#This Row],[length_of_stay_days]]&gt;7,"Yes","No")</f>
        <v>No</v>
      </c>
    </row>
    <row r="448" spans="1:13" x14ac:dyDescent="0.3">
      <c r="A448" t="s">
        <v>814</v>
      </c>
      <c r="B448">
        <v>25</v>
      </c>
      <c r="C448" t="s">
        <v>12</v>
      </c>
      <c r="D448" t="s">
        <v>55</v>
      </c>
      <c r="E448" t="s">
        <v>28</v>
      </c>
      <c r="F448" t="s">
        <v>173</v>
      </c>
      <c r="G448" t="s">
        <v>342</v>
      </c>
      <c r="H448">
        <v>3</v>
      </c>
      <c r="I448" s="1">
        <v>9528.6299999999992</v>
      </c>
      <c r="J448" t="s">
        <v>17</v>
      </c>
      <c r="K448" t="s">
        <v>18</v>
      </c>
      <c r="L448" t="str" cm="1">
        <f t="array" ref="L448">_xlfn.IFS(B448&lt;30,"18-29",B448&lt;45,"30-44",B448&lt;60,"45-59",B448&lt;75,"60-74",B448&lt;=90,"75-90")</f>
        <v>18-29</v>
      </c>
      <c r="M448" t="str">
        <f>IF(Table1[[#This Row],[length_of_stay_days]]&gt;7,"Yes","No")</f>
        <v>No</v>
      </c>
    </row>
    <row r="449" spans="1:13" x14ac:dyDescent="0.3">
      <c r="A449" t="s">
        <v>815</v>
      </c>
      <c r="B449">
        <v>67</v>
      </c>
      <c r="C449" t="s">
        <v>12</v>
      </c>
      <c r="D449" t="s">
        <v>28</v>
      </c>
      <c r="E449" t="s">
        <v>21</v>
      </c>
      <c r="F449" t="s">
        <v>203</v>
      </c>
      <c r="G449" t="s">
        <v>478</v>
      </c>
      <c r="H449">
        <v>3</v>
      </c>
      <c r="I449" s="1">
        <v>5177.41</v>
      </c>
      <c r="J449" t="s">
        <v>17</v>
      </c>
      <c r="K449" t="s">
        <v>18</v>
      </c>
      <c r="L449" t="str" cm="1">
        <f t="array" ref="L449">_xlfn.IFS(B449&lt;30,"18-29",B449&lt;45,"30-44",B449&lt;60,"45-59",B449&lt;75,"60-74",B449&lt;=90,"75-90")</f>
        <v>60-74</v>
      </c>
      <c r="M449" t="str">
        <f>IF(Table1[[#This Row],[length_of_stay_days]]&gt;7,"Yes","No")</f>
        <v>No</v>
      </c>
    </row>
    <row r="450" spans="1:13" x14ac:dyDescent="0.3">
      <c r="A450" t="s">
        <v>816</v>
      </c>
      <c r="B450">
        <v>62</v>
      </c>
      <c r="C450" t="s">
        <v>70</v>
      </c>
      <c r="D450" t="s">
        <v>55</v>
      </c>
      <c r="E450" t="s">
        <v>21</v>
      </c>
      <c r="F450" t="s">
        <v>516</v>
      </c>
      <c r="G450" t="s">
        <v>39</v>
      </c>
      <c r="H450">
        <v>5</v>
      </c>
      <c r="I450" s="1">
        <v>9493.89</v>
      </c>
      <c r="J450" t="s">
        <v>17</v>
      </c>
      <c r="K450" t="s">
        <v>18</v>
      </c>
      <c r="L450" t="str" cm="1">
        <f t="array" ref="L450">_xlfn.IFS(B450&lt;30,"18-29",B450&lt;45,"30-44",B450&lt;60,"45-59",B450&lt;75,"60-74",B450&lt;=90,"75-90")</f>
        <v>60-74</v>
      </c>
      <c r="M450" t="str">
        <f>IF(Table1[[#This Row],[length_of_stay_days]]&gt;7,"Yes","No")</f>
        <v>No</v>
      </c>
    </row>
    <row r="451" spans="1:13" x14ac:dyDescent="0.3">
      <c r="A451" t="s">
        <v>817</v>
      </c>
      <c r="B451">
        <v>48</v>
      </c>
      <c r="C451" t="s">
        <v>12</v>
      </c>
      <c r="D451" t="s">
        <v>51</v>
      </c>
      <c r="E451" t="s">
        <v>28</v>
      </c>
      <c r="F451" t="s">
        <v>344</v>
      </c>
      <c r="G451" t="s">
        <v>469</v>
      </c>
      <c r="H451">
        <v>10</v>
      </c>
      <c r="I451" s="1">
        <v>15352.01</v>
      </c>
      <c r="J451" t="s">
        <v>17</v>
      </c>
      <c r="K451" t="s">
        <v>18</v>
      </c>
      <c r="L451" t="str" cm="1">
        <f t="array" ref="L451">_xlfn.IFS(B451&lt;30,"18-29",B451&lt;45,"30-44",B451&lt;60,"45-59",B451&lt;75,"60-74",B451&lt;=90,"75-90")</f>
        <v>45-59</v>
      </c>
      <c r="M451" t="str">
        <f>IF(Table1[[#This Row],[length_of_stay_days]]&gt;7,"Yes","No")</f>
        <v>Yes</v>
      </c>
    </row>
    <row r="452" spans="1:13" x14ac:dyDescent="0.3">
      <c r="A452" t="s">
        <v>818</v>
      </c>
      <c r="B452">
        <v>68</v>
      </c>
      <c r="C452" t="s">
        <v>12</v>
      </c>
      <c r="D452" t="s">
        <v>13</v>
      </c>
      <c r="E452" t="s">
        <v>28</v>
      </c>
      <c r="F452" t="s">
        <v>491</v>
      </c>
      <c r="G452" t="s">
        <v>288</v>
      </c>
      <c r="H452">
        <v>7</v>
      </c>
      <c r="I452" s="1">
        <v>9935.35</v>
      </c>
      <c r="J452" t="s">
        <v>49</v>
      </c>
      <c r="K452" t="s">
        <v>18</v>
      </c>
      <c r="L452" t="str" cm="1">
        <f t="array" ref="L452">_xlfn.IFS(B452&lt;30,"18-29",B452&lt;45,"30-44",B452&lt;60,"45-59",B452&lt;75,"60-74",B452&lt;=90,"75-90")</f>
        <v>60-74</v>
      </c>
      <c r="M452" t="str">
        <f>IF(Table1[[#This Row],[length_of_stay_days]]&gt;7,"Yes","No")</f>
        <v>No</v>
      </c>
    </row>
    <row r="453" spans="1:13" x14ac:dyDescent="0.3">
      <c r="A453" t="s">
        <v>819</v>
      </c>
      <c r="B453">
        <v>67</v>
      </c>
      <c r="C453" t="s">
        <v>12</v>
      </c>
      <c r="D453" t="s">
        <v>13</v>
      </c>
      <c r="E453" t="s">
        <v>21</v>
      </c>
      <c r="F453" t="s">
        <v>348</v>
      </c>
      <c r="G453" t="s">
        <v>190</v>
      </c>
      <c r="H453">
        <v>4</v>
      </c>
      <c r="I453" s="1">
        <v>7154.17</v>
      </c>
      <c r="J453" t="s">
        <v>17</v>
      </c>
      <c r="K453" t="s">
        <v>18</v>
      </c>
      <c r="L453" t="str" cm="1">
        <f t="array" ref="L453">_xlfn.IFS(B453&lt;30,"18-29",B453&lt;45,"30-44",B453&lt;60,"45-59",B453&lt;75,"60-74",B453&lt;=90,"75-90")</f>
        <v>60-74</v>
      </c>
      <c r="M453" t="str">
        <f>IF(Table1[[#This Row],[length_of_stay_days]]&gt;7,"Yes","No")</f>
        <v>No</v>
      </c>
    </row>
    <row r="454" spans="1:13" x14ac:dyDescent="0.3">
      <c r="A454" t="s">
        <v>820</v>
      </c>
      <c r="B454">
        <v>72</v>
      </c>
      <c r="C454" t="s">
        <v>20</v>
      </c>
      <c r="D454" t="s">
        <v>28</v>
      </c>
      <c r="E454" t="s">
        <v>14</v>
      </c>
      <c r="F454" t="s">
        <v>527</v>
      </c>
      <c r="G454" t="s">
        <v>821</v>
      </c>
      <c r="H454">
        <v>3</v>
      </c>
      <c r="I454" s="1">
        <v>4468.17</v>
      </c>
      <c r="J454" t="s">
        <v>49</v>
      </c>
      <c r="K454" t="s">
        <v>18</v>
      </c>
      <c r="L454" t="str" cm="1">
        <f t="array" ref="L454">_xlfn.IFS(B454&lt;30,"18-29",B454&lt;45,"30-44",B454&lt;60,"45-59",B454&lt;75,"60-74",B454&lt;=90,"75-90")</f>
        <v>60-74</v>
      </c>
      <c r="M454" t="str">
        <f>IF(Table1[[#This Row],[length_of_stay_days]]&gt;7,"Yes","No")</f>
        <v>No</v>
      </c>
    </row>
    <row r="455" spans="1:13" x14ac:dyDescent="0.3">
      <c r="A455" t="s">
        <v>822</v>
      </c>
      <c r="B455">
        <v>18</v>
      </c>
      <c r="C455" t="s">
        <v>20</v>
      </c>
      <c r="D455" t="s">
        <v>32</v>
      </c>
      <c r="E455" t="s">
        <v>28</v>
      </c>
      <c r="F455" t="s">
        <v>282</v>
      </c>
      <c r="G455" t="s">
        <v>823</v>
      </c>
      <c r="H455">
        <v>8</v>
      </c>
      <c r="I455" s="1">
        <v>10047.200000000001</v>
      </c>
      <c r="J455" t="s">
        <v>49</v>
      </c>
      <c r="K455" t="s">
        <v>18</v>
      </c>
      <c r="L455" t="str" cm="1">
        <f t="array" ref="L455">_xlfn.IFS(B455&lt;30,"18-29",B455&lt;45,"30-44",B455&lt;60,"45-59",B455&lt;75,"60-74",B455&lt;=90,"75-90")</f>
        <v>18-29</v>
      </c>
      <c r="M455" t="str">
        <f>IF(Table1[[#This Row],[length_of_stay_days]]&gt;7,"Yes","No")</f>
        <v>Yes</v>
      </c>
    </row>
    <row r="456" spans="1:13" x14ac:dyDescent="0.3">
      <c r="A456" t="s">
        <v>824</v>
      </c>
      <c r="B456">
        <v>39</v>
      </c>
      <c r="C456" t="s">
        <v>20</v>
      </c>
      <c r="D456" t="s">
        <v>55</v>
      </c>
      <c r="E456" t="s">
        <v>28</v>
      </c>
      <c r="F456" t="s">
        <v>821</v>
      </c>
      <c r="G456" t="s">
        <v>825</v>
      </c>
      <c r="H456">
        <v>7</v>
      </c>
      <c r="I456" s="1">
        <v>12219.29</v>
      </c>
      <c r="J456" t="s">
        <v>17</v>
      </c>
      <c r="K456" t="s">
        <v>18</v>
      </c>
      <c r="L456" t="str" cm="1">
        <f t="array" ref="L456">_xlfn.IFS(B456&lt;30,"18-29",B456&lt;45,"30-44",B456&lt;60,"45-59",B456&lt;75,"60-74",B456&lt;=90,"75-90")</f>
        <v>30-44</v>
      </c>
      <c r="M456" t="str">
        <f>IF(Table1[[#This Row],[length_of_stay_days]]&gt;7,"Yes","No")</f>
        <v>No</v>
      </c>
    </row>
    <row r="457" spans="1:13" x14ac:dyDescent="0.3">
      <c r="A457" t="s">
        <v>826</v>
      </c>
      <c r="B457">
        <v>89</v>
      </c>
      <c r="C457" t="s">
        <v>20</v>
      </c>
      <c r="D457" t="s">
        <v>13</v>
      </c>
      <c r="E457" t="s">
        <v>28</v>
      </c>
      <c r="F457" t="s">
        <v>189</v>
      </c>
      <c r="G457" t="s">
        <v>827</v>
      </c>
      <c r="H457">
        <v>3</v>
      </c>
      <c r="I457" s="1">
        <v>5536.42</v>
      </c>
      <c r="J457" t="s">
        <v>17</v>
      </c>
      <c r="K457" t="s">
        <v>18</v>
      </c>
      <c r="L457" t="str" cm="1">
        <f t="array" ref="L457">_xlfn.IFS(B457&lt;30,"18-29",B457&lt;45,"30-44",B457&lt;60,"45-59",B457&lt;75,"60-74",B457&lt;=90,"75-90")</f>
        <v>75-90</v>
      </c>
      <c r="M457" t="str">
        <f>IF(Table1[[#This Row],[length_of_stay_days]]&gt;7,"Yes","No")</f>
        <v>No</v>
      </c>
    </row>
    <row r="458" spans="1:13" x14ac:dyDescent="0.3">
      <c r="A458" t="s">
        <v>828</v>
      </c>
      <c r="B458">
        <v>37</v>
      </c>
      <c r="C458" t="s">
        <v>12</v>
      </c>
      <c r="D458" t="s">
        <v>32</v>
      </c>
      <c r="E458" t="s">
        <v>14</v>
      </c>
      <c r="F458" t="s">
        <v>205</v>
      </c>
      <c r="G458" t="s">
        <v>829</v>
      </c>
      <c r="H458">
        <v>5</v>
      </c>
      <c r="I458" s="1">
        <v>10735.29</v>
      </c>
      <c r="J458" t="s">
        <v>17</v>
      </c>
      <c r="K458" t="s">
        <v>18</v>
      </c>
      <c r="L458" t="str" cm="1">
        <f t="array" ref="L458">_xlfn.IFS(B458&lt;30,"18-29",B458&lt;45,"30-44",B458&lt;60,"45-59",B458&lt;75,"60-74",B458&lt;=90,"75-90")</f>
        <v>30-44</v>
      </c>
      <c r="M458" t="str">
        <f>IF(Table1[[#This Row],[length_of_stay_days]]&gt;7,"Yes","No")</f>
        <v>No</v>
      </c>
    </row>
    <row r="459" spans="1:13" x14ac:dyDescent="0.3">
      <c r="A459" t="s">
        <v>830</v>
      </c>
      <c r="B459">
        <v>84</v>
      </c>
      <c r="C459" t="s">
        <v>20</v>
      </c>
      <c r="D459" t="s">
        <v>28</v>
      </c>
      <c r="E459" t="s">
        <v>28</v>
      </c>
      <c r="F459" t="s">
        <v>93</v>
      </c>
      <c r="G459" t="s">
        <v>831</v>
      </c>
      <c r="H459">
        <v>4</v>
      </c>
      <c r="I459" s="1">
        <v>4905.58</v>
      </c>
      <c r="J459" t="s">
        <v>17</v>
      </c>
      <c r="K459" t="s">
        <v>18</v>
      </c>
      <c r="L459" t="str" cm="1">
        <f t="array" ref="L459">_xlfn.IFS(B459&lt;30,"18-29",B459&lt;45,"30-44",B459&lt;60,"45-59",B459&lt;75,"60-74",B459&lt;=90,"75-90")</f>
        <v>75-90</v>
      </c>
      <c r="M459" t="str">
        <f>IF(Table1[[#This Row],[length_of_stay_days]]&gt;7,"Yes","No")</f>
        <v>No</v>
      </c>
    </row>
    <row r="460" spans="1:13" x14ac:dyDescent="0.3">
      <c r="A460" t="s">
        <v>832</v>
      </c>
      <c r="B460">
        <v>28</v>
      </c>
      <c r="C460" t="s">
        <v>20</v>
      </c>
      <c r="D460" t="s">
        <v>13</v>
      </c>
      <c r="E460" t="s">
        <v>28</v>
      </c>
      <c r="F460" t="s">
        <v>458</v>
      </c>
      <c r="G460" t="s">
        <v>530</v>
      </c>
      <c r="H460">
        <v>7</v>
      </c>
      <c r="I460" s="1">
        <v>7572.62</v>
      </c>
      <c r="J460" t="s">
        <v>17</v>
      </c>
      <c r="K460" t="s">
        <v>18</v>
      </c>
      <c r="L460" t="str" cm="1">
        <f t="array" ref="L460">_xlfn.IFS(B460&lt;30,"18-29",B460&lt;45,"30-44",B460&lt;60,"45-59",B460&lt;75,"60-74",B460&lt;=90,"75-90")</f>
        <v>18-29</v>
      </c>
      <c r="M460" t="str">
        <f>IF(Table1[[#This Row],[length_of_stay_days]]&gt;7,"Yes","No")</f>
        <v>No</v>
      </c>
    </row>
    <row r="461" spans="1:13" x14ac:dyDescent="0.3">
      <c r="A461" t="s">
        <v>833</v>
      </c>
      <c r="B461">
        <v>51</v>
      </c>
      <c r="C461" t="s">
        <v>12</v>
      </c>
      <c r="D461" t="s">
        <v>32</v>
      </c>
      <c r="E461" t="s">
        <v>21</v>
      </c>
      <c r="F461" t="s">
        <v>306</v>
      </c>
      <c r="G461" t="s">
        <v>496</v>
      </c>
      <c r="H461">
        <v>8</v>
      </c>
      <c r="I461" s="1">
        <v>10803.72</v>
      </c>
      <c r="J461" t="s">
        <v>49</v>
      </c>
      <c r="K461" t="s">
        <v>18</v>
      </c>
      <c r="L461" t="str" cm="1">
        <f t="array" ref="L461">_xlfn.IFS(B461&lt;30,"18-29",B461&lt;45,"30-44",B461&lt;60,"45-59",B461&lt;75,"60-74",B461&lt;=90,"75-90")</f>
        <v>45-59</v>
      </c>
      <c r="M461" t="str">
        <f>IF(Table1[[#This Row],[length_of_stay_days]]&gt;7,"Yes","No")</f>
        <v>Yes</v>
      </c>
    </row>
    <row r="462" spans="1:13" x14ac:dyDescent="0.3">
      <c r="A462" t="s">
        <v>834</v>
      </c>
      <c r="B462">
        <v>21</v>
      </c>
      <c r="C462" t="s">
        <v>12</v>
      </c>
      <c r="D462" t="s">
        <v>55</v>
      </c>
      <c r="E462" t="s">
        <v>14</v>
      </c>
      <c r="F462" t="s">
        <v>198</v>
      </c>
      <c r="G462" t="s">
        <v>658</v>
      </c>
      <c r="H462">
        <v>3</v>
      </c>
      <c r="I462" s="1">
        <v>5765.87</v>
      </c>
      <c r="J462" t="s">
        <v>17</v>
      </c>
      <c r="K462" t="s">
        <v>18</v>
      </c>
      <c r="L462" t="str" cm="1">
        <f t="array" ref="L462">_xlfn.IFS(B462&lt;30,"18-29",B462&lt;45,"30-44",B462&lt;60,"45-59",B462&lt;75,"60-74",B462&lt;=90,"75-90")</f>
        <v>18-29</v>
      </c>
      <c r="M462" t="str">
        <f>IF(Table1[[#This Row],[length_of_stay_days]]&gt;7,"Yes","No")</f>
        <v>No</v>
      </c>
    </row>
    <row r="463" spans="1:13" x14ac:dyDescent="0.3">
      <c r="A463" t="s">
        <v>835</v>
      </c>
      <c r="B463">
        <v>66</v>
      </c>
      <c r="C463" t="s">
        <v>12</v>
      </c>
      <c r="D463" t="s">
        <v>46</v>
      </c>
      <c r="E463" t="s">
        <v>28</v>
      </c>
      <c r="F463" t="s">
        <v>405</v>
      </c>
      <c r="G463" t="s">
        <v>791</v>
      </c>
      <c r="H463">
        <v>3</v>
      </c>
      <c r="I463" s="1">
        <v>12904.13</v>
      </c>
      <c r="J463" t="s">
        <v>17</v>
      </c>
      <c r="K463" t="s">
        <v>18</v>
      </c>
      <c r="L463" t="str" cm="1">
        <f t="array" ref="L463">_xlfn.IFS(B463&lt;30,"18-29",B463&lt;45,"30-44",B463&lt;60,"45-59",B463&lt;75,"60-74",B463&lt;=90,"75-90")</f>
        <v>60-74</v>
      </c>
      <c r="M463" t="str">
        <f>IF(Table1[[#This Row],[length_of_stay_days]]&gt;7,"Yes","No")</f>
        <v>No</v>
      </c>
    </row>
    <row r="464" spans="1:13" x14ac:dyDescent="0.3">
      <c r="A464" t="s">
        <v>836</v>
      </c>
      <c r="B464">
        <v>82</v>
      </c>
      <c r="C464" t="s">
        <v>12</v>
      </c>
      <c r="D464" t="s">
        <v>51</v>
      </c>
      <c r="E464" t="s">
        <v>28</v>
      </c>
      <c r="F464" t="s">
        <v>837</v>
      </c>
      <c r="G464" t="s">
        <v>15</v>
      </c>
      <c r="H464">
        <v>8</v>
      </c>
      <c r="I464" s="1">
        <v>10491.31</v>
      </c>
      <c r="J464" t="s">
        <v>49</v>
      </c>
      <c r="K464" t="s">
        <v>18</v>
      </c>
      <c r="L464" t="str" cm="1">
        <f t="array" ref="L464">_xlfn.IFS(B464&lt;30,"18-29",B464&lt;45,"30-44",B464&lt;60,"45-59",B464&lt;75,"60-74",B464&lt;=90,"75-90")</f>
        <v>75-90</v>
      </c>
      <c r="M464" t="str">
        <f>IF(Table1[[#This Row],[length_of_stay_days]]&gt;7,"Yes","No")</f>
        <v>Yes</v>
      </c>
    </row>
    <row r="465" spans="1:13" x14ac:dyDescent="0.3">
      <c r="A465" t="s">
        <v>838</v>
      </c>
      <c r="B465">
        <v>90</v>
      </c>
      <c r="C465" t="s">
        <v>12</v>
      </c>
      <c r="D465" t="s">
        <v>28</v>
      </c>
      <c r="E465" t="s">
        <v>14</v>
      </c>
      <c r="F465" t="s">
        <v>425</v>
      </c>
      <c r="G465" t="s">
        <v>839</v>
      </c>
      <c r="H465">
        <v>4</v>
      </c>
      <c r="I465" s="1">
        <v>7284.86</v>
      </c>
      <c r="J465" t="s">
        <v>17</v>
      </c>
      <c r="K465" t="s">
        <v>18</v>
      </c>
      <c r="L465" t="str" cm="1">
        <f t="array" ref="L465">_xlfn.IFS(B465&lt;30,"18-29",B465&lt;45,"30-44",B465&lt;60,"45-59",B465&lt;75,"60-74",B465&lt;=90,"75-90")</f>
        <v>75-90</v>
      </c>
      <c r="M465" t="str">
        <f>IF(Table1[[#This Row],[length_of_stay_days]]&gt;7,"Yes","No")</f>
        <v>No</v>
      </c>
    </row>
    <row r="466" spans="1:13" x14ac:dyDescent="0.3">
      <c r="A466" t="s">
        <v>840</v>
      </c>
      <c r="B466">
        <v>72</v>
      </c>
      <c r="C466" t="s">
        <v>70</v>
      </c>
      <c r="D466" t="s">
        <v>13</v>
      </c>
      <c r="E466" t="s">
        <v>28</v>
      </c>
      <c r="F466" t="s">
        <v>841</v>
      </c>
      <c r="G466" t="s">
        <v>140</v>
      </c>
      <c r="H466">
        <v>3</v>
      </c>
      <c r="I466" s="1">
        <v>5173.62</v>
      </c>
      <c r="J466" t="s">
        <v>17</v>
      </c>
      <c r="K466" t="s">
        <v>18</v>
      </c>
      <c r="L466" t="str" cm="1">
        <f t="array" ref="L466">_xlfn.IFS(B466&lt;30,"18-29",B466&lt;45,"30-44",B466&lt;60,"45-59",B466&lt;75,"60-74",B466&lt;=90,"75-90")</f>
        <v>60-74</v>
      </c>
      <c r="M466" t="str">
        <f>IF(Table1[[#This Row],[length_of_stay_days]]&gt;7,"Yes","No")</f>
        <v>No</v>
      </c>
    </row>
    <row r="467" spans="1:13" x14ac:dyDescent="0.3">
      <c r="A467" t="s">
        <v>842</v>
      </c>
      <c r="B467">
        <v>74</v>
      </c>
      <c r="C467" t="s">
        <v>12</v>
      </c>
      <c r="D467" t="s">
        <v>51</v>
      </c>
      <c r="E467" t="s">
        <v>28</v>
      </c>
      <c r="F467" t="s">
        <v>282</v>
      </c>
      <c r="G467" t="s">
        <v>47</v>
      </c>
      <c r="H467">
        <v>6</v>
      </c>
      <c r="I467" s="1">
        <v>10248.32</v>
      </c>
      <c r="J467" t="s">
        <v>17</v>
      </c>
      <c r="K467" t="s">
        <v>223</v>
      </c>
      <c r="L467" t="str" cm="1">
        <f t="array" ref="L467">_xlfn.IFS(B467&lt;30,"18-29",B467&lt;45,"30-44",B467&lt;60,"45-59",B467&lt;75,"60-74",B467&lt;=90,"75-90")</f>
        <v>60-74</v>
      </c>
      <c r="M467" t="str">
        <f>IF(Table1[[#This Row],[length_of_stay_days]]&gt;7,"Yes","No")</f>
        <v>No</v>
      </c>
    </row>
    <row r="468" spans="1:13" x14ac:dyDescent="0.3">
      <c r="A468" t="s">
        <v>843</v>
      </c>
      <c r="B468">
        <v>45</v>
      </c>
      <c r="C468" t="s">
        <v>12</v>
      </c>
      <c r="D468" t="s">
        <v>28</v>
      </c>
      <c r="E468" t="s">
        <v>21</v>
      </c>
      <c r="F468" t="s">
        <v>382</v>
      </c>
      <c r="G468" t="s">
        <v>33</v>
      </c>
      <c r="H468">
        <v>2</v>
      </c>
      <c r="I468" s="1">
        <v>2889.92</v>
      </c>
      <c r="J468" t="s">
        <v>17</v>
      </c>
      <c r="K468" t="s">
        <v>18</v>
      </c>
      <c r="L468" t="str" cm="1">
        <f t="array" ref="L468">_xlfn.IFS(B468&lt;30,"18-29",B468&lt;45,"30-44",B468&lt;60,"45-59",B468&lt;75,"60-74",B468&lt;=90,"75-90")</f>
        <v>45-59</v>
      </c>
      <c r="M468" t="str">
        <f>IF(Table1[[#This Row],[length_of_stay_days]]&gt;7,"Yes","No")</f>
        <v>No</v>
      </c>
    </row>
    <row r="469" spans="1:13" x14ac:dyDescent="0.3">
      <c r="A469" t="s">
        <v>844</v>
      </c>
      <c r="B469">
        <v>74</v>
      </c>
      <c r="C469" t="s">
        <v>20</v>
      </c>
      <c r="D469" t="s">
        <v>32</v>
      </c>
      <c r="E469" t="s">
        <v>28</v>
      </c>
      <c r="F469" t="s">
        <v>146</v>
      </c>
      <c r="G469" t="s">
        <v>841</v>
      </c>
      <c r="H469">
        <v>6</v>
      </c>
      <c r="I469" s="1">
        <v>11023.47</v>
      </c>
      <c r="J469" t="s">
        <v>17</v>
      </c>
      <c r="K469" t="s">
        <v>18</v>
      </c>
      <c r="L469" t="str" cm="1">
        <f t="array" ref="L469">_xlfn.IFS(B469&lt;30,"18-29",B469&lt;45,"30-44",B469&lt;60,"45-59",B469&lt;75,"60-74",B469&lt;=90,"75-90")</f>
        <v>60-74</v>
      </c>
      <c r="M469" t="str">
        <f>IF(Table1[[#This Row],[length_of_stay_days]]&gt;7,"Yes","No")</f>
        <v>No</v>
      </c>
    </row>
    <row r="470" spans="1:13" x14ac:dyDescent="0.3">
      <c r="A470" t="s">
        <v>845</v>
      </c>
      <c r="B470">
        <v>51</v>
      </c>
      <c r="C470" t="s">
        <v>20</v>
      </c>
      <c r="D470" t="s">
        <v>28</v>
      </c>
      <c r="E470" t="s">
        <v>21</v>
      </c>
      <c r="F470" t="s">
        <v>846</v>
      </c>
      <c r="G470" t="s">
        <v>221</v>
      </c>
      <c r="H470">
        <v>3</v>
      </c>
      <c r="I470" s="1">
        <v>2825.4</v>
      </c>
      <c r="J470" t="s">
        <v>17</v>
      </c>
      <c r="K470" t="s">
        <v>18</v>
      </c>
      <c r="L470" t="str" cm="1">
        <f t="array" ref="L470">_xlfn.IFS(B470&lt;30,"18-29",B470&lt;45,"30-44",B470&lt;60,"45-59",B470&lt;75,"60-74",B470&lt;=90,"75-90")</f>
        <v>45-59</v>
      </c>
      <c r="M470" t="str">
        <f>IF(Table1[[#This Row],[length_of_stay_days]]&gt;7,"Yes","No")</f>
        <v>No</v>
      </c>
    </row>
    <row r="471" spans="1:13" x14ac:dyDescent="0.3">
      <c r="A471" t="s">
        <v>847</v>
      </c>
      <c r="B471">
        <v>26</v>
      </c>
      <c r="C471" t="s">
        <v>12</v>
      </c>
      <c r="D471" t="s">
        <v>32</v>
      </c>
      <c r="E471" t="s">
        <v>28</v>
      </c>
      <c r="F471" t="s">
        <v>562</v>
      </c>
      <c r="G471" t="s">
        <v>530</v>
      </c>
      <c r="H471">
        <v>5</v>
      </c>
      <c r="I471" s="1">
        <v>11338.21</v>
      </c>
      <c r="J471" t="s">
        <v>17</v>
      </c>
      <c r="K471" t="s">
        <v>18</v>
      </c>
      <c r="L471" t="str" cm="1">
        <f t="array" ref="L471">_xlfn.IFS(B471&lt;30,"18-29",B471&lt;45,"30-44",B471&lt;60,"45-59",B471&lt;75,"60-74",B471&lt;=90,"75-90")</f>
        <v>18-29</v>
      </c>
      <c r="M471" t="str">
        <f>IF(Table1[[#This Row],[length_of_stay_days]]&gt;7,"Yes","No")</f>
        <v>No</v>
      </c>
    </row>
    <row r="472" spans="1:13" x14ac:dyDescent="0.3">
      <c r="A472" t="s">
        <v>848</v>
      </c>
      <c r="B472">
        <v>87</v>
      </c>
      <c r="C472" t="s">
        <v>12</v>
      </c>
      <c r="D472" t="s">
        <v>13</v>
      </c>
      <c r="E472" t="s">
        <v>28</v>
      </c>
      <c r="F472" t="s">
        <v>849</v>
      </c>
      <c r="G472" t="s">
        <v>129</v>
      </c>
      <c r="H472">
        <v>6</v>
      </c>
      <c r="I472" s="1">
        <v>6005.61</v>
      </c>
      <c r="J472" t="s">
        <v>17</v>
      </c>
      <c r="K472" t="s">
        <v>18</v>
      </c>
      <c r="L472" t="str" cm="1">
        <f t="array" ref="L472">_xlfn.IFS(B472&lt;30,"18-29",B472&lt;45,"30-44",B472&lt;60,"45-59",B472&lt;75,"60-74",B472&lt;=90,"75-90")</f>
        <v>75-90</v>
      </c>
      <c r="M472" t="str">
        <f>IF(Table1[[#This Row],[length_of_stay_days]]&gt;7,"Yes","No")</f>
        <v>No</v>
      </c>
    </row>
    <row r="473" spans="1:13" x14ac:dyDescent="0.3">
      <c r="A473" t="s">
        <v>850</v>
      </c>
      <c r="B473">
        <v>38</v>
      </c>
      <c r="C473" t="s">
        <v>20</v>
      </c>
      <c r="D473" t="s">
        <v>46</v>
      </c>
      <c r="E473" t="s">
        <v>28</v>
      </c>
      <c r="F473" t="s">
        <v>433</v>
      </c>
      <c r="G473" t="s">
        <v>547</v>
      </c>
      <c r="H473">
        <v>7</v>
      </c>
      <c r="I473" s="1">
        <v>11948.21</v>
      </c>
      <c r="J473" t="s">
        <v>17</v>
      </c>
      <c r="K473" t="s">
        <v>44</v>
      </c>
      <c r="L473" t="str" cm="1">
        <f t="array" ref="L473">_xlfn.IFS(B473&lt;30,"18-29",B473&lt;45,"30-44",B473&lt;60,"45-59",B473&lt;75,"60-74",B473&lt;=90,"75-90")</f>
        <v>30-44</v>
      </c>
      <c r="M473" t="str">
        <f>IF(Table1[[#This Row],[length_of_stay_days]]&gt;7,"Yes","No")</f>
        <v>No</v>
      </c>
    </row>
    <row r="474" spans="1:13" x14ac:dyDescent="0.3">
      <c r="A474" t="s">
        <v>851</v>
      </c>
      <c r="B474">
        <v>30</v>
      </c>
      <c r="C474" t="s">
        <v>12</v>
      </c>
      <c r="D474" t="s">
        <v>28</v>
      </c>
      <c r="E474" t="s">
        <v>28</v>
      </c>
      <c r="F474" t="s">
        <v>127</v>
      </c>
      <c r="G474" t="s">
        <v>852</v>
      </c>
      <c r="H474">
        <v>6</v>
      </c>
      <c r="I474" s="1">
        <v>6966.73</v>
      </c>
      <c r="J474" t="s">
        <v>17</v>
      </c>
      <c r="K474" t="s">
        <v>18</v>
      </c>
      <c r="L474" t="str" cm="1">
        <f t="array" ref="L474">_xlfn.IFS(B474&lt;30,"18-29",B474&lt;45,"30-44",B474&lt;60,"45-59",B474&lt;75,"60-74",B474&lt;=90,"75-90")</f>
        <v>30-44</v>
      </c>
      <c r="M474" t="str">
        <f>IF(Table1[[#This Row],[length_of_stay_days]]&gt;7,"Yes","No")</f>
        <v>No</v>
      </c>
    </row>
    <row r="475" spans="1:13" x14ac:dyDescent="0.3">
      <c r="A475" t="s">
        <v>853</v>
      </c>
      <c r="B475">
        <v>39</v>
      </c>
      <c r="C475" t="s">
        <v>20</v>
      </c>
      <c r="D475" t="s">
        <v>28</v>
      </c>
      <c r="E475" t="s">
        <v>28</v>
      </c>
      <c r="F475" t="s">
        <v>268</v>
      </c>
      <c r="G475" t="s">
        <v>48</v>
      </c>
      <c r="H475">
        <v>5</v>
      </c>
      <c r="I475" s="1">
        <v>7255.25</v>
      </c>
      <c r="J475" t="s">
        <v>17</v>
      </c>
      <c r="K475" t="s">
        <v>44</v>
      </c>
      <c r="L475" t="str" cm="1">
        <f t="array" ref="L475">_xlfn.IFS(B475&lt;30,"18-29",B475&lt;45,"30-44",B475&lt;60,"45-59",B475&lt;75,"60-74",B475&lt;=90,"75-90")</f>
        <v>30-44</v>
      </c>
      <c r="M475" t="str">
        <f>IF(Table1[[#This Row],[length_of_stay_days]]&gt;7,"Yes","No")</f>
        <v>No</v>
      </c>
    </row>
    <row r="476" spans="1:13" x14ac:dyDescent="0.3">
      <c r="A476" t="s">
        <v>854</v>
      </c>
      <c r="B476">
        <v>66</v>
      </c>
      <c r="C476" t="s">
        <v>12</v>
      </c>
      <c r="D476" t="s">
        <v>51</v>
      </c>
      <c r="E476" t="s">
        <v>14</v>
      </c>
      <c r="F476" t="s">
        <v>239</v>
      </c>
      <c r="G476" t="s">
        <v>855</v>
      </c>
      <c r="H476">
        <v>6</v>
      </c>
      <c r="I476" s="1">
        <v>9719.69</v>
      </c>
      <c r="J476" t="s">
        <v>17</v>
      </c>
      <c r="K476" t="s">
        <v>44</v>
      </c>
      <c r="L476" t="str" cm="1">
        <f t="array" ref="L476">_xlfn.IFS(B476&lt;30,"18-29",B476&lt;45,"30-44",B476&lt;60,"45-59",B476&lt;75,"60-74",B476&lt;=90,"75-90")</f>
        <v>60-74</v>
      </c>
      <c r="M476" t="str">
        <f>IF(Table1[[#This Row],[length_of_stay_days]]&gt;7,"Yes","No")</f>
        <v>No</v>
      </c>
    </row>
    <row r="477" spans="1:13" x14ac:dyDescent="0.3">
      <c r="A477" t="s">
        <v>856</v>
      </c>
      <c r="B477">
        <v>35</v>
      </c>
      <c r="C477" t="s">
        <v>12</v>
      </c>
      <c r="D477" t="s">
        <v>13</v>
      </c>
      <c r="E477" t="s">
        <v>28</v>
      </c>
      <c r="F477" t="s">
        <v>255</v>
      </c>
      <c r="G477" t="s">
        <v>228</v>
      </c>
      <c r="H477">
        <v>5</v>
      </c>
      <c r="I477" s="1">
        <v>6733.17</v>
      </c>
      <c r="J477" t="s">
        <v>17</v>
      </c>
      <c r="K477" t="s">
        <v>18</v>
      </c>
      <c r="L477" t="str" cm="1">
        <f t="array" ref="L477">_xlfn.IFS(B477&lt;30,"18-29",B477&lt;45,"30-44",B477&lt;60,"45-59",B477&lt;75,"60-74",B477&lt;=90,"75-90")</f>
        <v>30-44</v>
      </c>
      <c r="M477" t="str">
        <f>IF(Table1[[#This Row],[length_of_stay_days]]&gt;7,"Yes","No")</f>
        <v>No</v>
      </c>
    </row>
    <row r="478" spans="1:13" x14ac:dyDescent="0.3">
      <c r="A478" t="s">
        <v>857</v>
      </c>
      <c r="B478">
        <v>53</v>
      </c>
      <c r="C478" t="s">
        <v>20</v>
      </c>
      <c r="D478" t="s">
        <v>32</v>
      </c>
      <c r="E478" t="s">
        <v>28</v>
      </c>
      <c r="F478" t="s">
        <v>724</v>
      </c>
      <c r="G478" t="s">
        <v>182</v>
      </c>
      <c r="H478">
        <v>9</v>
      </c>
      <c r="I478" s="1">
        <v>14286.04</v>
      </c>
      <c r="J478" t="s">
        <v>17</v>
      </c>
      <c r="K478" t="s">
        <v>18</v>
      </c>
      <c r="L478" t="str" cm="1">
        <f t="array" ref="L478">_xlfn.IFS(B478&lt;30,"18-29",B478&lt;45,"30-44",B478&lt;60,"45-59",B478&lt;75,"60-74",B478&lt;=90,"75-90")</f>
        <v>45-59</v>
      </c>
      <c r="M478" t="str">
        <f>IF(Table1[[#This Row],[length_of_stay_days]]&gt;7,"Yes","No")</f>
        <v>Yes</v>
      </c>
    </row>
    <row r="479" spans="1:13" x14ac:dyDescent="0.3">
      <c r="A479" t="s">
        <v>858</v>
      </c>
      <c r="B479">
        <v>50</v>
      </c>
      <c r="C479" t="s">
        <v>12</v>
      </c>
      <c r="D479" t="s">
        <v>55</v>
      </c>
      <c r="E479" t="s">
        <v>28</v>
      </c>
      <c r="F479" t="s">
        <v>402</v>
      </c>
      <c r="G479" t="s">
        <v>68</v>
      </c>
      <c r="H479">
        <v>8</v>
      </c>
      <c r="I479" s="1">
        <v>10985.81</v>
      </c>
      <c r="J479" t="s">
        <v>17</v>
      </c>
      <c r="K479" t="s">
        <v>18</v>
      </c>
      <c r="L479" t="str" cm="1">
        <f t="array" ref="L479">_xlfn.IFS(B479&lt;30,"18-29",B479&lt;45,"30-44",B479&lt;60,"45-59",B479&lt;75,"60-74",B479&lt;=90,"75-90")</f>
        <v>45-59</v>
      </c>
      <c r="M479" t="str">
        <f>IF(Table1[[#This Row],[length_of_stay_days]]&gt;7,"Yes","No")</f>
        <v>Yes</v>
      </c>
    </row>
    <row r="480" spans="1:13" x14ac:dyDescent="0.3">
      <c r="A480" t="s">
        <v>859</v>
      </c>
      <c r="B480">
        <v>49</v>
      </c>
      <c r="C480" t="s">
        <v>12</v>
      </c>
      <c r="D480" t="s">
        <v>32</v>
      </c>
      <c r="E480" t="s">
        <v>21</v>
      </c>
      <c r="F480" t="s">
        <v>787</v>
      </c>
      <c r="G480" t="s">
        <v>78</v>
      </c>
      <c r="H480">
        <v>5</v>
      </c>
      <c r="I480" s="1">
        <v>9075.01</v>
      </c>
      <c r="J480" t="s">
        <v>49</v>
      </c>
      <c r="K480" t="s">
        <v>18</v>
      </c>
      <c r="L480" t="str" cm="1">
        <f t="array" ref="L480">_xlfn.IFS(B480&lt;30,"18-29",B480&lt;45,"30-44",B480&lt;60,"45-59",B480&lt;75,"60-74",B480&lt;=90,"75-90")</f>
        <v>45-59</v>
      </c>
      <c r="M480" t="str">
        <f>IF(Table1[[#This Row],[length_of_stay_days]]&gt;7,"Yes","No")</f>
        <v>No</v>
      </c>
    </row>
    <row r="481" spans="1:13" x14ac:dyDescent="0.3">
      <c r="A481" t="s">
        <v>860</v>
      </c>
      <c r="B481">
        <v>55</v>
      </c>
      <c r="C481" t="s">
        <v>12</v>
      </c>
      <c r="D481" t="s">
        <v>28</v>
      </c>
      <c r="E481" t="s">
        <v>28</v>
      </c>
      <c r="F481" t="s">
        <v>532</v>
      </c>
      <c r="G481" t="s">
        <v>52</v>
      </c>
      <c r="H481">
        <v>5</v>
      </c>
      <c r="I481" s="1">
        <v>5398.87</v>
      </c>
      <c r="J481" t="s">
        <v>17</v>
      </c>
      <c r="K481" t="s">
        <v>18</v>
      </c>
      <c r="L481" t="str" cm="1">
        <f t="array" ref="L481">_xlfn.IFS(B481&lt;30,"18-29",B481&lt;45,"30-44",B481&lt;60,"45-59",B481&lt;75,"60-74",B481&lt;=90,"75-90")</f>
        <v>45-59</v>
      </c>
      <c r="M481" t="str">
        <f>IF(Table1[[#This Row],[length_of_stay_days]]&gt;7,"Yes","No")</f>
        <v>No</v>
      </c>
    </row>
    <row r="482" spans="1:13" x14ac:dyDescent="0.3">
      <c r="A482" t="s">
        <v>861</v>
      </c>
      <c r="B482">
        <v>41</v>
      </c>
      <c r="C482" t="s">
        <v>12</v>
      </c>
      <c r="D482" t="s">
        <v>28</v>
      </c>
      <c r="E482" t="s">
        <v>14</v>
      </c>
      <c r="F482" t="s">
        <v>77</v>
      </c>
      <c r="G482" t="s">
        <v>157</v>
      </c>
      <c r="H482">
        <v>4</v>
      </c>
      <c r="I482" s="1">
        <v>4440.62</v>
      </c>
      <c r="J482" t="s">
        <v>49</v>
      </c>
      <c r="K482" t="s">
        <v>18</v>
      </c>
      <c r="L482" t="str" cm="1">
        <f t="array" ref="L482">_xlfn.IFS(B482&lt;30,"18-29",B482&lt;45,"30-44",B482&lt;60,"45-59",B482&lt;75,"60-74",B482&lt;=90,"75-90")</f>
        <v>30-44</v>
      </c>
      <c r="M482" t="str">
        <f>IF(Table1[[#This Row],[length_of_stay_days]]&gt;7,"Yes","No")</f>
        <v>No</v>
      </c>
    </row>
    <row r="483" spans="1:13" x14ac:dyDescent="0.3">
      <c r="A483" t="s">
        <v>862</v>
      </c>
      <c r="B483">
        <v>89</v>
      </c>
      <c r="C483" t="s">
        <v>20</v>
      </c>
      <c r="D483" t="s">
        <v>46</v>
      </c>
      <c r="E483" t="s">
        <v>21</v>
      </c>
      <c r="F483" t="s">
        <v>186</v>
      </c>
      <c r="G483" t="s">
        <v>108</v>
      </c>
      <c r="H483">
        <v>9</v>
      </c>
      <c r="I483" s="1">
        <v>17127.759999999998</v>
      </c>
      <c r="J483" t="s">
        <v>17</v>
      </c>
      <c r="K483" t="s">
        <v>18</v>
      </c>
      <c r="L483" t="str" cm="1">
        <f t="array" ref="L483">_xlfn.IFS(B483&lt;30,"18-29",B483&lt;45,"30-44",B483&lt;60,"45-59",B483&lt;75,"60-74",B483&lt;=90,"75-90")</f>
        <v>75-90</v>
      </c>
      <c r="M483" t="str">
        <f>IF(Table1[[#This Row],[length_of_stay_days]]&gt;7,"Yes","No")</f>
        <v>Yes</v>
      </c>
    </row>
    <row r="484" spans="1:13" x14ac:dyDescent="0.3">
      <c r="A484" t="s">
        <v>863</v>
      </c>
      <c r="B484">
        <v>32</v>
      </c>
      <c r="C484" t="s">
        <v>12</v>
      </c>
      <c r="D484" t="s">
        <v>46</v>
      </c>
      <c r="E484" t="s">
        <v>21</v>
      </c>
      <c r="F484" t="s">
        <v>186</v>
      </c>
      <c r="G484" t="s">
        <v>591</v>
      </c>
      <c r="H484">
        <v>6</v>
      </c>
      <c r="I484" s="1">
        <v>14250.54</v>
      </c>
      <c r="J484" t="s">
        <v>17</v>
      </c>
      <c r="K484" t="s">
        <v>18</v>
      </c>
      <c r="L484" t="str" cm="1">
        <f t="array" ref="L484">_xlfn.IFS(B484&lt;30,"18-29",B484&lt;45,"30-44",B484&lt;60,"45-59",B484&lt;75,"60-74",B484&lt;=90,"75-90")</f>
        <v>30-44</v>
      </c>
      <c r="M484" t="str">
        <f>IF(Table1[[#This Row],[length_of_stay_days]]&gt;7,"Yes","No")</f>
        <v>No</v>
      </c>
    </row>
    <row r="485" spans="1:13" x14ac:dyDescent="0.3">
      <c r="A485" t="s">
        <v>864</v>
      </c>
      <c r="B485">
        <v>25</v>
      </c>
      <c r="C485" t="s">
        <v>12</v>
      </c>
      <c r="D485" t="s">
        <v>13</v>
      </c>
      <c r="E485" t="s">
        <v>14</v>
      </c>
      <c r="F485" t="s">
        <v>797</v>
      </c>
      <c r="G485" t="s">
        <v>259</v>
      </c>
      <c r="H485">
        <v>7</v>
      </c>
      <c r="I485" s="1">
        <v>6662.72</v>
      </c>
      <c r="J485" t="s">
        <v>17</v>
      </c>
      <c r="K485" t="s">
        <v>18</v>
      </c>
      <c r="L485" t="str" cm="1">
        <f t="array" ref="L485">_xlfn.IFS(B485&lt;30,"18-29",B485&lt;45,"30-44",B485&lt;60,"45-59",B485&lt;75,"60-74",B485&lt;=90,"75-90")</f>
        <v>18-29</v>
      </c>
      <c r="M485" t="str">
        <f>IF(Table1[[#This Row],[length_of_stay_days]]&gt;7,"Yes","No")</f>
        <v>No</v>
      </c>
    </row>
    <row r="486" spans="1:13" x14ac:dyDescent="0.3">
      <c r="A486" t="s">
        <v>865</v>
      </c>
      <c r="B486">
        <v>52</v>
      </c>
      <c r="C486" t="s">
        <v>12</v>
      </c>
      <c r="D486" t="s">
        <v>55</v>
      </c>
      <c r="E486" t="s">
        <v>28</v>
      </c>
      <c r="F486" t="s">
        <v>449</v>
      </c>
      <c r="G486" t="s">
        <v>40</v>
      </c>
      <c r="H486">
        <v>6</v>
      </c>
      <c r="I486" s="1">
        <v>10159.98</v>
      </c>
      <c r="J486" t="s">
        <v>17</v>
      </c>
      <c r="K486" t="s">
        <v>18</v>
      </c>
      <c r="L486" t="str" cm="1">
        <f t="array" ref="L486">_xlfn.IFS(B486&lt;30,"18-29",B486&lt;45,"30-44",B486&lt;60,"45-59",B486&lt;75,"60-74",B486&lt;=90,"75-90")</f>
        <v>45-59</v>
      </c>
      <c r="M486" t="str">
        <f>IF(Table1[[#This Row],[length_of_stay_days]]&gt;7,"Yes","No")</f>
        <v>No</v>
      </c>
    </row>
    <row r="487" spans="1:13" x14ac:dyDescent="0.3">
      <c r="A487" t="s">
        <v>866</v>
      </c>
      <c r="B487">
        <v>75</v>
      </c>
      <c r="C487" t="s">
        <v>12</v>
      </c>
      <c r="D487" t="s">
        <v>55</v>
      </c>
      <c r="E487" t="s">
        <v>28</v>
      </c>
      <c r="F487" t="s">
        <v>712</v>
      </c>
      <c r="G487" t="s">
        <v>364</v>
      </c>
      <c r="H487">
        <v>8</v>
      </c>
      <c r="I487" s="1">
        <v>11610.08</v>
      </c>
      <c r="J487" t="s">
        <v>17</v>
      </c>
      <c r="K487" t="s">
        <v>18</v>
      </c>
      <c r="L487" t="str" cm="1">
        <f t="array" ref="L487">_xlfn.IFS(B487&lt;30,"18-29",B487&lt;45,"30-44",B487&lt;60,"45-59",B487&lt;75,"60-74",B487&lt;=90,"75-90")</f>
        <v>75-90</v>
      </c>
      <c r="M487" t="str">
        <f>IF(Table1[[#This Row],[length_of_stay_days]]&gt;7,"Yes","No")</f>
        <v>Yes</v>
      </c>
    </row>
    <row r="488" spans="1:13" x14ac:dyDescent="0.3">
      <c r="A488" t="s">
        <v>867</v>
      </c>
      <c r="B488">
        <v>38</v>
      </c>
      <c r="C488" t="s">
        <v>20</v>
      </c>
      <c r="D488" t="s">
        <v>28</v>
      </c>
      <c r="E488" t="s">
        <v>28</v>
      </c>
      <c r="F488" t="s">
        <v>433</v>
      </c>
      <c r="H488">
        <v>5</v>
      </c>
      <c r="I488" s="1">
        <v>2141.8000000000002</v>
      </c>
      <c r="J488" t="s">
        <v>17</v>
      </c>
      <c r="K488" t="s">
        <v>18</v>
      </c>
      <c r="L488" t="str" cm="1">
        <f t="array" ref="L488">_xlfn.IFS(B488&lt;30,"18-29",B488&lt;45,"30-44",B488&lt;60,"45-59",B488&lt;75,"60-74",B488&lt;=90,"75-90")</f>
        <v>30-44</v>
      </c>
      <c r="M488" t="str">
        <f>IF(Table1[[#This Row],[length_of_stay_days]]&gt;7,"Yes","No")</f>
        <v>No</v>
      </c>
    </row>
    <row r="489" spans="1:13" x14ac:dyDescent="0.3">
      <c r="A489" t="s">
        <v>868</v>
      </c>
      <c r="B489">
        <v>22</v>
      </c>
      <c r="C489" t="s">
        <v>12</v>
      </c>
      <c r="D489" t="s">
        <v>55</v>
      </c>
      <c r="E489" t="s">
        <v>14</v>
      </c>
      <c r="F489" t="s">
        <v>617</v>
      </c>
      <c r="G489" t="s">
        <v>232</v>
      </c>
      <c r="H489">
        <v>7</v>
      </c>
      <c r="I489" s="1">
        <v>11086.52</v>
      </c>
      <c r="J489" t="s">
        <v>17</v>
      </c>
      <c r="K489" t="s">
        <v>18</v>
      </c>
      <c r="L489" t="str" cm="1">
        <f t="array" ref="L489">_xlfn.IFS(B489&lt;30,"18-29",B489&lt;45,"30-44",B489&lt;60,"45-59",B489&lt;75,"60-74",B489&lt;=90,"75-90")</f>
        <v>18-29</v>
      </c>
      <c r="M489" t="str">
        <f>IF(Table1[[#This Row],[length_of_stay_days]]&gt;7,"Yes","No")</f>
        <v>No</v>
      </c>
    </row>
    <row r="490" spans="1:13" x14ac:dyDescent="0.3">
      <c r="A490" t="s">
        <v>869</v>
      </c>
      <c r="B490">
        <v>88</v>
      </c>
      <c r="C490" t="s">
        <v>12</v>
      </c>
      <c r="D490" t="s">
        <v>32</v>
      </c>
      <c r="E490" t="s">
        <v>14</v>
      </c>
      <c r="F490" t="s">
        <v>730</v>
      </c>
      <c r="G490" t="s">
        <v>543</v>
      </c>
      <c r="H490">
        <v>7</v>
      </c>
      <c r="I490" s="1">
        <v>12716.38</v>
      </c>
      <c r="J490" t="s">
        <v>17</v>
      </c>
      <c r="K490" t="s">
        <v>18</v>
      </c>
      <c r="L490" t="str" cm="1">
        <f t="array" ref="L490">_xlfn.IFS(B490&lt;30,"18-29",B490&lt;45,"30-44",B490&lt;60,"45-59",B490&lt;75,"60-74",B490&lt;=90,"75-90")</f>
        <v>75-90</v>
      </c>
      <c r="M490" t="str">
        <f>IF(Table1[[#This Row],[length_of_stay_days]]&gt;7,"Yes","No")</f>
        <v>No</v>
      </c>
    </row>
    <row r="491" spans="1:13" x14ac:dyDescent="0.3">
      <c r="A491" t="s">
        <v>870</v>
      </c>
      <c r="B491">
        <v>46</v>
      </c>
      <c r="C491" t="s">
        <v>20</v>
      </c>
      <c r="D491" t="s">
        <v>13</v>
      </c>
      <c r="E491" t="s">
        <v>21</v>
      </c>
      <c r="F491" t="s">
        <v>361</v>
      </c>
      <c r="G491" t="s">
        <v>101</v>
      </c>
      <c r="H491">
        <v>4</v>
      </c>
      <c r="I491" s="1">
        <v>6234.79</v>
      </c>
      <c r="J491" t="s">
        <v>17</v>
      </c>
      <c r="K491" t="s">
        <v>18</v>
      </c>
      <c r="L491" t="str" cm="1">
        <f t="array" ref="L491">_xlfn.IFS(B491&lt;30,"18-29",B491&lt;45,"30-44",B491&lt;60,"45-59",B491&lt;75,"60-74",B491&lt;=90,"75-90")</f>
        <v>45-59</v>
      </c>
      <c r="M491" t="str">
        <f>IF(Table1[[#This Row],[length_of_stay_days]]&gt;7,"Yes","No")</f>
        <v>No</v>
      </c>
    </row>
    <row r="492" spans="1:13" x14ac:dyDescent="0.3">
      <c r="A492" t="s">
        <v>871</v>
      </c>
      <c r="B492">
        <v>90</v>
      </c>
      <c r="C492" t="s">
        <v>70</v>
      </c>
      <c r="D492" t="s">
        <v>13</v>
      </c>
      <c r="E492" t="s">
        <v>28</v>
      </c>
      <c r="F492" t="s">
        <v>212</v>
      </c>
      <c r="G492" t="s">
        <v>292</v>
      </c>
      <c r="H492">
        <v>9</v>
      </c>
      <c r="I492" s="1">
        <v>10656.86</v>
      </c>
      <c r="J492" t="s">
        <v>17</v>
      </c>
      <c r="K492" t="s">
        <v>18</v>
      </c>
      <c r="L492" t="str" cm="1">
        <f t="array" ref="L492">_xlfn.IFS(B492&lt;30,"18-29",B492&lt;45,"30-44",B492&lt;60,"45-59",B492&lt;75,"60-74",B492&lt;=90,"75-90")</f>
        <v>75-90</v>
      </c>
      <c r="M492" t="str">
        <f>IF(Table1[[#This Row],[length_of_stay_days]]&gt;7,"Yes","No")</f>
        <v>Yes</v>
      </c>
    </row>
    <row r="493" spans="1:13" x14ac:dyDescent="0.3">
      <c r="A493" t="s">
        <v>872</v>
      </c>
      <c r="B493">
        <v>41</v>
      </c>
      <c r="C493" t="s">
        <v>20</v>
      </c>
      <c r="D493" t="s">
        <v>46</v>
      </c>
      <c r="E493" t="s">
        <v>14</v>
      </c>
      <c r="F493" t="s">
        <v>261</v>
      </c>
      <c r="G493" t="s">
        <v>124</v>
      </c>
      <c r="H493">
        <v>8</v>
      </c>
      <c r="I493" s="1">
        <v>12003.78</v>
      </c>
      <c r="J493" t="s">
        <v>17</v>
      </c>
      <c r="K493" t="s">
        <v>18</v>
      </c>
      <c r="L493" t="str" cm="1">
        <f t="array" ref="L493">_xlfn.IFS(B493&lt;30,"18-29",B493&lt;45,"30-44",B493&lt;60,"45-59",B493&lt;75,"60-74",B493&lt;=90,"75-90")</f>
        <v>30-44</v>
      </c>
      <c r="M493" t="str">
        <f>IF(Table1[[#This Row],[length_of_stay_days]]&gt;7,"Yes","No")</f>
        <v>Yes</v>
      </c>
    </row>
    <row r="494" spans="1:13" x14ac:dyDescent="0.3">
      <c r="A494" t="s">
        <v>873</v>
      </c>
      <c r="B494">
        <v>57</v>
      </c>
      <c r="C494" t="s">
        <v>20</v>
      </c>
      <c r="D494" t="s">
        <v>51</v>
      </c>
      <c r="E494" t="s">
        <v>14</v>
      </c>
      <c r="F494" t="s">
        <v>74</v>
      </c>
      <c r="G494" t="s">
        <v>203</v>
      </c>
      <c r="H494">
        <v>8</v>
      </c>
      <c r="I494" s="1">
        <v>12294.18</v>
      </c>
      <c r="J494" t="s">
        <v>17</v>
      </c>
      <c r="K494" t="s">
        <v>18</v>
      </c>
      <c r="L494" t="str" cm="1">
        <f t="array" ref="L494">_xlfn.IFS(B494&lt;30,"18-29",B494&lt;45,"30-44",B494&lt;60,"45-59",B494&lt;75,"60-74",B494&lt;=90,"75-90")</f>
        <v>45-59</v>
      </c>
      <c r="M494" t="str">
        <f>IF(Table1[[#This Row],[length_of_stay_days]]&gt;7,"Yes","No")</f>
        <v>Yes</v>
      </c>
    </row>
    <row r="495" spans="1:13" x14ac:dyDescent="0.3">
      <c r="A495" t="s">
        <v>874</v>
      </c>
      <c r="B495">
        <v>65</v>
      </c>
      <c r="C495" t="s">
        <v>12</v>
      </c>
      <c r="D495" t="s">
        <v>46</v>
      </c>
      <c r="E495" t="s">
        <v>21</v>
      </c>
      <c r="F495" t="s">
        <v>620</v>
      </c>
      <c r="G495" t="s">
        <v>72</v>
      </c>
      <c r="H495">
        <v>5</v>
      </c>
      <c r="I495" s="1">
        <v>12706.81</v>
      </c>
      <c r="J495" t="s">
        <v>17</v>
      </c>
      <c r="K495" t="s">
        <v>18</v>
      </c>
      <c r="L495" t="str" cm="1">
        <f t="array" ref="L495">_xlfn.IFS(B495&lt;30,"18-29",B495&lt;45,"30-44",B495&lt;60,"45-59",B495&lt;75,"60-74",B495&lt;=90,"75-90")</f>
        <v>60-74</v>
      </c>
      <c r="M495" t="str">
        <f>IF(Table1[[#This Row],[length_of_stay_days]]&gt;7,"Yes","No")</f>
        <v>No</v>
      </c>
    </row>
    <row r="496" spans="1:13" x14ac:dyDescent="0.3">
      <c r="A496" t="s">
        <v>875</v>
      </c>
      <c r="B496">
        <v>78</v>
      </c>
      <c r="C496" t="s">
        <v>12</v>
      </c>
      <c r="D496" t="s">
        <v>13</v>
      </c>
      <c r="E496" t="s">
        <v>28</v>
      </c>
      <c r="F496" t="s">
        <v>248</v>
      </c>
      <c r="G496" t="s">
        <v>774</v>
      </c>
      <c r="H496">
        <v>4</v>
      </c>
      <c r="I496" s="1">
        <v>6651.69</v>
      </c>
      <c r="J496" t="s">
        <v>17</v>
      </c>
      <c r="K496" t="s">
        <v>18</v>
      </c>
      <c r="L496" t="str" cm="1">
        <f t="array" ref="L496">_xlfn.IFS(B496&lt;30,"18-29",B496&lt;45,"30-44",B496&lt;60,"45-59",B496&lt;75,"60-74",B496&lt;=90,"75-90")</f>
        <v>75-90</v>
      </c>
      <c r="M496" t="str">
        <f>IF(Table1[[#This Row],[length_of_stay_days]]&gt;7,"Yes","No")</f>
        <v>No</v>
      </c>
    </row>
    <row r="497" spans="1:13" x14ac:dyDescent="0.3">
      <c r="A497" t="s">
        <v>876</v>
      </c>
      <c r="B497">
        <v>79</v>
      </c>
      <c r="C497" t="s">
        <v>20</v>
      </c>
      <c r="D497" t="s">
        <v>13</v>
      </c>
      <c r="E497" t="s">
        <v>21</v>
      </c>
      <c r="F497" t="s">
        <v>39</v>
      </c>
      <c r="G497" t="s">
        <v>296</v>
      </c>
      <c r="H497">
        <v>6</v>
      </c>
      <c r="I497" s="1">
        <v>6191.16</v>
      </c>
      <c r="J497" t="s">
        <v>17</v>
      </c>
      <c r="K497" t="s">
        <v>18</v>
      </c>
      <c r="L497" t="str" cm="1">
        <f t="array" ref="L497">_xlfn.IFS(B497&lt;30,"18-29",B497&lt;45,"30-44",B497&lt;60,"45-59",B497&lt;75,"60-74",B497&lt;=90,"75-90")</f>
        <v>75-90</v>
      </c>
      <c r="M497" t="str">
        <f>IF(Table1[[#This Row],[length_of_stay_days]]&gt;7,"Yes","No")</f>
        <v>No</v>
      </c>
    </row>
    <row r="498" spans="1:13" x14ac:dyDescent="0.3">
      <c r="A498" t="s">
        <v>877</v>
      </c>
      <c r="B498">
        <v>73</v>
      </c>
      <c r="C498" t="s">
        <v>20</v>
      </c>
      <c r="D498" t="s">
        <v>55</v>
      </c>
      <c r="E498" t="s">
        <v>14</v>
      </c>
      <c r="F498" t="s">
        <v>831</v>
      </c>
      <c r="G498" t="s">
        <v>485</v>
      </c>
      <c r="H498">
        <v>5</v>
      </c>
      <c r="I498" s="1">
        <v>7111.28</v>
      </c>
      <c r="J498" t="s">
        <v>49</v>
      </c>
      <c r="K498" t="s">
        <v>18</v>
      </c>
      <c r="L498" t="str" cm="1">
        <f t="array" ref="L498">_xlfn.IFS(B498&lt;30,"18-29",B498&lt;45,"30-44",B498&lt;60,"45-59",B498&lt;75,"60-74",B498&lt;=90,"75-90")</f>
        <v>60-74</v>
      </c>
      <c r="M498" t="str">
        <f>IF(Table1[[#This Row],[length_of_stay_days]]&gt;7,"Yes","No")</f>
        <v>No</v>
      </c>
    </row>
    <row r="499" spans="1:13" x14ac:dyDescent="0.3">
      <c r="A499" t="s">
        <v>878</v>
      </c>
      <c r="B499">
        <v>89</v>
      </c>
      <c r="C499" t="s">
        <v>20</v>
      </c>
      <c r="D499" t="s">
        <v>28</v>
      </c>
      <c r="E499" t="s">
        <v>28</v>
      </c>
      <c r="F499" t="s">
        <v>879</v>
      </c>
      <c r="G499" t="s">
        <v>425</v>
      </c>
      <c r="H499">
        <v>8</v>
      </c>
      <c r="I499" s="1">
        <v>8490.31</v>
      </c>
      <c r="J499" t="s">
        <v>17</v>
      </c>
      <c r="K499" t="s">
        <v>18</v>
      </c>
      <c r="L499" t="str" cm="1">
        <f t="array" ref="L499">_xlfn.IFS(B499&lt;30,"18-29",B499&lt;45,"30-44",B499&lt;60,"45-59",B499&lt;75,"60-74",B499&lt;=90,"75-90")</f>
        <v>75-90</v>
      </c>
      <c r="M499" t="str">
        <f>IF(Table1[[#This Row],[length_of_stay_days]]&gt;7,"Yes","No")</f>
        <v>Yes</v>
      </c>
    </row>
    <row r="500" spans="1:13" x14ac:dyDescent="0.3">
      <c r="A500" t="s">
        <v>880</v>
      </c>
      <c r="B500">
        <v>55</v>
      </c>
      <c r="C500" t="s">
        <v>12</v>
      </c>
      <c r="D500" t="s">
        <v>32</v>
      </c>
      <c r="E500" t="s">
        <v>28</v>
      </c>
      <c r="F500" t="s">
        <v>273</v>
      </c>
      <c r="G500" t="s">
        <v>335</v>
      </c>
      <c r="H500">
        <v>7</v>
      </c>
      <c r="I500" s="1">
        <v>12077.14</v>
      </c>
      <c r="J500" t="s">
        <v>49</v>
      </c>
      <c r="K500" t="s">
        <v>18</v>
      </c>
      <c r="L500" t="str" cm="1">
        <f t="array" ref="L500">_xlfn.IFS(B500&lt;30,"18-29",B500&lt;45,"30-44",B500&lt;60,"45-59",B500&lt;75,"60-74",B500&lt;=90,"75-90")</f>
        <v>45-59</v>
      </c>
      <c r="M500" t="str">
        <f>IF(Table1[[#This Row],[length_of_stay_days]]&gt;7,"Yes","No")</f>
        <v>No</v>
      </c>
    </row>
    <row r="501" spans="1:13" x14ac:dyDescent="0.3">
      <c r="A501" t="s">
        <v>881</v>
      </c>
      <c r="B501">
        <v>59</v>
      </c>
      <c r="C501" t="s">
        <v>12</v>
      </c>
      <c r="D501" t="s">
        <v>13</v>
      </c>
      <c r="E501" t="s">
        <v>28</v>
      </c>
      <c r="F501" t="s">
        <v>344</v>
      </c>
      <c r="G501" t="s">
        <v>527</v>
      </c>
      <c r="H501">
        <v>4</v>
      </c>
      <c r="I501" s="1">
        <v>5354.49</v>
      </c>
      <c r="J501" t="s">
        <v>17</v>
      </c>
      <c r="K501" t="s">
        <v>18</v>
      </c>
      <c r="L501" t="str" cm="1">
        <f t="array" ref="L501">_xlfn.IFS(B501&lt;30,"18-29",B501&lt;45,"30-44",B501&lt;60,"45-59",B501&lt;75,"60-74",B501&lt;=90,"75-90")</f>
        <v>45-59</v>
      </c>
      <c r="M501" t="str">
        <f>IF(Table1[[#This Row],[length_of_stay_days]]&gt;7,"Yes","No")</f>
        <v>No</v>
      </c>
    </row>
    <row r="502" spans="1:13" x14ac:dyDescent="0.3">
      <c r="A502" t="s">
        <v>882</v>
      </c>
      <c r="B502">
        <v>50</v>
      </c>
      <c r="C502" t="s">
        <v>20</v>
      </c>
      <c r="D502" t="s">
        <v>55</v>
      </c>
      <c r="E502" t="s">
        <v>14</v>
      </c>
      <c r="F502" t="s">
        <v>831</v>
      </c>
      <c r="G502" t="s">
        <v>846</v>
      </c>
      <c r="H502">
        <v>3</v>
      </c>
      <c r="I502" s="1">
        <v>7678.93</v>
      </c>
      <c r="J502" t="s">
        <v>17</v>
      </c>
      <c r="K502" t="s">
        <v>18</v>
      </c>
      <c r="L502" t="str" cm="1">
        <f t="array" ref="L502">_xlfn.IFS(B502&lt;30,"18-29",B502&lt;45,"30-44",B502&lt;60,"45-59",B502&lt;75,"60-74",B502&lt;=90,"75-90")</f>
        <v>45-59</v>
      </c>
      <c r="M502" t="str">
        <f>IF(Table1[[#This Row],[length_of_stay_days]]&gt;7,"Yes","No")</f>
        <v>No</v>
      </c>
    </row>
    <row r="503" spans="1:13" x14ac:dyDescent="0.3">
      <c r="A503" t="s">
        <v>883</v>
      </c>
      <c r="B503">
        <v>84</v>
      </c>
      <c r="C503" t="s">
        <v>20</v>
      </c>
      <c r="D503" t="s">
        <v>32</v>
      </c>
      <c r="E503" t="s">
        <v>14</v>
      </c>
      <c r="F503" t="s">
        <v>163</v>
      </c>
      <c r="G503" t="s">
        <v>135</v>
      </c>
      <c r="H503">
        <v>10</v>
      </c>
      <c r="I503" s="1">
        <v>13827.88</v>
      </c>
      <c r="J503" t="s">
        <v>49</v>
      </c>
      <c r="K503" t="s">
        <v>18</v>
      </c>
      <c r="L503" t="str" cm="1">
        <f t="array" ref="L503">_xlfn.IFS(B503&lt;30,"18-29",B503&lt;45,"30-44",B503&lt;60,"45-59",B503&lt;75,"60-74",B503&lt;=90,"75-90")</f>
        <v>75-90</v>
      </c>
      <c r="M503" t="str">
        <f>IF(Table1[[#This Row],[length_of_stay_days]]&gt;7,"Yes","No")</f>
        <v>Yes</v>
      </c>
    </row>
    <row r="504" spans="1:13" x14ac:dyDescent="0.3">
      <c r="A504" t="s">
        <v>884</v>
      </c>
      <c r="B504">
        <v>66</v>
      </c>
      <c r="C504" t="s">
        <v>12</v>
      </c>
      <c r="D504" t="s">
        <v>13</v>
      </c>
      <c r="E504" t="s">
        <v>14</v>
      </c>
      <c r="F504" t="s">
        <v>829</v>
      </c>
      <c r="G504" t="s">
        <v>396</v>
      </c>
      <c r="H504">
        <v>2</v>
      </c>
      <c r="I504" s="1">
        <v>5356.57</v>
      </c>
      <c r="J504" t="s">
        <v>17</v>
      </c>
      <c r="K504" t="s">
        <v>18</v>
      </c>
      <c r="L504" t="str" cm="1">
        <f t="array" ref="L504">_xlfn.IFS(B504&lt;30,"18-29",B504&lt;45,"30-44",B504&lt;60,"45-59",B504&lt;75,"60-74",B504&lt;=90,"75-90")</f>
        <v>60-74</v>
      </c>
      <c r="M504" t="str">
        <f>IF(Table1[[#This Row],[length_of_stay_days]]&gt;7,"Yes","No")</f>
        <v>No</v>
      </c>
    </row>
    <row r="505" spans="1:13" x14ac:dyDescent="0.3">
      <c r="A505" t="s">
        <v>885</v>
      </c>
      <c r="B505">
        <v>33</v>
      </c>
      <c r="C505" t="s">
        <v>12</v>
      </c>
      <c r="D505" t="s">
        <v>13</v>
      </c>
      <c r="E505" t="s">
        <v>28</v>
      </c>
      <c r="F505" t="s">
        <v>596</v>
      </c>
      <c r="G505" t="s">
        <v>98</v>
      </c>
      <c r="H505">
        <v>1</v>
      </c>
      <c r="I505" s="1">
        <v>7487.29</v>
      </c>
      <c r="J505" t="s">
        <v>17</v>
      </c>
      <c r="K505" t="s">
        <v>18</v>
      </c>
      <c r="L505" t="str" cm="1">
        <f t="array" ref="L505">_xlfn.IFS(B505&lt;30,"18-29",B505&lt;45,"30-44",B505&lt;60,"45-59",B505&lt;75,"60-74",B505&lt;=90,"75-90")</f>
        <v>30-44</v>
      </c>
      <c r="M505" t="str">
        <f>IF(Table1[[#This Row],[length_of_stay_days]]&gt;7,"Yes","No")</f>
        <v>No</v>
      </c>
    </row>
    <row r="506" spans="1:13" x14ac:dyDescent="0.3">
      <c r="A506" t="s">
        <v>886</v>
      </c>
      <c r="B506">
        <v>26</v>
      </c>
      <c r="C506" t="s">
        <v>12</v>
      </c>
      <c r="D506" t="s">
        <v>55</v>
      </c>
      <c r="E506" t="s">
        <v>28</v>
      </c>
      <c r="F506" t="s">
        <v>68</v>
      </c>
      <c r="G506" t="s">
        <v>344</v>
      </c>
      <c r="H506">
        <v>3</v>
      </c>
      <c r="I506" s="1">
        <v>8026.92</v>
      </c>
      <c r="J506" t="s">
        <v>49</v>
      </c>
      <c r="K506" t="s">
        <v>18</v>
      </c>
      <c r="L506" t="str" cm="1">
        <f t="array" ref="L506">_xlfn.IFS(B506&lt;30,"18-29",B506&lt;45,"30-44",B506&lt;60,"45-59",B506&lt;75,"60-74",B506&lt;=90,"75-90")</f>
        <v>18-29</v>
      </c>
      <c r="M506" t="str">
        <f>IF(Table1[[#This Row],[length_of_stay_days]]&gt;7,"Yes","No")</f>
        <v>No</v>
      </c>
    </row>
    <row r="507" spans="1:13" x14ac:dyDescent="0.3">
      <c r="A507" t="s">
        <v>887</v>
      </c>
      <c r="B507">
        <v>67</v>
      </c>
      <c r="C507" t="s">
        <v>12</v>
      </c>
      <c r="D507" t="s">
        <v>13</v>
      </c>
      <c r="E507" t="s">
        <v>28</v>
      </c>
      <c r="F507" t="s">
        <v>87</v>
      </c>
      <c r="G507" t="s">
        <v>108</v>
      </c>
      <c r="H507">
        <v>4</v>
      </c>
      <c r="I507" s="1">
        <v>6807.4</v>
      </c>
      <c r="J507" t="s">
        <v>17</v>
      </c>
      <c r="K507" t="s">
        <v>18</v>
      </c>
      <c r="L507" t="str" cm="1">
        <f t="array" ref="L507">_xlfn.IFS(B507&lt;30,"18-29",B507&lt;45,"30-44",B507&lt;60,"45-59",B507&lt;75,"60-74",B507&lt;=90,"75-90")</f>
        <v>60-74</v>
      </c>
      <c r="M507" t="str">
        <f>IF(Table1[[#This Row],[length_of_stay_days]]&gt;7,"Yes","No")</f>
        <v>No</v>
      </c>
    </row>
    <row r="508" spans="1:13" x14ac:dyDescent="0.3">
      <c r="A508" t="s">
        <v>888</v>
      </c>
      <c r="B508">
        <v>45</v>
      </c>
      <c r="C508" t="s">
        <v>12</v>
      </c>
      <c r="D508" t="s">
        <v>51</v>
      </c>
      <c r="E508" t="s">
        <v>14</v>
      </c>
      <c r="F508" t="s">
        <v>146</v>
      </c>
      <c r="G508" t="s">
        <v>841</v>
      </c>
      <c r="H508">
        <v>6</v>
      </c>
      <c r="I508" s="1">
        <v>13029.37</v>
      </c>
      <c r="J508" t="s">
        <v>49</v>
      </c>
      <c r="K508" t="s">
        <v>18</v>
      </c>
      <c r="L508" t="str" cm="1">
        <f t="array" ref="L508">_xlfn.IFS(B508&lt;30,"18-29",B508&lt;45,"30-44",B508&lt;60,"45-59",B508&lt;75,"60-74",B508&lt;=90,"75-90")</f>
        <v>45-59</v>
      </c>
      <c r="M508" t="str">
        <f>IF(Table1[[#This Row],[length_of_stay_days]]&gt;7,"Yes","No")</f>
        <v>No</v>
      </c>
    </row>
    <row r="509" spans="1:13" x14ac:dyDescent="0.3">
      <c r="A509" t="s">
        <v>889</v>
      </c>
      <c r="B509">
        <v>49</v>
      </c>
      <c r="C509" t="s">
        <v>12</v>
      </c>
      <c r="D509" t="s">
        <v>51</v>
      </c>
      <c r="E509" t="s">
        <v>21</v>
      </c>
      <c r="F509" t="s">
        <v>797</v>
      </c>
      <c r="G509" t="s">
        <v>323</v>
      </c>
      <c r="H509">
        <v>5</v>
      </c>
      <c r="I509" s="1">
        <v>10255.219999999999</v>
      </c>
      <c r="J509" t="s">
        <v>17</v>
      </c>
      <c r="K509" t="s">
        <v>18</v>
      </c>
      <c r="L509" t="str" cm="1">
        <f t="array" ref="L509">_xlfn.IFS(B509&lt;30,"18-29",B509&lt;45,"30-44",B509&lt;60,"45-59",B509&lt;75,"60-74",B509&lt;=90,"75-90")</f>
        <v>45-59</v>
      </c>
      <c r="M509" t="str">
        <f>IF(Table1[[#This Row],[length_of_stay_days]]&gt;7,"Yes","No")</f>
        <v>No</v>
      </c>
    </row>
    <row r="510" spans="1:13" x14ac:dyDescent="0.3">
      <c r="A510" t="s">
        <v>890</v>
      </c>
      <c r="B510">
        <v>89</v>
      </c>
      <c r="C510" t="s">
        <v>20</v>
      </c>
      <c r="D510" t="s">
        <v>46</v>
      </c>
      <c r="E510" t="s">
        <v>28</v>
      </c>
      <c r="F510" t="s">
        <v>591</v>
      </c>
      <c r="G510" t="s">
        <v>243</v>
      </c>
      <c r="H510">
        <v>14</v>
      </c>
      <c r="I510" s="1">
        <v>17028.07</v>
      </c>
      <c r="J510" t="s">
        <v>17</v>
      </c>
      <c r="K510" t="s">
        <v>18</v>
      </c>
      <c r="L510" t="str" cm="1">
        <f t="array" ref="L510">_xlfn.IFS(B510&lt;30,"18-29",B510&lt;45,"30-44",B510&lt;60,"45-59",B510&lt;75,"60-74",B510&lt;=90,"75-90")</f>
        <v>75-90</v>
      </c>
      <c r="M510" t="str">
        <f>IF(Table1[[#This Row],[length_of_stay_days]]&gt;7,"Yes","No")</f>
        <v>Yes</v>
      </c>
    </row>
    <row r="511" spans="1:13" x14ac:dyDescent="0.3">
      <c r="A511" t="s">
        <v>891</v>
      </c>
      <c r="B511">
        <v>57</v>
      </c>
      <c r="C511" t="s">
        <v>12</v>
      </c>
      <c r="D511" t="s">
        <v>28</v>
      </c>
      <c r="E511" t="s">
        <v>28</v>
      </c>
      <c r="F511" t="s">
        <v>537</v>
      </c>
      <c r="G511" t="s">
        <v>256</v>
      </c>
      <c r="H511">
        <v>4</v>
      </c>
      <c r="I511" s="1">
        <v>4497.6400000000003</v>
      </c>
      <c r="J511" t="s">
        <v>17</v>
      </c>
      <c r="K511" t="s">
        <v>18</v>
      </c>
      <c r="L511" t="str" cm="1">
        <f t="array" ref="L511">_xlfn.IFS(B511&lt;30,"18-29",B511&lt;45,"30-44",B511&lt;60,"45-59",B511&lt;75,"60-74",B511&lt;=90,"75-90")</f>
        <v>45-59</v>
      </c>
      <c r="M511" t="str">
        <f>IF(Table1[[#This Row],[length_of_stay_days]]&gt;7,"Yes","No")</f>
        <v>No</v>
      </c>
    </row>
    <row r="512" spans="1:13" x14ac:dyDescent="0.3">
      <c r="A512" t="s">
        <v>892</v>
      </c>
      <c r="B512">
        <v>36</v>
      </c>
      <c r="C512" t="s">
        <v>20</v>
      </c>
      <c r="D512" t="s">
        <v>13</v>
      </c>
      <c r="E512" t="s">
        <v>21</v>
      </c>
      <c r="F512" t="s">
        <v>366</v>
      </c>
      <c r="G512" t="s">
        <v>517</v>
      </c>
      <c r="H512">
        <v>3</v>
      </c>
      <c r="I512" s="1">
        <v>7832.43</v>
      </c>
      <c r="J512" t="s">
        <v>49</v>
      </c>
      <c r="K512" t="s">
        <v>18</v>
      </c>
      <c r="L512" t="str" cm="1">
        <f t="array" ref="L512">_xlfn.IFS(B512&lt;30,"18-29",B512&lt;45,"30-44",B512&lt;60,"45-59",B512&lt;75,"60-74",B512&lt;=90,"75-90")</f>
        <v>30-44</v>
      </c>
      <c r="M512" t="str">
        <f>IF(Table1[[#This Row],[length_of_stay_days]]&gt;7,"Yes","No")</f>
        <v>No</v>
      </c>
    </row>
    <row r="513" spans="1:13" x14ac:dyDescent="0.3">
      <c r="A513" t="s">
        <v>893</v>
      </c>
      <c r="B513">
        <v>60</v>
      </c>
      <c r="C513" t="s">
        <v>12</v>
      </c>
      <c r="D513" t="s">
        <v>46</v>
      </c>
      <c r="E513" t="s">
        <v>28</v>
      </c>
      <c r="F513" t="s">
        <v>330</v>
      </c>
      <c r="G513" t="s">
        <v>543</v>
      </c>
      <c r="H513">
        <v>5</v>
      </c>
      <c r="I513" s="1">
        <v>11870.18</v>
      </c>
      <c r="J513" t="s">
        <v>17</v>
      </c>
      <c r="K513" t="s">
        <v>18</v>
      </c>
      <c r="L513" t="str" cm="1">
        <f t="array" ref="L513">_xlfn.IFS(B513&lt;30,"18-29",B513&lt;45,"30-44",B513&lt;60,"45-59",B513&lt;75,"60-74",B513&lt;=90,"75-90")</f>
        <v>60-74</v>
      </c>
      <c r="M513" t="str">
        <f>IF(Table1[[#This Row],[length_of_stay_days]]&gt;7,"Yes","No")</f>
        <v>No</v>
      </c>
    </row>
    <row r="514" spans="1:13" x14ac:dyDescent="0.3">
      <c r="A514" t="s">
        <v>894</v>
      </c>
      <c r="B514">
        <v>67</v>
      </c>
      <c r="C514" t="s">
        <v>12</v>
      </c>
      <c r="D514" t="s">
        <v>13</v>
      </c>
      <c r="E514" t="s">
        <v>14</v>
      </c>
      <c r="F514" t="s">
        <v>895</v>
      </c>
      <c r="G514" t="s">
        <v>130</v>
      </c>
      <c r="H514">
        <v>1</v>
      </c>
      <c r="I514" s="1">
        <v>5543.48</v>
      </c>
      <c r="J514" t="s">
        <v>17</v>
      </c>
      <c r="K514" t="s">
        <v>18</v>
      </c>
      <c r="L514" t="str" cm="1">
        <f t="array" ref="L514">_xlfn.IFS(B514&lt;30,"18-29",B514&lt;45,"30-44",B514&lt;60,"45-59",B514&lt;75,"60-74",B514&lt;=90,"75-90")</f>
        <v>60-74</v>
      </c>
      <c r="M514" t="str">
        <f>IF(Table1[[#This Row],[length_of_stay_days]]&gt;7,"Yes","No")</f>
        <v>No</v>
      </c>
    </row>
    <row r="515" spans="1:13" x14ac:dyDescent="0.3">
      <c r="A515" t="s">
        <v>896</v>
      </c>
      <c r="B515">
        <v>39</v>
      </c>
      <c r="C515" t="s">
        <v>20</v>
      </c>
      <c r="D515" t="s">
        <v>28</v>
      </c>
      <c r="E515" t="s">
        <v>14</v>
      </c>
      <c r="F515" t="s">
        <v>133</v>
      </c>
      <c r="G515" t="s">
        <v>58</v>
      </c>
      <c r="H515">
        <v>6</v>
      </c>
      <c r="I515" s="1">
        <v>6535.62</v>
      </c>
      <c r="J515" t="s">
        <v>17</v>
      </c>
      <c r="K515" t="s">
        <v>18</v>
      </c>
      <c r="L515" t="str" cm="1">
        <f t="array" ref="L515">_xlfn.IFS(B515&lt;30,"18-29",B515&lt;45,"30-44",B515&lt;60,"45-59",B515&lt;75,"60-74",B515&lt;=90,"75-90")</f>
        <v>30-44</v>
      </c>
      <c r="M515" t="str">
        <f>IF(Table1[[#This Row],[length_of_stay_days]]&gt;7,"Yes","No")</f>
        <v>No</v>
      </c>
    </row>
    <row r="516" spans="1:13" x14ac:dyDescent="0.3">
      <c r="A516" t="s">
        <v>897</v>
      </c>
      <c r="B516">
        <v>80</v>
      </c>
      <c r="C516" t="s">
        <v>12</v>
      </c>
      <c r="D516" t="s">
        <v>32</v>
      </c>
      <c r="E516" t="s">
        <v>21</v>
      </c>
      <c r="F516" t="s">
        <v>898</v>
      </c>
      <c r="G516" t="s">
        <v>111</v>
      </c>
      <c r="H516">
        <v>6</v>
      </c>
      <c r="I516" s="1">
        <v>10371.049999999999</v>
      </c>
      <c r="J516" t="s">
        <v>17</v>
      </c>
      <c r="K516" t="s">
        <v>18</v>
      </c>
      <c r="L516" t="str" cm="1">
        <f t="array" ref="L516">_xlfn.IFS(B516&lt;30,"18-29",B516&lt;45,"30-44",B516&lt;60,"45-59",B516&lt;75,"60-74",B516&lt;=90,"75-90")</f>
        <v>75-90</v>
      </c>
      <c r="M516" t="str">
        <f>IF(Table1[[#This Row],[length_of_stay_days]]&gt;7,"Yes","No")</f>
        <v>No</v>
      </c>
    </row>
    <row r="517" spans="1:13" x14ac:dyDescent="0.3">
      <c r="A517" t="s">
        <v>899</v>
      </c>
      <c r="B517">
        <v>50</v>
      </c>
      <c r="C517" t="s">
        <v>20</v>
      </c>
      <c r="D517" t="s">
        <v>28</v>
      </c>
      <c r="E517" t="s">
        <v>21</v>
      </c>
      <c r="F517" t="s">
        <v>501</v>
      </c>
      <c r="G517" t="s">
        <v>676</v>
      </c>
      <c r="H517">
        <v>1</v>
      </c>
      <c r="I517" s="1">
        <v>4168.09</v>
      </c>
      <c r="J517" t="s">
        <v>17</v>
      </c>
      <c r="K517" t="s">
        <v>18</v>
      </c>
      <c r="L517" t="str" cm="1">
        <f t="array" ref="L517">_xlfn.IFS(B517&lt;30,"18-29",B517&lt;45,"30-44",B517&lt;60,"45-59",B517&lt;75,"60-74",B517&lt;=90,"75-90")</f>
        <v>45-59</v>
      </c>
      <c r="M517" t="str">
        <f>IF(Table1[[#This Row],[length_of_stay_days]]&gt;7,"Yes","No")</f>
        <v>No</v>
      </c>
    </row>
    <row r="518" spans="1:13" x14ac:dyDescent="0.3">
      <c r="A518" t="s">
        <v>900</v>
      </c>
      <c r="B518">
        <v>40</v>
      </c>
      <c r="C518" t="s">
        <v>12</v>
      </c>
      <c r="D518" t="s">
        <v>55</v>
      </c>
      <c r="E518" t="s">
        <v>28</v>
      </c>
      <c r="F518" t="s">
        <v>499</v>
      </c>
      <c r="G518" t="s">
        <v>68</v>
      </c>
      <c r="H518">
        <v>4</v>
      </c>
      <c r="I518" s="1">
        <v>6252.68</v>
      </c>
      <c r="J518" t="s">
        <v>17</v>
      </c>
      <c r="K518" t="s">
        <v>18</v>
      </c>
      <c r="L518" t="str" cm="1">
        <f t="array" ref="L518">_xlfn.IFS(B518&lt;30,"18-29",B518&lt;45,"30-44",B518&lt;60,"45-59",B518&lt;75,"60-74",B518&lt;=90,"75-90")</f>
        <v>30-44</v>
      </c>
      <c r="M518" t="str">
        <f>IF(Table1[[#This Row],[length_of_stay_days]]&gt;7,"Yes","No")</f>
        <v>No</v>
      </c>
    </row>
    <row r="519" spans="1:13" x14ac:dyDescent="0.3">
      <c r="A519" t="s">
        <v>901</v>
      </c>
      <c r="B519">
        <v>83</v>
      </c>
      <c r="C519" t="s">
        <v>12</v>
      </c>
      <c r="D519" t="s">
        <v>28</v>
      </c>
      <c r="E519" t="s">
        <v>21</v>
      </c>
      <c r="F519" t="s">
        <v>48</v>
      </c>
      <c r="G519" t="s">
        <v>162</v>
      </c>
      <c r="H519">
        <v>6</v>
      </c>
      <c r="I519" s="1">
        <v>8256.1</v>
      </c>
      <c r="J519" t="s">
        <v>17</v>
      </c>
      <c r="K519" t="s">
        <v>18</v>
      </c>
      <c r="L519" t="str" cm="1">
        <f t="array" ref="L519">_xlfn.IFS(B519&lt;30,"18-29",B519&lt;45,"30-44",B519&lt;60,"45-59",B519&lt;75,"60-74",B519&lt;=90,"75-90")</f>
        <v>75-90</v>
      </c>
      <c r="M519" t="str">
        <f>IF(Table1[[#This Row],[length_of_stay_days]]&gt;7,"Yes","No")</f>
        <v>No</v>
      </c>
    </row>
    <row r="520" spans="1:13" x14ac:dyDescent="0.3">
      <c r="A520" t="s">
        <v>902</v>
      </c>
      <c r="B520">
        <v>54</v>
      </c>
      <c r="C520" t="s">
        <v>12</v>
      </c>
      <c r="D520" t="s">
        <v>28</v>
      </c>
      <c r="E520" t="s">
        <v>14</v>
      </c>
      <c r="F520" t="s">
        <v>234</v>
      </c>
      <c r="G520" t="s">
        <v>235</v>
      </c>
      <c r="H520">
        <v>5</v>
      </c>
      <c r="I520" s="1">
        <v>6789.21</v>
      </c>
      <c r="J520" t="s">
        <v>17</v>
      </c>
      <c r="K520" t="s">
        <v>18</v>
      </c>
      <c r="L520" t="str" cm="1">
        <f t="array" ref="L520">_xlfn.IFS(B520&lt;30,"18-29",B520&lt;45,"30-44",B520&lt;60,"45-59",B520&lt;75,"60-74",B520&lt;=90,"75-90")</f>
        <v>45-59</v>
      </c>
      <c r="M520" t="str">
        <f>IF(Table1[[#This Row],[length_of_stay_days]]&gt;7,"Yes","No")</f>
        <v>No</v>
      </c>
    </row>
    <row r="521" spans="1:13" x14ac:dyDescent="0.3">
      <c r="A521" t="s">
        <v>903</v>
      </c>
      <c r="B521">
        <v>83</v>
      </c>
      <c r="C521" t="s">
        <v>20</v>
      </c>
      <c r="D521" t="s">
        <v>28</v>
      </c>
      <c r="E521" t="s">
        <v>28</v>
      </c>
      <c r="F521" t="s">
        <v>629</v>
      </c>
      <c r="G521" t="s">
        <v>64</v>
      </c>
      <c r="H521">
        <v>6</v>
      </c>
      <c r="I521" s="1">
        <v>8038.78</v>
      </c>
      <c r="J521" t="s">
        <v>17</v>
      </c>
      <c r="K521" t="s">
        <v>18</v>
      </c>
      <c r="L521" t="str" cm="1">
        <f t="array" ref="L521">_xlfn.IFS(B521&lt;30,"18-29",B521&lt;45,"30-44",B521&lt;60,"45-59",B521&lt;75,"60-74",B521&lt;=90,"75-90")</f>
        <v>75-90</v>
      </c>
      <c r="M521" t="str">
        <f>IF(Table1[[#This Row],[length_of_stay_days]]&gt;7,"Yes","No")</f>
        <v>No</v>
      </c>
    </row>
    <row r="522" spans="1:13" x14ac:dyDescent="0.3">
      <c r="A522" t="s">
        <v>904</v>
      </c>
      <c r="B522">
        <v>25</v>
      </c>
      <c r="C522" t="s">
        <v>20</v>
      </c>
      <c r="D522" t="s">
        <v>28</v>
      </c>
      <c r="E522" t="s">
        <v>28</v>
      </c>
      <c r="F522" t="s">
        <v>266</v>
      </c>
      <c r="G522" t="s">
        <v>366</v>
      </c>
      <c r="H522">
        <v>3</v>
      </c>
      <c r="I522" s="1">
        <v>6434.09</v>
      </c>
      <c r="J522" t="s">
        <v>17</v>
      </c>
      <c r="K522" t="s">
        <v>18</v>
      </c>
      <c r="L522" t="str" cm="1">
        <f t="array" ref="L522">_xlfn.IFS(B522&lt;30,"18-29",B522&lt;45,"30-44",B522&lt;60,"45-59",B522&lt;75,"60-74",B522&lt;=90,"75-90")</f>
        <v>18-29</v>
      </c>
      <c r="M522" t="str">
        <f>IF(Table1[[#This Row],[length_of_stay_days]]&gt;7,"Yes","No")</f>
        <v>No</v>
      </c>
    </row>
    <row r="523" spans="1:13" x14ac:dyDescent="0.3">
      <c r="A523" t="s">
        <v>905</v>
      </c>
      <c r="B523">
        <v>70</v>
      </c>
      <c r="C523" t="s">
        <v>12</v>
      </c>
      <c r="D523" t="s">
        <v>28</v>
      </c>
      <c r="E523" t="s">
        <v>28</v>
      </c>
      <c r="F523" t="s">
        <v>433</v>
      </c>
      <c r="G523" t="s">
        <v>555</v>
      </c>
      <c r="H523">
        <v>5</v>
      </c>
      <c r="I523" s="1">
        <v>7519.47</v>
      </c>
      <c r="J523" t="s">
        <v>49</v>
      </c>
      <c r="K523" t="s">
        <v>18</v>
      </c>
      <c r="L523" t="str" cm="1">
        <f t="array" ref="L523">_xlfn.IFS(B523&lt;30,"18-29",B523&lt;45,"30-44",B523&lt;60,"45-59",B523&lt;75,"60-74",B523&lt;=90,"75-90")</f>
        <v>60-74</v>
      </c>
      <c r="M523" t="str">
        <f>IF(Table1[[#This Row],[length_of_stay_days]]&gt;7,"Yes","No")</f>
        <v>No</v>
      </c>
    </row>
    <row r="524" spans="1:13" x14ac:dyDescent="0.3">
      <c r="A524" t="s">
        <v>906</v>
      </c>
      <c r="B524">
        <v>55</v>
      </c>
      <c r="C524" t="s">
        <v>12</v>
      </c>
      <c r="D524" t="s">
        <v>13</v>
      </c>
      <c r="E524" t="s">
        <v>14</v>
      </c>
      <c r="F524" t="s">
        <v>434</v>
      </c>
      <c r="G524" t="s">
        <v>678</v>
      </c>
      <c r="H524">
        <v>6</v>
      </c>
      <c r="I524" s="1">
        <v>9035.6299999999992</v>
      </c>
      <c r="J524" t="s">
        <v>17</v>
      </c>
      <c r="K524" t="s">
        <v>18</v>
      </c>
      <c r="L524" t="str" cm="1">
        <f t="array" ref="L524">_xlfn.IFS(B524&lt;30,"18-29",B524&lt;45,"30-44",B524&lt;60,"45-59",B524&lt;75,"60-74",B524&lt;=90,"75-90")</f>
        <v>45-59</v>
      </c>
      <c r="M524" t="str">
        <f>IF(Table1[[#This Row],[length_of_stay_days]]&gt;7,"Yes","No")</f>
        <v>No</v>
      </c>
    </row>
    <row r="525" spans="1:13" x14ac:dyDescent="0.3">
      <c r="A525" t="s">
        <v>907</v>
      </c>
      <c r="B525">
        <v>68</v>
      </c>
      <c r="C525" t="s">
        <v>20</v>
      </c>
      <c r="D525" t="s">
        <v>55</v>
      </c>
      <c r="E525" t="s">
        <v>28</v>
      </c>
      <c r="F525" t="s">
        <v>367</v>
      </c>
      <c r="G525" t="s">
        <v>226</v>
      </c>
      <c r="H525">
        <v>6</v>
      </c>
      <c r="I525" s="1">
        <v>9292.1200000000008</v>
      </c>
      <c r="J525" t="s">
        <v>17</v>
      </c>
      <c r="K525" t="s">
        <v>18</v>
      </c>
      <c r="L525" t="str" cm="1">
        <f t="array" ref="L525">_xlfn.IFS(B525&lt;30,"18-29",B525&lt;45,"30-44",B525&lt;60,"45-59",B525&lt;75,"60-74",B525&lt;=90,"75-90")</f>
        <v>60-74</v>
      </c>
      <c r="M525" t="str">
        <f>IF(Table1[[#This Row],[length_of_stay_days]]&gt;7,"Yes","No")</f>
        <v>No</v>
      </c>
    </row>
    <row r="526" spans="1:13" x14ac:dyDescent="0.3">
      <c r="A526" t="s">
        <v>908</v>
      </c>
      <c r="B526">
        <v>55</v>
      </c>
      <c r="C526" t="s">
        <v>20</v>
      </c>
      <c r="D526" t="s">
        <v>13</v>
      </c>
      <c r="E526" t="s">
        <v>28</v>
      </c>
      <c r="F526" t="s">
        <v>319</v>
      </c>
      <c r="G526" t="s">
        <v>656</v>
      </c>
      <c r="H526">
        <v>8</v>
      </c>
      <c r="I526" s="1">
        <v>8102.48</v>
      </c>
      <c r="J526" t="s">
        <v>17</v>
      </c>
      <c r="K526" t="s">
        <v>18</v>
      </c>
      <c r="L526" t="str" cm="1">
        <f t="array" ref="L526">_xlfn.IFS(B526&lt;30,"18-29",B526&lt;45,"30-44",B526&lt;60,"45-59",B526&lt;75,"60-74",B526&lt;=90,"75-90")</f>
        <v>45-59</v>
      </c>
      <c r="M526" t="str">
        <f>IF(Table1[[#This Row],[length_of_stay_days]]&gt;7,"Yes","No")</f>
        <v>Yes</v>
      </c>
    </row>
    <row r="527" spans="1:13" x14ac:dyDescent="0.3">
      <c r="A527" t="s">
        <v>909</v>
      </c>
      <c r="B527">
        <v>69</v>
      </c>
      <c r="C527" t="s">
        <v>12</v>
      </c>
      <c r="D527" t="s">
        <v>32</v>
      </c>
      <c r="E527" t="s">
        <v>28</v>
      </c>
      <c r="F527" t="s">
        <v>350</v>
      </c>
      <c r="G527" t="s">
        <v>537</v>
      </c>
      <c r="H527">
        <v>7</v>
      </c>
      <c r="I527" s="1">
        <v>12824.7</v>
      </c>
      <c r="J527" t="s">
        <v>17</v>
      </c>
      <c r="K527" t="s">
        <v>18</v>
      </c>
      <c r="L527" t="str" cm="1">
        <f t="array" ref="L527">_xlfn.IFS(B527&lt;30,"18-29",B527&lt;45,"30-44",B527&lt;60,"45-59",B527&lt;75,"60-74",B527&lt;=90,"75-90")</f>
        <v>60-74</v>
      </c>
      <c r="M527" t="str">
        <f>IF(Table1[[#This Row],[length_of_stay_days]]&gt;7,"Yes","No")</f>
        <v>No</v>
      </c>
    </row>
    <row r="528" spans="1:13" x14ac:dyDescent="0.3">
      <c r="A528" t="s">
        <v>910</v>
      </c>
      <c r="B528">
        <v>26</v>
      </c>
      <c r="C528" t="s">
        <v>70</v>
      </c>
      <c r="D528" t="s">
        <v>32</v>
      </c>
      <c r="E528" t="s">
        <v>28</v>
      </c>
      <c r="F528" t="s">
        <v>127</v>
      </c>
      <c r="G528" t="s">
        <v>683</v>
      </c>
      <c r="H528">
        <v>2</v>
      </c>
      <c r="I528" s="1">
        <v>7657.44</v>
      </c>
      <c r="J528" t="s">
        <v>17</v>
      </c>
      <c r="K528" t="s">
        <v>18</v>
      </c>
      <c r="L528" t="str" cm="1">
        <f t="array" ref="L528">_xlfn.IFS(B528&lt;30,"18-29",B528&lt;45,"30-44",B528&lt;60,"45-59",B528&lt;75,"60-74",B528&lt;=90,"75-90")</f>
        <v>18-29</v>
      </c>
      <c r="M528" t="str">
        <f>IF(Table1[[#This Row],[length_of_stay_days]]&gt;7,"Yes","No")</f>
        <v>No</v>
      </c>
    </row>
    <row r="529" spans="1:13" x14ac:dyDescent="0.3">
      <c r="A529" t="s">
        <v>911</v>
      </c>
      <c r="B529">
        <v>44</v>
      </c>
      <c r="C529" t="s">
        <v>20</v>
      </c>
      <c r="D529" t="s">
        <v>46</v>
      </c>
      <c r="E529" t="s">
        <v>28</v>
      </c>
      <c r="F529" t="s">
        <v>774</v>
      </c>
      <c r="G529" t="s">
        <v>879</v>
      </c>
      <c r="H529">
        <v>12</v>
      </c>
      <c r="I529" s="1">
        <v>19229.41</v>
      </c>
      <c r="J529" t="s">
        <v>17</v>
      </c>
      <c r="K529" t="s">
        <v>18</v>
      </c>
      <c r="L529" t="str" cm="1">
        <f t="array" ref="L529">_xlfn.IFS(B529&lt;30,"18-29",B529&lt;45,"30-44",B529&lt;60,"45-59",B529&lt;75,"60-74",B529&lt;=90,"75-90")</f>
        <v>30-44</v>
      </c>
      <c r="M529" t="str">
        <f>IF(Table1[[#This Row],[length_of_stay_days]]&gt;7,"Yes","No")</f>
        <v>Yes</v>
      </c>
    </row>
    <row r="530" spans="1:13" x14ac:dyDescent="0.3">
      <c r="A530" t="s">
        <v>912</v>
      </c>
      <c r="B530">
        <v>81</v>
      </c>
      <c r="C530" t="s">
        <v>12</v>
      </c>
      <c r="D530" t="s">
        <v>55</v>
      </c>
      <c r="E530" t="s">
        <v>28</v>
      </c>
      <c r="F530" t="s">
        <v>30</v>
      </c>
      <c r="G530" t="s">
        <v>37</v>
      </c>
      <c r="H530">
        <v>6</v>
      </c>
      <c r="I530" s="1">
        <v>8461.66</v>
      </c>
      <c r="J530" t="s">
        <v>17</v>
      </c>
      <c r="K530" t="s">
        <v>18</v>
      </c>
      <c r="L530" t="str" cm="1">
        <f t="array" ref="L530">_xlfn.IFS(B530&lt;30,"18-29",B530&lt;45,"30-44",B530&lt;60,"45-59",B530&lt;75,"60-74",B530&lt;=90,"75-90")</f>
        <v>75-90</v>
      </c>
      <c r="M530" t="str">
        <f>IF(Table1[[#This Row],[length_of_stay_days]]&gt;7,"Yes","No")</f>
        <v>No</v>
      </c>
    </row>
    <row r="531" spans="1:13" x14ac:dyDescent="0.3">
      <c r="A531" t="s">
        <v>913</v>
      </c>
      <c r="B531">
        <v>85</v>
      </c>
      <c r="C531" t="s">
        <v>12</v>
      </c>
      <c r="D531" t="s">
        <v>28</v>
      </c>
      <c r="E531" t="s">
        <v>28</v>
      </c>
      <c r="F531" t="s">
        <v>309</v>
      </c>
      <c r="G531" t="s">
        <v>727</v>
      </c>
      <c r="H531">
        <v>6</v>
      </c>
      <c r="I531" s="1">
        <v>7276.77</v>
      </c>
      <c r="J531" t="s">
        <v>17</v>
      </c>
      <c r="K531" t="s">
        <v>18</v>
      </c>
      <c r="L531" t="str" cm="1">
        <f t="array" ref="L531">_xlfn.IFS(B531&lt;30,"18-29",B531&lt;45,"30-44",B531&lt;60,"45-59",B531&lt;75,"60-74",B531&lt;=90,"75-90")</f>
        <v>75-90</v>
      </c>
      <c r="M531" t="str">
        <f>IF(Table1[[#This Row],[length_of_stay_days]]&gt;7,"Yes","No")</f>
        <v>No</v>
      </c>
    </row>
    <row r="532" spans="1:13" x14ac:dyDescent="0.3">
      <c r="A532" t="s">
        <v>914</v>
      </c>
      <c r="B532">
        <v>35</v>
      </c>
      <c r="C532" t="s">
        <v>20</v>
      </c>
      <c r="D532" t="s">
        <v>13</v>
      </c>
      <c r="E532" t="s">
        <v>21</v>
      </c>
      <c r="F532" t="s">
        <v>64</v>
      </c>
      <c r="G532" t="s">
        <v>527</v>
      </c>
      <c r="H532">
        <v>3</v>
      </c>
      <c r="I532" s="1">
        <v>5359.83</v>
      </c>
      <c r="J532" t="s">
        <v>17</v>
      </c>
      <c r="K532" t="s">
        <v>18</v>
      </c>
      <c r="L532" t="str" cm="1">
        <f t="array" ref="L532">_xlfn.IFS(B532&lt;30,"18-29",B532&lt;45,"30-44",B532&lt;60,"45-59",B532&lt;75,"60-74",B532&lt;=90,"75-90")</f>
        <v>30-44</v>
      </c>
      <c r="M532" t="str">
        <f>IF(Table1[[#This Row],[length_of_stay_days]]&gt;7,"Yes","No")</f>
        <v>No</v>
      </c>
    </row>
    <row r="533" spans="1:13" x14ac:dyDescent="0.3">
      <c r="A533" t="s">
        <v>915</v>
      </c>
      <c r="B533">
        <v>73</v>
      </c>
      <c r="C533" t="s">
        <v>20</v>
      </c>
      <c r="D533" t="s">
        <v>28</v>
      </c>
      <c r="E533" t="s">
        <v>14</v>
      </c>
      <c r="F533" t="s">
        <v>623</v>
      </c>
      <c r="G533" t="s">
        <v>346</v>
      </c>
      <c r="H533">
        <v>5</v>
      </c>
      <c r="I533" s="1">
        <v>6293.01</v>
      </c>
      <c r="J533" t="s">
        <v>49</v>
      </c>
      <c r="K533" t="s">
        <v>18</v>
      </c>
      <c r="L533" t="str" cm="1">
        <f t="array" ref="L533">_xlfn.IFS(B533&lt;30,"18-29",B533&lt;45,"30-44",B533&lt;60,"45-59",B533&lt;75,"60-74",B533&lt;=90,"75-90")</f>
        <v>60-74</v>
      </c>
      <c r="M533" t="str">
        <f>IF(Table1[[#This Row],[length_of_stay_days]]&gt;7,"Yes","No")</f>
        <v>No</v>
      </c>
    </row>
    <row r="534" spans="1:13" x14ac:dyDescent="0.3">
      <c r="A534" t="s">
        <v>916</v>
      </c>
      <c r="B534">
        <v>42</v>
      </c>
      <c r="C534" t="s">
        <v>12</v>
      </c>
      <c r="D534" t="s">
        <v>32</v>
      </c>
      <c r="E534" t="s">
        <v>14</v>
      </c>
      <c r="F534" t="s">
        <v>319</v>
      </c>
      <c r="G534" t="s">
        <v>214</v>
      </c>
      <c r="H534">
        <v>3</v>
      </c>
      <c r="I534" s="1">
        <v>10504.31</v>
      </c>
      <c r="J534" t="s">
        <v>17</v>
      </c>
      <c r="K534" t="s">
        <v>18</v>
      </c>
      <c r="L534" t="str" cm="1">
        <f t="array" ref="L534">_xlfn.IFS(B534&lt;30,"18-29",B534&lt;45,"30-44",B534&lt;60,"45-59",B534&lt;75,"60-74",B534&lt;=90,"75-90")</f>
        <v>30-44</v>
      </c>
      <c r="M534" t="str">
        <f>IF(Table1[[#This Row],[length_of_stay_days]]&gt;7,"Yes","No")</f>
        <v>No</v>
      </c>
    </row>
    <row r="535" spans="1:13" x14ac:dyDescent="0.3">
      <c r="A535" t="s">
        <v>917</v>
      </c>
      <c r="B535">
        <v>83</v>
      </c>
      <c r="C535" t="s">
        <v>20</v>
      </c>
      <c r="D535" t="s">
        <v>55</v>
      </c>
      <c r="E535" t="s">
        <v>28</v>
      </c>
      <c r="F535" t="s">
        <v>378</v>
      </c>
      <c r="G535" t="s">
        <v>268</v>
      </c>
      <c r="H535">
        <v>3</v>
      </c>
      <c r="I535" s="1">
        <v>10349.02</v>
      </c>
      <c r="J535" t="s">
        <v>17</v>
      </c>
      <c r="K535" t="s">
        <v>18</v>
      </c>
      <c r="L535" t="str" cm="1">
        <f t="array" ref="L535">_xlfn.IFS(B535&lt;30,"18-29",B535&lt;45,"30-44",B535&lt;60,"45-59",B535&lt;75,"60-74",B535&lt;=90,"75-90")</f>
        <v>75-90</v>
      </c>
      <c r="M535" t="str">
        <f>IF(Table1[[#This Row],[length_of_stay_days]]&gt;7,"Yes","No")</f>
        <v>No</v>
      </c>
    </row>
    <row r="536" spans="1:13" x14ac:dyDescent="0.3">
      <c r="A536" t="s">
        <v>918</v>
      </c>
      <c r="B536">
        <v>42</v>
      </c>
      <c r="C536" t="s">
        <v>20</v>
      </c>
      <c r="D536" t="s">
        <v>28</v>
      </c>
      <c r="E536" t="s">
        <v>28</v>
      </c>
      <c r="F536" t="s">
        <v>354</v>
      </c>
      <c r="G536" t="s">
        <v>355</v>
      </c>
      <c r="H536">
        <v>5</v>
      </c>
      <c r="I536" s="1">
        <v>5412.6</v>
      </c>
      <c r="J536" t="s">
        <v>17</v>
      </c>
      <c r="K536" t="s">
        <v>18</v>
      </c>
      <c r="L536" t="str" cm="1">
        <f t="array" ref="L536">_xlfn.IFS(B536&lt;30,"18-29",B536&lt;45,"30-44",B536&lt;60,"45-59",B536&lt;75,"60-74",B536&lt;=90,"75-90")</f>
        <v>30-44</v>
      </c>
      <c r="M536" t="str">
        <f>IF(Table1[[#This Row],[length_of_stay_days]]&gt;7,"Yes","No")</f>
        <v>No</v>
      </c>
    </row>
    <row r="537" spans="1:13" x14ac:dyDescent="0.3">
      <c r="A537" t="s">
        <v>919</v>
      </c>
      <c r="B537">
        <v>77</v>
      </c>
      <c r="C537" t="s">
        <v>12</v>
      </c>
      <c r="D537" t="s">
        <v>32</v>
      </c>
      <c r="E537" t="s">
        <v>14</v>
      </c>
      <c r="F537" t="s">
        <v>358</v>
      </c>
      <c r="G537" t="s">
        <v>116</v>
      </c>
      <c r="H537">
        <v>6</v>
      </c>
      <c r="I537" s="1">
        <v>11281.02</v>
      </c>
      <c r="J537" t="s">
        <v>17</v>
      </c>
      <c r="K537" t="s">
        <v>18</v>
      </c>
      <c r="L537" t="str" cm="1">
        <f t="array" ref="L537">_xlfn.IFS(B537&lt;30,"18-29",B537&lt;45,"30-44",B537&lt;60,"45-59",B537&lt;75,"60-74",B537&lt;=90,"75-90")</f>
        <v>75-90</v>
      </c>
      <c r="M537" t="str">
        <f>IF(Table1[[#This Row],[length_of_stay_days]]&gt;7,"Yes","No")</f>
        <v>No</v>
      </c>
    </row>
    <row r="538" spans="1:13" x14ac:dyDescent="0.3">
      <c r="A538" t="s">
        <v>920</v>
      </c>
      <c r="B538">
        <v>63</v>
      </c>
      <c r="C538" t="s">
        <v>20</v>
      </c>
      <c r="D538" t="s">
        <v>13</v>
      </c>
      <c r="E538" t="s">
        <v>14</v>
      </c>
      <c r="F538" t="s">
        <v>496</v>
      </c>
      <c r="G538" t="s">
        <v>293</v>
      </c>
      <c r="H538">
        <v>2</v>
      </c>
      <c r="I538" s="1">
        <v>3574.27</v>
      </c>
      <c r="J538" t="s">
        <v>17</v>
      </c>
      <c r="K538" t="s">
        <v>18</v>
      </c>
      <c r="L538" t="str" cm="1">
        <f t="array" ref="L538">_xlfn.IFS(B538&lt;30,"18-29",B538&lt;45,"30-44",B538&lt;60,"45-59",B538&lt;75,"60-74",B538&lt;=90,"75-90")</f>
        <v>60-74</v>
      </c>
      <c r="M538" t="str">
        <f>IF(Table1[[#This Row],[length_of_stay_days]]&gt;7,"Yes","No")</f>
        <v>No</v>
      </c>
    </row>
    <row r="539" spans="1:13" x14ac:dyDescent="0.3">
      <c r="A539" t="s">
        <v>921</v>
      </c>
      <c r="B539">
        <v>46</v>
      </c>
      <c r="C539" t="s">
        <v>70</v>
      </c>
      <c r="D539" t="s">
        <v>28</v>
      </c>
      <c r="E539" t="s">
        <v>28</v>
      </c>
      <c r="F539" t="s">
        <v>358</v>
      </c>
      <c r="G539" t="s">
        <v>658</v>
      </c>
      <c r="H539">
        <v>4</v>
      </c>
      <c r="I539" s="1">
        <v>6910.71</v>
      </c>
      <c r="J539" t="s">
        <v>17</v>
      </c>
      <c r="K539" t="s">
        <v>44</v>
      </c>
      <c r="L539" t="str" cm="1">
        <f t="array" ref="L539">_xlfn.IFS(B539&lt;30,"18-29",B539&lt;45,"30-44",B539&lt;60,"45-59",B539&lt;75,"60-74",B539&lt;=90,"75-90")</f>
        <v>45-59</v>
      </c>
      <c r="M539" t="str">
        <f>IF(Table1[[#This Row],[length_of_stay_days]]&gt;7,"Yes","No")</f>
        <v>No</v>
      </c>
    </row>
    <row r="540" spans="1:13" x14ac:dyDescent="0.3">
      <c r="A540" t="s">
        <v>922</v>
      </c>
      <c r="B540">
        <v>30</v>
      </c>
      <c r="C540" t="s">
        <v>12</v>
      </c>
      <c r="D540" t="s">
        <v>13</v>
      </c>
      <c r="E540" t="s">
        <v>28</v>
      </c>
      <c r="F540" t="s">
        <v>549</v>
      </c>
      <c r="G540" t="s">
        <v>53</v>
      </c>
      <c r="H540">
        <v>2</v>
      </c>
      <c r="I540" s="1">
        <v>3695.51</v>
      </c>
      <c r="J540" t="s">
        <v>17</v>
      </c>
      <c r="K540" t="s">
        <v>18</v>
      </c>
      <c r="L540" t="str" cm="1">
        <f t="array" ref="L540">_xlfn.IFS(B540&lt;30,"18-29",B540&lt;45,"30-44",B540&lt;60,"45-59",B540&lt;75,"60-74",B540&lt;=90,"75-90")</f>
        <v>30-44</v>
      </c>
      <c r="M540" t="str">
        <f>IF(Table1[[#This Row],[length_of_stay_days]]&gt;7,"Yes","No")</f>
        <v>No</v>
      </c>
    </row>
    <row r="541" spans="1:13" x14ac:dyDescent="0.3">
      <c r="A541" t="s">
        <v>923</v>
      </c>
      <c r="B541">
        <v>26</v>
      </c>
      <c r="C541" t="s">
        <v>20</v>
      </c>
      <c r="D541" t="s">
        <v>32</v>
      </c>
      <c r="E541" t="s">
        <v>28</v>
      </c>
      <c r="F541" t="s">
        <v>16</v>
      </c>
      <c r="G541" t="s">
        <v>312</v>
      </c>
      <c r="H541">
        <v>8</v>
      </c>
      <c r="I541" s="1">
        <v>12912.22</v>
      </c>
      <c r="J541" t="s">
        <v>17</v>
      </c>
      <c r="K541" t="s">
        <v>18</v>
      </c>
      <c r="L541" t="str" cm="1">
        <f t="array" ref="L541">_xlfn.IFS(B541&lt;30,"18-29",B541&lt;45,"30-44",B541&lt;60,"45-59",B541&lt;75,"60-74",B541&lt;=90,"75-90")</f>
        <v>18-29</v>
      </c>
      <c r="M541" t="str">
        <f>IF(Table1[[#This Row],[length_of_stay_days]]&gt;7,"Yes","No")</f>
        <v>Yes</v>
      </c>
    </row>
    <row r="542" spans="1:13" x14ac:dyDescent="0.3">
      <c r="A542" t="s">
        <v>924</v>
      </c>
      <c r="B542">
        <v>76</v>
      </c>
      <c r="C542" t="s">
        <v>12</v>
      </c>
      <c r="D542" t="s">
        <v>28</v>
      </c>
      <c r="E542" t="s">
        <v>28</v>
      </c>
      <c r="F542" t="s">
        <v>168</v>
      </c>
      <c r="G542" t="s">
        <v>499</v>
      </c>
      <c r="H542">
        <v>5</v>
      </c>
      <c r="I542" s="1">
        <v>6013.41</v>
      </c>
      <c r="J542" t="s">
        <v>17</v>
      </c>
      <c r="K542" t="s">
        <v>18</v>
      </c>
      <c r="L542" t="str" cm="1">
        <f t="array" ref="L542">_xlfn.IFS(B542&lt;30,"18-29",B542&lt;45,"30-44",B542&lt;60,"45-59",B542&lt;75,"60-74",B542&lt;=90,"75-90")</f>
        <v>75-90</v>
      </c>
      <c r="M542" t="str">
        <f>IF(Table1[[#This Row],[length_of_stay_days]]&gt;7,"Yes","No")</f>
        <v>No</v>
      </c>
    </row>
    <row r="543" spans="1:13" x14ac:dyDescent="0.3">
      <c r="A543" t="s">
        <v>925</v>
      </c>
      <c r="B543">
        <v>60</v>
      </c>
      <c r="C543" t="s">
        <v>12</v>
      </c>
      <c r="D543" t="s">
        <v>55</v>
      </c>
      <c r="E543" t="s">
        <v>14</v>
      </c>
      <c r="F543" t="s">
        <v>130</v>
      </c>
      <c r="G543" t="s">
        <v>358</v>
      </c>
      <c r="H543">
        <v>10</v>
      </c>
      <c r="I543" s="1">
        <v>13453.28</v>
      </c>
      <c r="J543" t="s">
        <v>17</v>
      </c>
      <c r="K543" t="s">
        <v>18</v>
      </c>
      <c r="L543" t="str" cm="1">
        <f t="array" ref="L543">_xlfn.IFS(B543&lt;30,"18-29",B543&lt;45,"30-44",B543&lt;60,"45-59",B543&lt;75,"60-74",B543&lt;=90,"75-90")</f>
        <v>60-74</v>
      </c>
      <c r="M543" t="str">
        <f>IF(Table1[[#This Row],[length_of_stay_days]]&gt;7,"Yes","No")</f>
        <v>Yes</v>
      </c>
    </row>
    <row r="544" spans="1:13" x14ac:dyDescent="0.3">
      <c r="A544" t="s">
        <v>926</v>
      </c>
      <c r="B544">
        <v>20</v>
      </c>
      <c r="C544" t="s">
        <v>20</v>
      </c>
      <c r="D544" t="s">
        <v>13</v>
      </c>
      <c r="E544" t="s">
        <v>28</v>
      </c>
      <c r="F544" t="s">
        <v>171</v>
      </c>
      <c r="G544" t="s">
        <v>395</v>
      </c>
      <c r="H544">
        <v>5</v>
      </c>
      <c r="I544" s="1">
        <v>5234.79</v>
      </c>
      <c r="J544" t="s">
        <v>49</v>
      </c>
      <c r="K544" t="s">
        <v>18</v>
      </c>
      <c r="L544" t="str" cm="1">
        <f t="array" ref="L544">_xlfn.IFS(B544&lt;30,"18-29",B544&lt;45,"30-44",B544&lt;60,"45-59",B544&lt;75,"60-74",B544&lt;=90,"75-90")</f>
        <v>18-29</v>
      </c>
      <c r="M544" t="str">
        <f>IF(Table1[[#This Row],[length_of_stay_days]]&gt;7,"Yes","No")</f>
        <v>No</v>
      </c>
    </row>
    <row r="545" spans="1:13" x14ac:dyDescent="0.3">
      <c r="A545" t="s">
        <v>927</v>
      </c>
      <c r="B545">
        <v>33</v>
      </c>
      <c r="C545" t="s">
        <v>12</v>
      </c>
      <c r="D545" t="s">
        <v>13</v>
      </c>
      <c r="E545" t="s">
        <v>28</v>
      </c>
      <c r="F545" t="s">
        <v>258</v>
      </c>
      <c r="G545" t="s">
        <v>928</v>
      </c>
      <c r="H545">
        <v>7</v>
      </c>
      <c r="I545" s="1">
        <v>7980.12</v>
      </c>
      <c r="J545" t="s">
        <v>17</v>
      </c>
      <c r="K545" t="s">
        <v>18</v>
      </c>
      <c r="L545" t="str" cm="1">
        <f t="array" ref="L545">_xlfn.IFS(B545&lt;30,"18-29",B545&lt;45,"30-44",B545&lt;60,"45-59",B545&lt;75,"60-74",B545&lt;=90,"75-90")</f>
        <v>30-44</v>
      </c>
      <c r="M545" t="str">
        <f>IF(Table1[[#This Row],[length_of_stay_days]]&gt;7,"Yes","No")</f>
        <v>No</v>
      </c>
    </row>
    <row r="546" spans="1:13" x14ac:dyDescent="0.3">
      <c r="A546" t="s">
        <v>929</v>
      </c>
      <c r="B546">
        <v>26</v>
      </c>
      <c r="C546" t="s">
        <v>20</v>
      </c>
      <c r="D546" t="s">
        <v>46</v>
      </c>
      <c r="E546" t="s">
        <v>14</v>
      </c>
      <c r="F546" t="s">
        <v>797</v>
      </c>
      <c r="G546" t="s">
        <v>258</v>
      </c>
      <c r="H546">
        <v>3</v>
      </c>
      <c r="I546" s="1">
        <v>8634.9500000000007</v>
      </c>
      <c r="J546" t="s">
        <v>17</v>
      </c>
      <c r="K546" t="s">
        <v>18</v>
      </c>
      <c r="L546" t="str" cm="1">
        <f t="array" ref="L546">_xlfn.IFS(B546&lt;30,"18-29",B546&lt;45,"30-44",B546&lt;60,"45-59",B546&lt;75,"60-74",B546&lt;=90,"75-90")</f>
        <v>18-29</v>
      </c>
      <c r="M546" t="str">
        <f>IF(Table1[[#This Row],[length_of_stay_days]]&gt;7,"Yes","No")</f>
        <v>No</v>
      </c>
    </row>
    <row r="547" spans="1:13" x14ac:dyDescent="0.3">
      <c r="A547" t="s">
        <v>930</v>
      </c>
      <c r="B547">
        <v>67</v>
      </c>
      <c r="C547" t="s">
        <v>20</v>
      </c>
      <c r="D547" t="s">
        <v>28</v>
      </c>
      <c r="E547" t="s">
        <v>14</v>
      </c>
      <c r="F547" t="s">
        <v>654</v>
      </c>
      <c r="G547" t="s">
        <v>127</v>
      </c>
      <c r="H547">
        <v>3</v>
      </c>
      <c r="I547" s="1">
        <v>3837.4</v>
      </c>
      <c r="J547" t="s">
        <v>17</v>
      </c>
      <c r="K547" t="s">
        <v>18</v>
      </c>
      <c r="L547" t="str" cm="1">
        <f t="array" ref="L547">_xlfn.IFS(B547&lt;30,"18-29",B547&lt;45,"30-44",B547&lt;60,"45-59",B547&lt;75,"60-74",B547&lt;=90,"75-90")</f>
        <v>60-74</v>
      </c>
      <c r="M547" t="str">
        <f>IF(Table1[[#This Row],[length_of_stay_days]]&gt;7,"Yes","No")</f>
        <v>No</v>
      </c>
    </row>
    <row r="548" spans="1:13" x14ac:dyDescent="0.3">
      <c r="A548" t="s">
        <v>931</v>
      </c>
      <c r="B548">
        <v>69</v>
      </c>
      <c r="C548" t="s">
        <v>12</v>
      </c>
      <c r="D548" t="s">
        <v>32</v>
      </c>
      <c r="E548" t="s">
        <v>21</v>
      </c>
      <c r="F548" t="s">
        <v>783</v>
      </c>
      <c r="G548" t="s">
        <v>591</v>
      </c>
      <c r="H548">
        <v>5</v>
      </c>
      <c r="I548" s="1">
        <v>10415.6</v>
      </c>
      <c r="J548" t="s">
        <v>17</v>
      </c>
      <c r="K548" t="s">
        <v>18</v>
      </c>
      <c r="L548" t="str" cm="1">
        <f t="array" ref="L548">_xlfn.IFS(B548&lt;30,"18-29",B548&lt;45,"30-44",B548&lt;60,"45-59",B548&lt;75,"60-74",B548&lt;=90,"75-90")</f>
        <v>60-74</v>
      </c>
      <c r="M548" t="str">
        <f>IF(Table1[[#This Row],[length_of_stay_days]]&gt;7,"Yes","No")</f>
        <v>No</v>
      </c>
    </row>
    <row r="549" spans="1:13" x14ac:dyDescent="0.3">
      <c r="A549" t="s">
        <v>932</v>
      </c>
      <c r="B549">
        <v>43</v>
      </c>
      <c r="C549" t="s">
        <v>20</v>
      </c>
      <c r="D549" t="s">
        <v>51</v>
      </c>
      <c r="E549" t="s">
        <v>28</v>
      </c>
      <c r="F549" t="s">
        <v>512</v>
      </c>
      <c r="G549" t="s">
        <v>497</v>
      </c>
      <c r="H549">
        <v>8</v>
      </c>
      <c r="I549" s="1">
        <v>13077.2</v>
      </c>
      <c r="J549" t="s">
        <v>17</v>
      </c>
      <c r="K549" t="s">
        <v>18</v>
      </c>
      <c r="L549" t="str" cm="1">
        <f t="array" ref="L549">_xlfn.IFS(B549&lt;30,"18-29",B549&lt;45,"30-44",B549&lt;60,"45-59",B549&lt;75,"60-74",B549&lt;=90,"75-90")</f>
        <v>30-44</v>
      </c>
      <c r="M549" t="str">
        <f>IF(Table1[[#This Row],[length_of_stay_days]]&gt;7,"Yes","No")</f>
        <v>Yes</v>
      </c>
    </row>
    <row r="550" spans="1:13" x14ac:dyDescent="0.3">
      <c r="A550" t="s">
        <v>933</v>
      </c>
      <c r="B550">
        <v>64</v>
      </c>
      <c r="C550" t="s">
        <v>20</v>
      </c>
      <c r="D550" t="s">
        <v>28</v>
      </c>
      <c r="E550" t="s">
        <v>28</v>
      </c>
      <c r="F550" t="s">
        <v>797</v>
      </c>
      <c r="G550" t="s">
        <v>258</v>
      </c>
      <c r="H550">
        <v>3</v>
      </c>
      <c r="I550" s="1">
        <v>4796.6499999999996</v>
      </c>
      <c r="J550" t="s">
        <v>17</v>
      </c>
      <c r="K550" t="s">
        <v>18</v>
      </c>
      <c r="L550" t="str" cm="1">
        <f t="array" ref="L550">_xlfn.IFS(B550&lt;30,"18-29",B550&lt;45,"30-44",B550&lt;60,"45-59",B550&lt;75,"60-74",B550&lt;=90,"75-90")</f>
        <v>60-74</v>
      </c>
      <c r="M550" t="str">
        <f>IF(Table1[[#This Row],[length_of_stay_days]]&gt;7,"Yes","No")</f>
        <v>No</v>
      </c>
    </row>
    <row r="551" spans="1:13" x14ac:dyDescent="0.3">
      <c r="A551" t="s">
        <v>934</v>
      </c>
      <c r="B551">
        <v>38</v>
      </c>
      <c r="C551" t="s">
        <v>20</v>
      </c>
      <c r="D551" t="s">
        <v>55</v>
      </c>
      <c r="E551" t="s">
        <v>28</v>
      </c>
      <c r="F551" t="s">
        <v>629</v>
      </c>
      <c r="G551" t="s">
        <v>527</v>
      </c>
      <c r="H551">
        <v>9</v>
      </c>
      <c r="I551" s="1">
        <v>8852.33</v>
      </c>
      <c r="J551" t="s">
        <v>17</v>
      </c>
      <c r="K551" t="s">
        <v>18</v>
      </c>
      <c r="L551" t="str" cm="1">
        <f t="array" ref="L551">_xlfn.IFS(B551&lt;30,"18-29",B551&lt;45,"30-44",B551&lt;60,"45-59",B551&lt;75,"60-74",B551&lt;=90,"75-90")</f>
        <v>30-44</v>
      </c>
      <c r="M551" t="str">
        <f>IF(Table1[[#This Row],[length_of_stay_days]]&gt;7,"Yes","No")</f>
        <v>Yes</v>
      </c>
    </row>
    <row r="552" spans="1:13" x14ac:dyDescent="0.3">
      <c r="A552" t="s">
        <v>935</v>
      </c>
      <c r="B552">
        <v>71</v>
      </c>
      <c r="C552" t="s">
        <v>12</v>
      </c>
      <c r="D552" t="s">
        <v>13</v>
      </c>
      <c r="E552" t="s">
        <v>14</v>
      </c>
      <c r="F552" t="s">
        <v>219</v>
      </c>
      <c r="H552">
        <v>7</v>
      </c>
      <c r="I552" s="1">
        <v>6450.06</v>
      </c>
      <c r="J552" t="s">
        <v>17</v>
      </c>
      <c r="K552" t="s">
        <v>18</v>
      </c>
      <c r="L552" t="str" cm="1">
        <f t="array" ref="L552">_xlfn.IFS(B552&lt;30,"18-29",B552&lt;45,"30-44",B552&lt;60,"45-59",B552&lt;75,"60-74",B552&lt;=90,"75-90")</f>
        <v>60-74</v>
      </c>
      <c r="M552" t="str">
        <f>IF(Table1[[#This Row],[length_of_stay_days]]&gt;7,"Yes","No")</f>
        <v>No</v>
      </c>
    </row>
    <row r="553" spans="1:13" x14ac:dyDescent="0.3">
      <c r="A553" t="s">
        <v>936</v>
      </c>
      <c r="B553">
        <v>82</v>
      </c>
      <c r="C553" t="s">
        <v>12</v>
      </c>
      <c r="D553" t="s">
        <v>55</v>
      </c>
      <c r="E553" t="s">
        <v>28</v>
      </c>
      <c r="F553" t="s">
        <v>453</v>
      </c>
      <c r="G553" t="s">
        <v>778</v>
      </c>
      <c r="H553">
        <v>4</v>
      </c>
      <c r="I553" s="1">
        <v>8498.52</v>
      </c>
      <c r="J553" t="s">
        <v>49</v>
      </c>
      <c r="K553" t="s">
        <v>18</v>
      </c>
      <c r="L553" t="str" cm="1">
        <f t="array" ref="L553">_xlfn.IFS(B553&lt;30,"18-29",B553&lt;45,"30-44",B553&lt;60,"45-59",B553&lt;75,"60-74",B553&lt;=90,"75-90")</f>
        <v>75-90</v>
      </c>
      <c r="M553" t="str">
        <f>IF(Table1[[#This Row],[length_of_stay_days]]&gt;7,"Yes","No")</f>
        <v>No</v>
      </c>
    </row>
    <row r="554" spans="1:13" x14ac:dyDescent="0.3">
      <c r="A554" t="s">
        <v>937</v>
      </c>
      <c r="B554">
        <v>58</v>
      </c>
      <c r="C554" t="s">
        <v>20</v>
      </c>
      <c r="D554" t="s">
        <v>51</v>
      </c>
      <c r="E554" t="s">
        <v>28</v>
      </c>
      <c r="F554" t="s">
        <v>283</v>
      </c>
      <c r="G554" t="s">
        <v>140</v>
      </c>
      <c r="H554">
        <v>8</v>
      </c>
      <c r="I554" s="1">
        <v>13860.88</v>
      </c>
      <c r="J554" t="s">
        <v>49</v>
      </c>
      <c r="K554" t="s">
        <v>18</v>
      </c>
      <c r="L554" t="str" cm="1">
        <f t="array" ref="L554">_xlfn.IFS(B554&lt;30,"18-29",B554&lt;45,"30-44",B554&lt;60,"45-59",B554&lt;75,"60-74",B554&lt;=90,"75-90")</f>
        <v>45-59</v>
      </c>
      <c r="M554" t="str">
        <f>IF(Table1[[#This Row],[length_of_stay_days]]&gt;7,"Yes","No")</f>
        <v>Yes</v>
      </c>
    </row>
    <row r="555" spans="1:13" x14ac:dyDescent="0.3">
      <c r="A555" t="s">
        <v>938</v>
      </c>
      <c r="B555">
        <v>18</v>
      </c>
      <c r="C555" t="s">
        <v>12</v>
      </c>
      <c r="D555" t="s">
        <v>32</v>
      </c>
      <c r="E555" t="s">
        <v>14</v>
      </c>
      <c r="F555" t="s">
        <v>783</v>
      </c>
      <c r="G555" t="s">
        <v>350</v>
      </c>
      <c r="H555">
        <v>2</v>
      </c>
      <c r="I555" s="1">
        <v>8625.7999999999993</v>
      </c>
      <c r="J555" t="s">
        <v>17</v>
      </c>
      <c r="K555" t="s">
        <v>18</v>
      </c>
      <c r="L555" t="str" cm="1">
        <f t="array" ref="L555">_xlfn.IFS(B555&lt;30,"18-29",B555&lt;45,"30-44",B555&lt;60,"45-59",B555&lt;75,"60-74",B555&lt;=90,"75-90")</f>
        <v>18-29</v>
      </c>
      <c r="M555" t="str">
        <f>IF(Table1[[#This Row],[length_of_stay_days]]&gt;7,"Yes","No")</f>
        <v>No</v>
      </c>
    </row>
    <row r="556" spans="1:13" x14ac:dyDescent="0.3">
      <c r="A556" t="s">
        <v>939</v>
      </c>
      <c r="B556">
        <v>30</v>
      </c>
      <c r="C556" t="s">
        <v>12</v>
      </c>
      <c r="D556" t="s">
        <v>13</v>
      </c>
      <c r="E556" t="s">
        <v>28</v>
      </c>
      <c r="F556" t="s">
        <v>146</v>
      </c>
      <c r="G556" t="s">
        <v>823</v>
      </c>
      <c r="H556">
        <v>5</v>
      </c>
      <c r="I556" s="1">
        <v>5556.39</v>
      </c>
      <c r="J556" t="s">
        <v>17</v>
      </c>
      <c r="K556" t="s">
        <v>18</v>
      </c>
      <c r="L556" t="str" cm="1">
        <f t="array" ref="L556">_xlfn.IFS(B556&lt;30,"18-29",B556&lt;45,"30-44",B556&lt;60,"45-59",B556&lt;75,"60-74",B556&lt;=90,"75-90")</f>
        <v>30-44</v>
      </c>
      <c r="M556" t="str">
        <f>IF(Table1[[#This Row],[length_of_stay_days]]&gt;7,"Yes","No")</f>
        <v>No</v>
      </c>
    </row>
    <row r="557" spans="1:13" x14ac:dyDescent="0.3">
      <c r="A557" t="s">
        <v>940</v>
      </c>
      <c r="B557">
        <v>50</v>
      </c>
      <c r="C557" t="s">
        <v>70</v>
      </c>
      <c r="D557" t="s">
        <v>46</v>
      </c>
      <c r="E557" t="s">
        <v>14</v>
      </c>
      <c r="F557" t="s">
        <v>941</v>
      </c>
      <c r="G557" t="s">
        <v>625</v>
      </c>
      <c r="H557">
        <v>6</v>
      </c>
      <c r="I557" s="1">
        <v>15393.11</v>
      </c>
      <c r="J557" t="s">
        <v>49</v>
      </c>
      <c r="K557" t="s">
        <v>18</v>
      </c>
      <c r="L557" t="str" cm="1">
        <f t="array" ref="L557">_xlfn.IFS(B557&lt;30,"18-29",B557&lt;45,"30-44",B557&lt;60,"45-59",B557&lt;75,"60-74",B557&lt;=90,"75-90")</f>
        <v>45-59</v>
      </c>
      <c r="M557" t="str">
        <f>IF(Table1[[#This Row],[length_of_stay_days]]&gt;7,"Yes","No")</f>
        <v>No</v>
      </c>
    </row>
    <row r="558" spans="1:13" x14ac:dyDescent="0.3">
      <c r="A558" t="s">
        <v>942</v>
      </c>
      <c r="B558">
        <v>87</v>
      </c>
      <c r="C558" t="s">
        <v>12</v>
      </c>
      <c r="D558" t="s">
        <v>28</v>
      </c>
      <c r="E558" t="s">
        <v>28</v>
      </c>
      <c r="F558" t="s">
        <v>207</v>
      </c>
      <c r="G558" t="s">
        <v>352</v>
      </c>
      <c r="H558">
        <v>7</v>
      </c>
      <c r="I558" s="1">
        <v>8551.69</v>
      </c>
      <c r="J558" t="s">
        <v>17</v>
      </c>
      <c r="K558" t="s">
        <v>18</v>
      </c>
      <c r="L558" t="str" cm="1">
        <f t="array" ref="L558">_xlfn.IFS(B558&lt;30,"18-29",B558&lt;45,"30-44",B558&lt;60,"45-59",B558&lt;75,"60-74",B558&lt;=90,"75-90")</f>
        <v>75-90</v>
      </c>
      <c r="M558" t="str">
        <f>IF(Table1[[#This Row],[length_of_stay_days]]&gt;7,"Yes","No")</f>
        <v>No</v>
      </c>
    </row>
    <row r="559" spans="1:13" x14ac:dyDescent="0.3">
      <c r="A559" t="s">
        <v>943</v>
      </c>
      <c r="B559">
        <v>79</v>
      </c>
      <c r="C559" t="s">
        <v>20</v>
      </c>
      <c r="D559" t="s">
        <v>13</v>
      </c>
      <c r="E559" t="s">
        <v>21</v>
      </c>
      <c r="F559" t="s">
        <v>501</v>
      </c>
      <c r="G559" t="s">
        <v>146</v>
      </c>
      <c r="H559">
        <v>7</v>
      </c>
      <c r="I559" s="1">
        <v>8655.5300000000007</v>
      </c>
      <c r="J559" t="s">
        <v>17</v>
      </c>
      <c r="K559" t="s">
        <v>18</v>
      </c>
      <c r="L559" t="str" cm="1">
        <f t="array" ref="L559">_xlfn.IFS(B559&lt;30,"18-29",B559&lt;45,"30-44",B559&lt;60,"45-59",B559&lt;75,"60-74",B559&lt;=90,"75-90")</f>
        <v>75-90</v>
      </c>
      <c r="M559" t="str">
        <f>IF(Table1[[#This Row],[length_of_stay_days]]&gt;7,"Yes","No")</f>
        <v>No</v>
      </c>
    </row>
    <row r="560" spans="1:13" x14ac:dyDescent="0.3">
      <c r="A560" t="s">
        <v>944</v>
      </c>
      <c r="B560">
        <v>83</v>
      </c>
      <c r="C560" t="s">
        <v>12</v>
      </c>
      <c r="D560" t="s">
        <v>13</v>
      </c>
      <c r="E560" t="s">
        <v>28</v>
      </c>
      <c r="F560" t="s">
        <v>536</v>
      </c>
      <c r="G560" t="s">
        <v>26</v>
      </c>
      <c r="H560">
        <v>6</v>
      </c>
      <c r="I560" s="1">
        <v>8087.17</v>
      </c>
      <c r="J560" t="s">
        <v>49</v>
      </c>
      <c r="K560" t="s">
        <v>18</v>
      </c>
      <c r="L560" t="str" cm="1">
        <f t="array" ref="L560">_xlfn.IFS(B560&lt;30,"18-29",B560&lt;45,"30-44",B560&lt;60,"45-59",B560&lt;75,"60-74",B560&lt;=90,"75-90")</f>
        <v>75-90</v>
      </c>
      <c r="M560" t="str">
        <f>IF(Table1[[#This Row],[length_of_stay_days]]&gt;7,"Yes","No")</f>
        <v>No</v>
      </c>
    </row>
    <row r="561" spans="1:13" x14ac:dyDescent="0.3">
      <c r="A561" t="s">
        <v>945</v>
      </c>
      <c r="B561">
        <v>69</v>
      </c>
      <c r="C561" t="s">
        <v>20</v>
      </c>
      <c r="D561" t="s">
        <v>28</v>
      </c>
      <c r="E561" t="s">
        <v>28</v>
      </c>
      <c r="F561" t="s">
        <v>422</v>
      </c>
      <c r="G561" t="s">
        <v>783</v>
      </c>
      <c r="H561">
        <v>6</v>
      </c>
      <c r="I561" s="1">
        <v>5552.74</v>
      </c>
      <c r="J561" t="s">
        <v>17</v>
      </c>
      <c r="K561" t="s">
        <v>18</v>
      </c>
      <c r="L561" t="str" cm="1">
        <f t="array" ref="L561">_xlfn.IFS(B561&lt;30,"18-29",B561&lt;45,"30-44",B561&lt;60,"45-59",B561&lt;75,"60-74",B561&lt;=90,"75-90")</f>
        <v>60-74</v>
      </c>
      <c r="M561" t="str">
        <f>IF(Table1[[#This Row],[length_of_stay_days]]&gt;7,"Yes","No")</f>
        <v>No</v>
      </c>
    </row>
    <row r="562" spans="1:13" x14ac:dyDescent="0.3">
      <c r="A562" t="s">
        <v>946</v>
      </c>
      <c r="B562">
        <v>65</v>
      </c>
      <c r="C562" t="s">
        <v>12</v>
      </c>
      <c r="D562" t="s">
        <v>46</v>
      </c>
      <c r="E562" t="s">
        <v>21</v>
      </c>
      <c r="F562" t="s">
        <v>520</v>
      </c>
      <c r="G562" t="s">
        <v>165</v>
      </c>
      <c r="H562">
        <v>6</v>
      </c>
      <c r="I562" s="1">
        <v>14741.9</v>
      </c>
      <c r="J562" t="s">
        <v>17</v>
      </c>
      <c r="K562" t="s">
        <v>18</v>
      </c>
      <c r="L562" t="str" cm="1">
        <f t="array" ref="L562">_xlfn.IFS(B562&lt;30,"18-29",B562&lt;45,"30-44",B562&lt;60,"45-59",B562&lt;75,"60-74",B562&lt;=90,"75-90")</f>
        <v>60-74</v>
      </c>
      <c r="M562" t="str">
        <f>IF(Table1[[#This Row],[length_of_stay_days]]&gt;7,"Yes","No")</f>
        <v>No</v>
      </c>
    </row>
    <row r="563" spans="1:13" x14ac:dyDescent="0.3">
      <c r="A563" t="s">
        <v>947</v>
      </c>
      <c r="B563">
        <v>45</v>
      </c>
      <c r="C563" t="s">
        <v>20</v>
      </c>
      <c r="D563" t="s">
        <v>13</v>
      </c>
      <c r="E563" t="s">
        <v>21</v>
      </c>
      <c r="F563" t="s">
        <v>283</v>
      </c>
      <c r="G563" t="s">
        <v>823</v>
      </c>
      <c r="H563">
        <v>4</v>
      </c>
      <c r="I563" s="1">
        <v>8304.6299999999992</v>
      </c>
      <c r="J563" t="s">
        <v>17</v>
      </c>
      <c r="K563" t="s">
        <v>18</v>
      </c>
      <c r="L563" t="str" cm="1">
        <f t="array" ref="L563">_xlfn.IFS(B563&lt;30,"18-29",B563&lt;45,"30-44",B563&lt;60,"45-59",B563&lt;75,"60-74",B563&lt;=90,"75-90")</f>
        <v>45-59</v>
      </c>
      <c r="M563" t="str">
        <f>IF(Table1[[#This Row],[length_of_stay_days]]&gt;7,"Yes","No")</f>
        <v>No</v>
      </c>
    </row>
    <row r="564" spans="1:13" x14ac:dyDescent="0.3">
      <c r="A564" t="s">
        <v>948</v>
      </c>
      <c r="B564">
        <v>87</v>
      </c>
      <c r="C564" t="s">
        <v>20</v>
      </c>
      <c r="D564" t="s">
        <v>55</v>
      </c>
      <c r="E564" t="s">
        <v>14</v>
      </c>
      <c r="F564" t="s">
        <v>443</v>
      </c>
      <c r="G564" t="s">
        <v>157</v>
      </c>
      <c r="H564">
        <v>7</v>
      </c>
      <c r="I564" s="1">
        <v>10443.219999999999</v>
      </c>
      <c r="J564" t="s">
        <v>17</v>
      </c>
      <c r="K564" t="s">
        <v>18</v>
      </c>
      <c r="L564" t="str" cm="1">
        <f t="array" ref="L564">_xlfn.IFS(B564&lt;30,"18-29",B564&lt;45,"30-44",B564&lt;60,"45-59",B564&lt;75,"60-74",B564&lt;=90,"75-90")</f>
        <v>75-90</v>
      </c>
      <c r="M564" t="str">
        <f>IF(Table1[[#This Row],[length_of_stay_days]]&gt;7,"Yes","No")</f>
        <v>No</v>
      </c>
    </row>
    <row r="565" spans="1:13" x14ac:dyDescent="0.3">
      <c r="A565" t="s">
        <v>949</v>
      </c>
      <c r="B565">
        <v>77</v>
      </c>
      <c r="C565" t="s">
        <v>20</v>
      </c>
      <c r="D565" t="s">
        <v>55</v>
      </c>
      <c r="E565" t="s">
        <v>28</v>
      </c>
      <c r="F565" t="s">
        <v>239</v>
      </c>
      <c r="G565" t="s">
        <v>34</v>
      </c>
      <c r="H565">
        <v>5</v>
      </c>
      <c r="I565" s="1">
        <v>9712.44</v>
      </c>
      <c r="J565" t="s">
        <v>17</v>
      </c>
      <c r="K565" t="s">
        <v>18</v>
      </c>
      <c r="L565" t="str" cm="1">
        <f t="array" ref="L565">_xlfn.IFS(B565&lt;30,"18-29",B565&lt;45,"30-44",B565&lt;60,"45-59",B565&lt;75,"60-74",B565&lt;=90,"75-90")</f>
        <v>75-90</v>
      </c>
      <c r="M565" t="str">
        <f>IF(Table1[[#This Row],[length_of_stay_days]]&gt;7,"Yes","No")</f>
        <v>No</v>
      </c>
    </row>
    <row r="566" spans="1:13" x14ac:dyDescent="0.3">
      <c r="A566" t="s">
        <v>950</v>
      </c>
      <c r="B566">
        <v>77</v>
      </c>
      <c r="C566" t="s">
        <v>20</v>
      </c>
      <c r="D566" t="s">
        <v>32</v>
      </c>
      <c r="E566" t="s">
        <v>28</v>
      </c>
      <c r="F566" t="s">
        <v>656</v>
      </c>
      <c r="G566" t="s">
        <v>98</v>
      </c>
      <c r="H566">
        <v>8</v>
      </c>
      <c r="I566" s="1">
        <v>10059.790000000001</v>
      </c>
      <c r="J566" t="s">
        <v>17</v>
      </c>
      <c r="K566" t="s">
        <v>18</v>
      </c>
      <c r="L566" t="str" cm="1">
        <f t="array" ref="L566">_xlfn.IFS(B566&lt;30,"18-29",B566&lt;45,"30-44",B566&lt;60,"45-59",B566&lt;75,"60-74",B566&lt;=90,"75-90")</f>
        <v>75-90</v>
      </c>
      <c r="M566" t="str">
        <f>IF(Table1[[#This Row],[length_of_stay_days]]&gt;7,"Yes","No")</f>
        <v>Yes</v>
      </c>
    </row>
    <row r="567" spans="1:13" x14ac:dyDescent="0.3">
      <c r="A567" t="s">
        <v>951</v>
      </c>
      <c r="B567">
        <v>43</v>
      </c>
      <c r="C567" t="s">
        <v>20</v>
      </c>
      <c r="D567" t="s">
        <v>13</v>
      </c>
      <c r="E567" t="s">
        <v>28</v>
      </c>
      <c r="F567" t="s">
        <v>638</v>
      </c>
      <c r="G567" t="s">
        <v>64</v>
      </c>
      <c r="H567">
        <v>3</v>
      </c>
      <c r="I567" s="1">
        <v>8031.2</v>
      </c>
      <c r="J567" t="s">
        <v>17</v>
      </c>
      <c r="K567" t="s">
        <v>18</v>
      </c>
      <c r="L567" t="str" cm="1">
        <f t="array" ref="L567">_xlfn.IFS(B567&lt;30,"18-29",B567&lt;45,"30-44",B567&lt;60,"45-59",B567&lt;75,"60-74",B567&lt;=90,"75-90")</f>
        <v>30-44</v>
      </c>
      <c r="M567" t="str">
        <f>IF(Table1[[#This Row],[length_of_stay_days]]&gt;7,"Yes","No")</f>
        <v>No</v>
      </c>
    </row>
    <row r="568" spans="1:13" x14ac:dyDescent="0.3">
      <c r="A568" t="s">
        <v>952</v>
      </c>
      <c r="B568">
        <v>29</v>
      </c>
      <c r="C568" t="s">
        <v>12</v>
      </c>
      <c r="D568" t="s">
        <v>55</v>
      </c>
      <c r="E568" t="s">
        <v>21</v>
      </c>
      <c r="F568" t="s">
        <v>376</v>
      </c>
      <c r="G568" t="s">
        <v>384</v>
      </c>
      <c r="H568">
        <v>3</v>
      </c>
      <c r="I568" s="1">
        <v>9896.11</v>
      </c>
      <c r="J568" t="s">
        <v>17</v>
      </c>
      <c r="K568" t="s">
        <v>18</v>
      </c>
      <c r="L568" t="str" cm="1">
        <f t="array" ref="L568">_xlfn.IFS(B568&lt;30,"18-29",B568&lt;45,"30-44",B568&lt;60,"45-59",B568&lt;75,"60-74",B568&lt;=90,"75-90")</f>
        <v>18-29</v>
      </c>
      <c r="M568" t="str">
        <f>IF(Table1[[#This Row],[length_of_stay_days]]&gt;7,"Yes","No")</f>
        <v>No</v>
      </c>
    </row>
    <row r="569" spans="1:13" x14ac:dyDescent="0.3">
      <c r="A569" t="s">
        <v>953</v>
      </c>
      <c r="B569">
        <v>19</v>
      </c>
      <c r="C569" t="s">
        <v>12</v>
      </c>
      <c r="D569" t="s">
        <v>32</v>
      </c>
      <c r="E569" t="s">
        <v>28</v>
      </c>
      <c r="F569" t="s">
        <v>312</v>
      </c>
      <c r="G569" t="s">
        <v>596</v>
      </c>
      <c r="H569">
        <v>8</v>
      </c>
      <c r="I569" s="1">
        <v>12761.13</v>
      </c>
      <c r="J569" t="s">
        <v>49</v>
      </c>
      <c r="K569" t="s">
        <v>18</v>
      </c>
      <c r="L569" t="str" cm="1">
        <f t="array" ref="L569">_xlfn.IFS(B569&lt;30,"18-29",B569&lt;45,"30-44",B569&lt;60,"45-59",B569&lt;75,"60-74",B569&lt;=90,"75-90")</f>
        <v>18-29</v>
      </c>
      <c r="M569" t="str">
        <f>IF(Table1[[#This Row],[length_of_stay_days]]&gt;7,"Yes","No")</f>
        <v>Yes</v>
      </c>
    </row>
    <row r="570" spans="1:13" x14ac:dyDescent="0.3">
      <c r="A570" t="s">
        <v>954</v>
      </c>
      <c r="B570">
        <v>32</v>
      </c>
      <c r="C570" t="s">
        <v>12</v>
      </c>
      <c r="D570" t="s">
        <v>51</v>
      </c>
      <c r="E570" t="s">
        <v>28</v>
      </c>
      <c r="F570" t="s">
        <v>111</v>
      </c>
      <c r="G570" t="s">
        <v>390</v>
      </c>
      <c r="H570">
        <v>11</v>
      </c>
      <c r="I570" s="1">
        <v>17213.09</v>
      </c>
      <c r="J570" t="s">
        <v>49</v>
      </c>
      <c r="K570" t="s">
        <v>44</v>
      </c>
      <c r="L570" t="str" cm="1">
        <f t="array" ref="L570">_xlfn.IFS(B570&lt;30,"18-29",B570&lt;45,"30-44",B570&lt;60,"45-59",B570&lt;75,"60-74",B570&lt;=90,"75-90")</f>
        <v>30-44</v>
      </c>
      <c r="M570" t="str">
        <f>IF(Table1[[#This Row],[length_of_stay_days]]&gt;7,"Yes","No")</f>
        <v>Yes</v>
      </c>
    </row>
    <row r="571" spans="1:13" x14ac:dyDescent="0.3">
      <c r="A571" t="s">
        <v>955</v>
      </c>
      <c r="B571">
        <v>60</v>
      </c>
      <c r="C571" t="s">
        <v>12</v>
      </c>
      <c r="D571" t="s">
        <v>51</v>
      </c>
      <c r="E571" t="s">
        <v>28</v>
      </c>
      <c r="F571" t="s">
        <v>402</v>
      </c>
      <c r="G571" t="s">
        <v>499</v>
      </c>
      <c r="H571">
        <v>4</v>
      </c>
      <c r="I571" s="1">
        <v>9797.83</v>
      </c>
      <c r="J571" t="s">
        <v>17</v>
      </c>
      <c r="K571" t="s">
        <v>44</v>
      </c>
      <c r="L571" t="str" cm="1">
        <f t="array" ref="L571">_xlfn.IFS(B571&lt;30,"18-29",B571&lt;45,"30-44",B571&lt;60,"45-59",B571&lt;75,"60-74",B571&lt;=90,"75-90")</f>
        <v>60-74</v>
      </c>
      <c r="M571" t="str">
        <f>IF(Table1[[#This Row],[length_of_stay_days]]&gt;7,"Yes","No")</f>
        <v>No</v>
      </c>
    </row>
    <row r="572" spans="1:13" x14ac:dyDescent="0.3">
      <c r="A572" t="s">
        <v>956</v>
      </c>
      <c r="B572">
        <v>19</v>
      </c>
      <c r="C572" t="s">
        <v>12</v>
      </c>
      <c r="D572" t="s">
        <v>13</v>
      </c>
      <c r="E572" t="s">
        <v>28</v>
      </c>
      <c r="F572" t="s">
        <v>168</v>
      </c>
      <c r="G572" t="s">
        <v>241</v>
      </c>
      <c r="H572">
        <v>3</v>
      </c>
      <c r="I572" s="1">
        <v>6019.23</v>
      </c>
      <c r="J572" t="s">
        <v>17</v>
      </c>
      <c r="K572" t="s">
        <v>18</v>
      </c>
      <c r="L572" t="str" cm="1">
        <f t="array" ref="L572">_xlfn.IFS(B572&lt;30,"18-29",B572&lt;45,"30-44",B572&lt;60,"45-59",B572&lt;75,"60-74",B572&lt;=90,"75-90")</f>
        <v>18-29</v>
      </c>
      <c r="M572" t="str">
        <f>IF(Table1[[#This Row],[length_of_stay_days]]&gt;7,"Yes","No")</f>
        <v>No</v>
      </c>
    </row>
    <row r="573" spans="1:13" x14ac:dyDescent="0.3">
      <c r="A573" t="s">
        <v>957</v>
      </c>
      <c r="B573">
        <v>25</v>
      </c>
      <c r="C573" t="s">
        <v>12</v>
      </c>
      <c r="D573" t="s">
        <v>28</v>
      </c>
      <c r="E573" t="s">
        <v>28</v>
      </c>
      <c r="F573" t="s">
        <v>270</v>
      </c>
      <c r="G573" t="s">
        <v>198</v>
      </c>
      <c r="H573">
        <v>7</v>
      </c>
      <c r="I573" s="1">
        <v>7779.48</v>
      </c>
      <c r="J573" t="s">
        <v>17</v>
      </c>
      <c r="K573" t="s">
        <v>18</v>
      </c>
      <c r="L573" t="str" cm="1">
        <f t="array" ref="L573">_xlfn.IFS(B573&lt;30,"18-29",B573&lt;45,"30-44",B573&lt;60,"45-59",B573&lt;75,"60-74",B573&lt;=90,"75-90")</f>
        <v>18-29</v>
      </c>
      <c r="M573" t="str">
        <f>IF(Table1[[#This Row],[length_of_stay_days]]&gt;7,"Yes","No")</f>
        <v>No</v>
      </c>
    </row>
    <row r="574" spans="1:13" x14ac:dyDescent="0.3">
      <c r="A574" t="s">
        <v>958</v>
      </c>
      <c r="B574">
        <v>26</v>
      </c>
      <c r="C574" t="s">
        <v>12</v>
      </c>
      <c r="D574" t="s">
        <v>46</v>
      </c>
      <c r="E574" t="s">
        <v>21</v>
      </c>
      <c r="F574" t="s">
        <v>323</v>
      </c>
      <c r="G574" t="s">
        <v>309</v>
      </c>
      <c r="H574">
        <v>8</v>
      </c>
      <c r="I574" s="1">
        <v>13198.27</v>
      </c>
      <c r="J574" t="s">
        <v>17</v>
      </c>
      <c r="K574" t="s">
        <v>18</v>
      </c>
      <c r="L574" t="str" cm="1">
        <f t="array" ref="L574">_xlfn.IFS(B574&lt;30,"18-29",B574&lt;45,"30-44",B574&lt;60,"45-59",B574&lt;75,"60-74",B574&lt;=90,"75-90")</f>
        <v>18-29</v>
      </c>
      <c r="M574" t="str">
        <f>IF(Table1[[#This Row],[length_of_stay_days]]&gt;7,"Yes","No")</f>
        <v>Yes</v>
      </c>
    </row>
    <row r="575" spans="1:13" x14ac:dyDescent="0.3">
      <c r="A575" t="s">
        <v>959</v>
      </c>
      <c r="B575">
        <v>58</v>
      </c>
      <c r="C575" t="s">
        <v>20</v>
      </c>
      <c r="D575" t="s">
        <v>28</v>
      </c>
      <c r="E575" t="s">
        <v>14</v>
      </c>
      <c r="F575" t="s">
        <v>554</v>
      </c>
      <c r="G575" t="s">
        <v>434</v>
      </c>
      <c r="H575">
        <v>6</v>
      </c>
      <c r="I575" s="1">
        <v>5789.33</v>
      </c>
      <c r="J575" t="s">
        <v>17</v>
      </c>
      <c r="K575" t="s">
        <v>18</v>
      </c>
      <c r="L575" t="str" cm="1">
        <f t="array" ref="L575">_xlfn.IFS(B575&lt;30,"18-29",B575&lt;45,"30-44",B575&lt;60,"45-59",B575&lt;75,"60-74",B575&lt;=90,"75-90")</f>
        <v>45-59</v>
      </c>
      <c r="M575" t="str">
        <f>IF(Table1[[#This Row],[length_of_stay_days]]&gt;7,"Yes","No")</f>
        <v>No</v>
      </c>
    </row>
    <row r="576" spans="1:13" x14ac:dyDescent="0.3">
      <c r="A576" t="s">
        <v>960</v>
      </c>
      <c r="B576">
        <v>28</v>
      </c>
      <c r="C576" t="s">
        <v>20</v>
      </c>
      <c r="D576" t="s">
        <v>32</v>
      </c>
      <c r="E576" t="s">
        <v>28</v>
      </c>
      <c r="F576" t="s">
        <v>151</v>
      </c>
      <c r="G576" t="s">
        <v>112</v>
      </c>
      <c r="H576">
        <v>5</v>
      </c>
      <c r="I576" s="1">
        <v>8620.41</v>
      </c>
      <c r="J576" t="s">
        <v>17</v>
      </c>
      <c r="K576" t="s">
        <v>18</v>
      </c>
      <c r="L576" t="str" cm="1">
        <f t="array" ref="L576">_xlfn.IFS(B576&lt;30,"18-29",B576&lt;45,"30-44",B576&lt;60,"45-59",B576&lt;75,"60-74",B576&lt;=90,"75-90")</f>
        <v>18-29</v>
      </c>
      <c r="M576" t="str">
        <f>IF(Table1[[#This Row],[length_of_stay_days]]&gt;7,"Yes","No")</f>
        <v>No</v>
      </c>
    </row>
    <row r="577" spans="1:13" x14ac:dyDescent="0.3">
      <c r="A577" t="s">
        <v>961</v>
      </c>
      <c r="B577">
        <v>44</v>
      </c>
      <c r="C577" t="s">
        <v>12</v>
      </c>
      <c r="D577" t="s">
        <v>28</v>
      </c>
      <c r="E577" t="s">
        <v>21</v>
      </c>
      <c r="F577" t="s">
        <v>443</v>
      </c>
      <c r="G577" t="s">
        <v>428</v>
      </c>
      <c r="H577">
        <v>8</v>
      </c>
      <c r="I577" s="1">
        <v>6416.83</v>
      </c>
      <c r="J577" t="s">
        <v>17</v>
      </c>
      <c r="K577" t="s">
        <v>18</v>
      </c>
      <c r="L577" t="str" cm="1">
        <f t="array" ref="L577">_xlfn.IFS(B577&lt;30,"18-29",B577&lt;45,"30-44",B577&lt;60,"45-59",B577&lt;75,"60-74",B577&lt;=90,"75-90")</f>
        <v>30-44</v>
      </c>
      <c r="M577" t="str">
        <f>IF(Table1[[#This Row],[length_of_stay_days]]&gt;7,"Yes","No")</f>
        <v>Yes</v>
      </c>
    </row>
    <row r="578" spans="1:13" x14ac:dyDescent="0.3">
      <c r="A578" t="s">
        <v>962</v>
      </c>
      <c r="B578">
        <v>82</v>
      </c>
      <c r="C578" t="s">
        <v>20</v>
      </c>
      <c r="D578" t="s">
        <v>13</v>
      </c>
      <c r="E578" t="s">
        <v>28</v>
      </c>
      <c r="F578" t="s">
        <v>271</v>
      </c>
      <c r="G578" t="s">
        <v>658</v>
      </c>
      <c r="H578">
        <v>8</v>
      </c>
      <c r="I578" s="1">
        <v>8282.42</v>
      </c>
      <c r="J578" t="s">
        <v>17</v>
      </c>
      <c r="K578" t="s">
        <v>18</v>
      </c>
      <c r="L578" t="str" cm="1">
        <f t="array" ref="L578">_xlfn.IFS(B578&lt;30,"18-29",B578&lt;45,"30-44",B578&lt;60,"45-59",B578&lt;75,"60-74",B578&lt;=90,"75-90")</f>
        <v>75-90</v>
      </c>
      <c r="M578" t="str">
        <f>IF(Table1[[#This Row],[length_of_stay_days]]&gt;7,"Yes","No")</f>
        <v>Yes</v>
      </c>
    </row>
    <row r="579" spans="1:13" x14ac:dyDescent="0.3">
      <c r="A579" t="s">
        <v>963</v>
      </c>
      <c r="B579">
        <v>89</v>
      </c>
      <c r="C579" t="s">
        <v>20</v>
      </c>
      <c r="D579" t="s">
        <v>55</v>
      </c>
      <c r="E579" t="s">
        <v>14</v>
      </c>
      <c r="F579" t="s">
        <v>219</v>
      </c>
      <c r="G579" t="s">
        <v>821</v>
      </c>
      <c r="H579">
        <v>8</v>
      </c>
      <c r="I579" s="1">
        <v>9560.01</v>
      </c>
      <c r="J579" t="s">
        <v>17</v>
      </c>
      <c r="K579" t="s">
        <v>18</v>
      </c>
      <c r="L579" t="str" cm="1">
        <f t="array" ref="L579">_xlfn.IFS(B579&lt;30,"18-29",B579&lt;45,"30-44",B579&lt;60,"45-59",B579&lt;75,"60-74",B579&lt;=90,"75-90")</f>
        <v>75-90</v>
      </c>
      <c r="M579" t="str">
        <f>IF(Table1[[#This Row],[length_of_stay_days]]&gt;7,"Yes","No")</f>
        <v>Yes</v>
      </c>
    </row>
    <row r="580" spans="1:13" x14ac:dyDescent="0.3">
      <c r="A580" t="s">
        <v>964</v>
      </c>
      <c r="B580">
        <v>38</v>
      </c>
      <c r="C580" t="s">
        <v>20</v>
      </c>
      <c r="D580" t="s">
        <v>46</v>
      </c>
      <c r="E580" t="s">
        <v>14</v>
      </c>
      <c r="F580" t="s">
        <v>295</v>
      </c>
      <c r="G580" t="s">
        <v>467</v>
      </c>
      <c r="H580">
        <v>6</v>
      </c>
      <c r="I580" s="1">
        <v>13125.6</v>
      </c>
      <c r="J580" t="s">
        <v>17</v>
      </c>
      <c r="K580" t="s">
        <v>18</v>
      </c>
      <c r="L580" t="str" cm="1">
        <f t="array" ref="L580">_xlfn.IFS(B580&lt;30,"18-29",B580&lt;45,"30-44",B580&lt;60,"45-59",B580&lt;75,"60-74",B580&lt;=90,"75-90")</f>
        <v>30-44</v>
      </c>
      <c r="M580" t="str">
        <f>IF(Table1[[#This Row],[length_of_stay_days]]&gt;7,"Yes","No")</f>
        <v>No</v>
      </c>
    </row>
    <row r="581" spans="1:13" x14ac:dyDescent="0.3">
      <c r="A581" t="s">
        <v>965</v>
      </c>
      <c r="B581">
        <v>56</v>
      </c>
      <c r="C581" t="s">
        <v>12</v>
      </c>
      <c r="D581" t="s">
        <v>13</v>
      </c>
      <c r="E581" t="s">
        <v>21</v>
      </c>
      <c r="F581" t="s">
        <v>293</v>
      </c>
      <c r="G581" t="s">
        <v>966</v>
      </c>
      <c r="H581">
        <v>5</v>
      </c>
      <c r="I581" s="1">
        <v>7410.2</v>
      </c>
      <c r="J581" t="s">
        <v>17</v>
      </c>
      <c r="K581" t="s">
        <v>18</v>
      </c>
      <c r="L581" t="str" cm="1">
        <f t="array" ref="L581">_xlfn.IFS(B581&lt;30,"18-29",B581&lt;45,"30-44",B581&lt;60,"45-59",B581&lt;75,"60-74",B581&lt;=90,"75-90")</f>
        <v>45-59</v>
      </c>
      <c r="M581" t="str">
        <f>IF(Table1[[#This Row],[length_of_stay_days]]&gt;7,"Yes","No")</f>
        <v>No</v>
      </c>
    </row>
    <row r="582" spans="1:13" x14ac:dyDescent="0.3">
      <c r="A582" t="s">
        <v>967</v>
      </c>
      <c r="B582">
        <v>73</v>
      </c>
      <c r="C582" t="s">
        <v>20</v>
      </c>
      <c r="D582" t="s">
        <v>55</v>
      </c>
      <c r="E582" t="s">
        <v>28</v>
      </c>
      <c r="F582" t="s">
        <v>266</v>
      </c>
      <c r="G582" t="s">
        <v>301</v>
      </c>
      <c r="H582">
        <v>8</v>
      </c>
      <c r="I582" s="1">
        <v>10175.719999999999</v>
      </c>
      <c r="J582" t="s">
        <v>17</v>
      </c>
      <c r="K582" t="s">
        <v>18</v>
      </c>
      <c r="L582" t="str" cm="1">
        <f t="array" ref="L582">_xlfn.IFS(B582&lt;30,"18-29",B582&lt;45,"30-44",B582&lt;60,"45-59",B582&lt;75,"60-74",B582&lt;=90,"75-90")</f>
        <v>60-74</v>
      </c>
      <c r="M582" t="str">
        <f>IF(Table1[[#This Row],[length_of_stay_days]]&gt;7,"Yes","No")</f>
        <v>Yes</v>
      </c>
    </row>
    <row r="583" spans="1:13" x14ac:dyDescent="0.3">
      <c r="A583" t="s">
        <v>968</v>
      </c>
      <c r="B583">
        <v>75</v>
      </c>
      <c r="C583" t="s">
        <v>12</v>
      </c>
      <c r="D583" t="s">
        <v>13</v>
      </c>
      <c r="E583" t="s">
        <v>28</v>
      </c>
      <c r="F583" t="s">
        <v>177</v>
      </c>
      <c r="G583" t="s">
        <v>152</v>
      </c>
      <c r="H583">
        <v>8</v>
      </c>
      <c r="I583" s="1">
        <v>9774.9500000000007</v>
      </c>
      <c r="J583" t="s">
        <v>17</v>
      </c>
      <c r="K583" t="s">
        <v>18</v>
      </c>
      <c r="L583" t="str" cm="1">
        <f t="array" ref="L583">_xlfn.IFS(B583&lt;30,"18-29",B583&lt;45,"30-44",B583&lt;60,"45-59",B583&lt;75,"60-74",B583&lt;=90,"75-90")</f>
        <v>75-90</v>
      </c>
      <c r="M583" t="str">
        <f>IF(Table1[[#This Row],[length_of_stay_days]]&gt;7,"Yes","No")</f>
        <v>Yes</v>
      </c>
    </row>
    <row r="584" spans="1:13" x14ac:dyDescent="0.3">
      <c r="A584" t="s">
        <v>969</v>
      </c>
      <c r="B584">
        <v>42</v>
      </c>
      <c r="C584" t="s">
        <v>12</v>
      </c>
      <c r="D584" t="s">
        <v>13</v>
      </c>
      <c r="E584" t="s">
        <v>28</v>
      </c>
      <c r="F584" t="s">
        <v>676</v>
      </c>
      <c r="G584" t="s">
        <v>146</v>
      </c>
      <c r="H584">
        <v>6</v>
      </c>
      <c r="I584" s="1">
        <v>8382.93</v>
      </c>
      <c r="J584" t="s">
        <v>17</v>
      </c>
      <c r="K584" t="s">
        <v>18</v>
      </c>
      <c r="L584" t="str" cm="1">
        <f t="array" ref="L584">_xlfn.IFS(B584&lt;30,"18-29",B584&lt;45,"30-44",B584&lt;60,"45-59",B584&lt;75,"60-74",B584&lt;=90,"75-90")</f>
        <v>30-44</v>
      </c>
      <c r="M584" t="str">
        <f>IF(Table1[[#This Row],[length_of_stay_days]]&gt;7,"Yes","No")</f>
        <v>No</v>
      </c>
    </row>
    <row r="585" spans="1:13" x14ac:dyDescent="0.3">
      <c r="A585" t="s">
        <v>970</v>
      </c>
      <c r="B585">
        <v>61</v>
      </c>
      <c r="C585" t="s">
        <v>12</v>
      </c>
      <c r="D585" t="s">
        <v>13</v>
      </c>
      <c r="E585" t="s">
        <v>28</v>
      </c>
      <c r="F585" t="s">
        <v>320</v>
      </c>
      <c r="G585" t="s">
        <v>250</v>
      </c>
      <c r="H585">
        <v>5</v>
      </c>
      <c r="I585" s="1">
        <v>5812.95</v>
      </c>
      <c r="J585" t="s">
        <v>17</v>
      </c>
      <c r="K585" t="s">
        <v>18</v>
      </c>
      <c r="L585" t="str" cm="1">
        <f t="array" ref="L585">_xlfn.IFS(B585&lt;30,"18-29",B585&lt;45,"30-44",B585&lt;60,"45-59",B585&lt;75,"60-74",B585&lt;=90,"75-90")</f>
        <v>60-74</v>
      </c>
      <c r="M585" t="str">
        <f>IF(Table1[[#This Row],[length_of_stay_days]]&gt;7,"Yes","No")</f>
        <v>No</v>
      </c>
    </row>
    <row r="586" spans="1:13" x14ac:dyDescent="0.3">
      <c r="A586" t="s">
        <v>971</v>
      </c>
      <c r="B586">
        <v>23</v>
      </c>
      <c r="C586" t="s">
        <v>20</v>
      </c>
      <c r="D586" t="s">
        <v>13</v>
      </c>
      <c r="E586" t="s">
        <v>14</v>
      </c>
      <c r="F586" t="s">
        <v>59</v>
      </c>
      <c r="G586" t="s">
        <v>288</v>
      </c>
      <c r="H586">
        <v>5</v>
      </c>
      <c r="I586" s="1">
        <v>7424.44</v>
      </c>
      <c r="J586" t="s">
        <v>17</v>
      </c>
      <c r="K586" t="s">
        <v>18</v>
      </c>
      <c r="L586" t="str" cm="1">
        <f t="array" ref="L586">_xlfn.IFS(B586&lt;30,"18-29",B586&lt;45,"30-44",B586&lt;60,"45-59",B586&lt;75,"60-74",B586&lt;=90,"75-90")</f>
        <v>18-29</v>
      </c>
      <c r="M586" t="str">
        <f>IF(Table1[[#This Row],[length_of_stay_days]]&gt;7,"Yes","No")</f>
        <v>No</v>
      </c>
    </row>
    <row r="587" spans="1:13" x14ac:dyDescent="0.3">
      <c r="A587" t="s">
        <v>972</v>
      </c>
      <c r="B587">
        <v>47</v>
      </c>
      <c r="C587" t="s">
        <v>12</v>
      </c>
      <c r="D587" t="s">
        <v>55</v>
      </c>
      <c r="E587" t="s">
        <v>14</v>
      </c>
      <c r="F587" t="s">
        <v>689</v>
      </c>
      <c r="G587" t="s">
        <v>105</v>
      </c>
      <c r="H587">
        <v>5</v>
      </c>
      <c r="I587" s="1">
        <v>9236.42</v>
      </c>
      <c r="J587" t="s">
        <v>17</v>
      </c>
      <c r="K587" t="s">
        <v>18</v>
      </c>
      <c r="L587" t="str" cm="1">
        <f t="array" ref="L587">_xlfn.IFS(B587&lt;30,"18-29",B587&lt;45,"30-44",B587&lt;60,"45-59",B587&lt;75,"60-74",B587&lt;=90,"75-90")</f>
        <v>45-59</v>
      </c>
      <c r="M587" t="str">
        <f>IF(Table1[[#This Row],[length_of_stay_days]]&gt;7,"Yes","No")</f>
        <v>No</v>
      </c>
    </row>
    <row r="588" spans="1:13" x14ac:dyDescent="0.3">
      <c r="A588" t="s">
        <v>973</v>
      </c>
      <c r="B588">
        <v>64</v>
      </c>
      <c r="C588" t="s">
        <v>12</v>
      </c>
      <c r="D588" t="s">
        <v>13</v>
      </c>
      <c r="E588" t="s">
        <v>28</v>
      </c>
      <c r="F588" t="s">
        <v>112</v>
      </c>
      <c r="G588" t="s">
        <v>654</v>
      </c>
      <c r="H588">
        <v>8</v>
      </c>
      <c r="I588" s="1">
        <v>9249.44</v>
      </c>
      <c r="J588" t="s">
        <v>17</v>
      </c>
      <c r="K588" t="s">
        <v>18</v>
      </c>
      <c r="L588" t="str" cm="1">
        <f t="array" ref="L588">_xlfn.IFS(B588&lt;30,"18-29",B588&lt;45,"30-44",B588&lt;60,"45-59",B588&lt;75,"60-74",B588&lt;=90,"75-90")</f>
        <v>60-74</v>
      </c>
      <c r="M588" t="str">
        <f>IF(Table1[[#This Row],[length_of_stay_days]]&gt;7,"Yes","No")</f>
        <v>Yes</v>
      </c>
    </row>
    <row r="589" spans="1:13" x14ac:dyDescent="0.3">
      <c r="A589" t="s">
        <v>974</v>
      </c>
      <c r="B589">
        <v>36</v>
      </c>
      <c r="C589" t="s">
        <v>12</v>
      </c>
      <c r="D589" t="s">
        <v>46</v>
      </c>
      <c r="E589" t="s">
        <v>28</v>
      </c>
      <c r="F589" t="s">
        <v>453</v>
      </c>
      <c r="G589" t="s">
        <v>975</v>
      </c>
      <c r="H589">
        <v>9</v>
      </c>
      <c r="I589" s="1">
        <v>16112.35</v>
      </c>
      <c r="J589" t="s">
        <v>17</v>
      </c>
      <c r="K589" t="s">
        <v>18</v>
      </c>
      <c r="L589" t="str" cm="1">
        <f t="array" ref="L589">_xlfn.IFS(B589&lt;30,"18-29",B589&lt;45,"30-44",B589&lt;60,"45-59",B589&lt;75,"60-74",B589&lt;=90,"75-90")</f>
        <v>30-44</v>
      </c>
      <c r="M589" t="str">
        <f>IF(Table1[[#This Row],[length_of_stay_days]]&gt;7,"Yes","No")</f>
        <v>Yes</v>
      </c>
    </row>
    <row r="590" spans="1:13" x14ac:dyDescent="0.3">
      <c r="A590" t="s">
        <v>976</v>
      </c>
      <c r="B590">
        <v>72</v>
      </c>
      <c r="C590" t="s">
        <v>12</v>
      </c>
      <c r="D590" t="s">
        <v>28</v>
      </c>
      <c r="E590" t="s">
        <v>21</v>
      </c>
      <c r="F590" t="s">
        <v>638</v>
      </c>
      <c r="G590" t="s">
        <v>613</v>
      </c>
      <c r="H590">
        <v>4</v>
      </c>
      <c r="I590" s="1">
        <v>5898.01</v>
      </c>
      <c r="J590" t="s">
        <v>17</v>
      </c>
      <c r="K590" t="s">
        <v>44</v>
      </c>
      <c r="L590" t="str" cm="1">
        <f t="array" ref="L590">_xlfn.IFS(B590&lt;30,"18-29",B590&lt;45,"30-44",B590&lt;60,"45-59",B590&lt;75,"60-74",B590&lt;=90,"75-90")</f>
        <v>60-74</v>
      </c>
      <c r="M590" t="str">
        <f>IF(Table1[[#This Row],[length_of_stay_days]]&gt;7,"Yes","No")</f>
        <v>No</v>
      </c>
    </row>
    <row r="591" spans="1:13" x14ac:dyDescent="0.3">
      <c r="A591" t="s">
        <v>977</v>
      </c>
      <c r="B591">
        <v>54</v>
      </c>
      <c r="C591" t="s">
        <v>20</v>
      </c>
      <c r="D591" t="s">
        <v>28</v>
      </c>
      <c r="E591" t="s">
        <v>14</v>
      </c>
      <c r="F591" t="s">
        <v>549</v>
      </c>
      <c r="G591" t="s">
        <v>194</v>
      </c>
      <c r="H591">
        <v>1</v>
      </c>
      <c r="I591" s="1">
        <v>3446.71</v>
      </c>
      <c r="J591" t="s">
        <v>17</v>
      </c>
      <c r="K591" t="s">
        <v>18</v>
      </c>
      <c r="L591" t="str" cm="1">
        <f t="array" ref="L591">_xlfn.IFS(B591&lt;30,"18-29",B591&lt;45,"30-44",B591&lt;60,"45-59",B591&lt;75,"60-74",B591&lt;=90,"75-90")</f>
        <v>45-59</v>
      </c>
      <c r="M591" t="str">
        <f>IF(Table1[[#This Row],[length_of_stay_days]]&gt;7,"Yes","No")</f>
        <v>No</v>
      </c>
    </row>
    <row r="592" spans="1:13" x14ac:dyDescent="0.3">
      <c r="A592" t="s">
        <v>978</v>
      </c>
      <c r="B592">
        <v>19</v>
      </c>
      <c r="C592" t="s">
        <v>12</v>
      </c>
      <c r="D592" t="s">
        <v>46</v>
      </c>
      <c r="E592" t="s">
        <v>14</v>
      </c>
      <c r="F592" t="s">
        <v>216</v>
      </c>
      <c r="G592" t="s">
        <v>689</v>
      </c>
      <c r="H592">
        <v>7</v>
      </c>
      <c r="I592" s="1">
        <v>14350.86</v>
      </c>
      <c r="J592" t="s">
        <v>17</v>
      </c>
      <c r="K592" t="s">
        <v>18</v>
      </c>
      <c r="L592" t="str" cm="1">
        <f t="array" ref="L592">_xlfn.IFS(B592&lt;30,"18-29",B592&lt;45,"30-44",B592&lt;60,"45-59",B592&lt;75,"60-74",B592&lt;=90,"75-90")</f>
        <v>18-29</v>
      </c>
      <c r="M592" t="str">
        <f>IF(Table1[[#This Row],[length_of_stay_days]]&gt;7,"Yes","No")</f>
        <v>No</v>
      </c>
    </row>
    <row r="593" spans="1:13" x14ac:dyDescent="0.3">
      <c r="A593" t="s">
        <v>979</v>
      </c>
      <c r="B593">
        <v>41</v>
      </c>
      <c r="C593" t="s">
        <v>20</v>
      </c>
      <c r="D593" t="s">
        <v>13</v>
      </c>
      <c r="E593" t="s">
        <v>28</v>
      </c>
      <c r="F593" t="s">
        <v>454</v>
      </c>
      <c r="G593" t="s">
        <v>558</v>
      </c>
      <c r="H593">
        <v>6</v>
      </c>
      <c r="I593" s="1">
        <v>6302.75</v>
      </c>
      <c r="J593" t="s">
        <v>17</v>
      </c>
      <c r="K593" t="s">
        <v>44</v>
      </c>
      <c r="L593" t="str" cm="1">
        <f t="array" ref="L593">_xlfn.IFS(B593&lt;30,"18-29",B593&lt;45,"30-44",B593&lt;60,"45-59",B593&lt;75,"60-74",B593&lt;=90,"75-90")</f>
        <v>30-44</v>
      </c>
      <c r="M593" t="str">
        <f>IF(Table1[[#This Row],[length_of_stay_days]]&gt;7,"Yes","No")</f>
        <v>No</v>
      </c>
    </row>
    <row r="594" spans="1:13" x14ac:dyDescent="0.3">
      <c r="A594" t="s">
        <v>980</v>
      </c>
      <c r="B594">
        <v>68</v>
      </c>
      <c r="C594" t="s">
        <v>20</v>
      </c>
      <c r="D594" t="s">
        <v>55</v>
      </c>
      <c r="E594" t="s">
        <v>14</v>
      </c>
      <c r="F594" t="s">
        <v>16</v>
      </c>
      <c r="G594" t="s">
        <v>214</v>
      </c>
      <c r="H594">
        <v>4</v>
      </c>
      <c r="I594" s="1">
        <v>9963.1200000000008</v>
      </c>
      <c r="J594" t="s">
        <v>17</v>
      </c>
      <c r="K594" t="s">
        <v>18</v>
      </c>
      <c r="L594" t="str" cm="1">
        <f t="array" ref="L594">_xlfn.IFS(B594&lt;30,"18-29",B594&lt;45,"30-44",B594&lt;60,"45-59",B594&lt;75,"60-74",B594&lt;=90,"75-90")</f>
        <v>60-74</v>
      </c>
      <c r="M594" t="str">
        <f>IF(Table1[[#This Row],[length_of_stay_days]]&gt;7,"Yes","No")</f>
        <v>No</v>
      </c>
    </row>
    <row r="595" spans="1:13" x14ac:dyDescent="0.3">
      <c r="A595" t="s">
        <v>981</v>
      </c>
      <c r="B595">
        <v>21</v>
      </c>
      <c r="C595" t="s">
        <v>20</v>
      </c>
      <c r="D595" t="s">
        <v>32</v>
      </c>
      <c r="E595" t="s">
        <v>21</v>
      </c>
      <c r="F595" t="s">
        <v>75</v>
      </c>
      <c r="G595" t="s">
        <v>203</v>
      </c>
      <c r="H595">
        <v>4</v>
      </c>
      <c r="I595" s="1">
        <v>13181.51</v>
      </c>
      <c r="J595" t="s">
        <v>49</v>
      </c>
      <c r="K595" t="s">
        <v>18</v>
      </c>
      <c r="L595" t="str" cm="1">
        <f t="array" ref="L595">_xlfn.IFS(B595&lt;30,"18-29",B595&lt;45,"30-44",B595&lt;60,"45-59",B595&lt;75,"60-74",B595&lt;=90,"75-90")</f>
        <v>18-29</v>
      </c>
      <c r="M595" t="str">
        <f>IF(Table1[[#This Row],[length_of_stay_days]]&gt;7,"Yes","No")</f>
        <v>No</v>
      </c>
    </row>
    <row r="596" spans="1:13" x14ac:dyDescent="0.3">
      <c r="A596" t="s">
        <v>982</v>
      </c>
      <c r="B596">
        <v>34</v>
      </c>
      <c r="C596" t="s">
        <v>20</v>
      </c>
      <c r="D596" t="s">
        <v>51</v>
      </c>
      <c r="E596" t="s">
        <v>28</v>
      </c>
      <c r="F596" t="s">
        <v>111</v>
      </c>
      <c r="G596" t="s">
        <v>288</v>
      </c>
      <c r="H596">
        <v>8</v>
      </c>
      <c r="I596" s="1">
        <v>10841.16</v>
      </c>
      <c r="J596" t="s">
        <v>17</v>
      </c>
      <c r="K596" t="s">
        <v>18</v>
      </c>
      <c r="L596" t="str" cm="1">
        <f t="array" ref="L596">_xlfn.IFS(B596&lt;30,"18-29",B596&lt;45,"30-44",B596&lt;60,"45-59",B596&lt;75,"60-74",B596&lt;=90,"75-90")</f>
        <v>30-44</v>
      </c>
      <c r="M596" t="str">
        <f>IF(Table1[[#This Row],[length_of_stay_days]]&gt;7,"Yes","No")</f>
        <v>Yes</v>
      </c>
    </row>
    <row r="597" spans="1:13" x14ac:dyDescent="0.3">
      <c r="A597" t="s">
        <v>983</v>
      </c>
      <c r="B597">
        <v>68</v>
      </c>
      <c r="C597" t="s">
        <v>20</v>
      </c>
      <c r="D597" t="s">
        <v>46</v>
      </c>
      <c r="E597" t="s">
        <v>28</v>
      </c>
      <c r="F597" t="s">
        <v>144</v>
      </c>
      <c r="G597" t="s">
        <v>212</v>
      </c>
      <c r="H597">
        <v>7</v>
      </c>
      <c r="I597" s="1">
        <v>14896.12</v>
      </c>
      <c r="J597" t="s">
        <v>49</v>
      </c>
      <c r="K597" t="s">
        <v>18</v>
      </c>
      <c r="L597" t="str" cm="1">
        <f t="array" ref="L597">_xlfn.IFS(B597&lt;30,"18-29",B597&lt;45,"30-44",B597&lt;60,"45-59",B597&lt;75,"60-74",B597&lt;=90,"75-90")</f>
        <v>60-74</v>
      </c>
      <c r="M597" t="str">
        <f>IF(Table1[[#This Row],[length_of_stay_days]]&gt;7,"Yes","No")</f>
        <v>No</v>
      </c>
    </row>
    <row r="598" spans="1:13" x14ac:dyDescent="0.3">
      <c r="A598" t="s">
        <v>984</v>
      </c>
      <c r="B598">
        <v>55</v>
      </c>
      <c r="C598" t="s">
        <v>20</v>
      </c>
      <c r="D598" t="s">
        <v>13</v>
      </c>
      <c r="E598" t="s">
        <v>21</v>
      </c>
      <c r="F598" t="s">
        <v>396</v>
      </c>
      <c r="G598" t="s">
        <v>895</v>
      </c>
      <c r="H598">
        <v>4</v>
      </c>
      <c r="I598" s="1">
        <v>6961.39</v>
      </c>
      <c r="J598" t="s">
        <v>17</v>
      </c>
      <c r="K598" t="s">
        <v>18</v>
      </c>
      <c r="L598" t="str" cm="1">
        <f t="array" ref="L598">_xlfn.IFS(B598&lt;30,"18-29",B598&lt;45,"30-44",B598&lt;60,"45-59",B598&lt;75,"60-74",B598&lt;=90,"75-90")</f>
        <v>45-59</v>
      </c>
      <c r="M598" t="str">
        <f>IF(Table1[[#This Row],[length_of_stay_days]]&gt;7,"Yes","No")</f>
        <v>No</v>
      </c>
    </row>
    <row r="599" spans="1:13" x14ac:dyDescent="0.3">
      <c r="A599" t="s">
        <v>985</v>
      </c>
      <c r="B599">
        <v>55</v>
      </c>
      <c r="C599" t="s">
        <v>20</v>
      </c>
      <c r="D599" t="s">
        <v>13</v>
      </c>
      <c r="E599" t="s">
        <v>28</v>
      </c>
      <c r="F599" t="s">
        <v>62</v>
      </c>
      <c r="G599" t="s">
        <v>543</v>
      </c>
      <c r="H599">
        <v>4</v>
      </c>
      <c r="I599" s="1">
        <v>5685.92</v>
      </c>
      <c r="J599" t="s">
        <v>17</v>
      </c>
      <c r="K599" t="s">
        <v>18</v>
      </c>
      <c r="L599" t="str" cm="1">
        <f t="array" ref="L599">_xlfn.IFS(B599&lt;30,"18-29",B599&lt;45,"30-44",B599&lt;60,"45-59",B599&lt;75,"60-74",B599&lt;=90,"75-90")</f>
        <v>45-59</v>
      </c>
      <c r="M599" t="str">
        <f>IF(Table1[[#This Row],[length_of_stay_days]]&gt;7,"Yes","No")</f>
        <v>No</v>
      </c>
    </row>
    <row r="600" spans="1:13" x14ac:dyDescent="0.3">
      <c r="A600" t="s">
        <v>986</v>
      </c>
      <c r="B600">
        <v>88</v>
      </c>
      <c r="C600" t="s">
        <v>20</v>
      </c>
      <c r="D600" t="s">
        <v>28</v>
      </c>
      <c r="E600" t="s">
        <v>21</v>
      </c>
      <c r="F600" t="s">
        <v>263</v>
      </c>
      <c r="G600" t="s">
        <v>106</v>
      </c>
      <c r="H600">
        <v>7</v>
      </c>
      <c r="I600" s="1">
        <v>8772.08</v>
      </c>
      <c r="J600" t="s">
        <v>17</v>
      </c>
      <c r="K600" t="s">
        <v>18</v>
      </c>
      <c r="L600" t="str" cm="1">
        <f t="array" ref="L600">_xlfn.IFS(B600&lt;30,"18-29",B600&lt;45,"30-44",B600&lt;60,"45-59",B600&lt;75,"60-74",B600&lt;=90,"75-90")</f>
        <v>75-90</v>
      </c>
      <c r="M600" t="str">
        <f>IF(Table1[[#This Row],[length_of_stay_days]]&gt;7,"Yes","No")</f>
        <v>No</v>
      </c>
    </row>
    <row r="601" spans="1:13" x14ac:dyDescent="0.3">
      <c r="A601" t="s">
        <v>987</v>
      </c>
      <c r="B601">
        <v>27</v>
      </c>
      <c r="C601" t="s">
        <v>20</v>
      </c>
      <c r="D601" t="s">
        <v>28</v>
      </c>
      <c r="E601" t="s">
        <v>14</v>
      </c>
      <c r="F601" t="s">
        <v>762</v>
      </c>
      <c r="G601" t="s">
        <v>616</v>
      </c>
      <c r="H601">
        <v>2</v>
      </c>
      <c r="I601" s="1">
        <v>2588.58</v>
      </c>
      <c r="J601" t="s">
        <v>17</v>
      </c>
      <c r="K601" t="s">
        <v>18</v>
      </c>
      <c r="L601" t="str" cm="1">
        <f t="array" ref="L601">_xlfn.IFS(B601&lt;30,"18-29",B601&lt;45,"30-44",B601&lt;60,"45-59",B601&lt;75,"60-74",B601&lt;=90,"75-90")</f>
        <v>18-29</v>
      </c>
      <c r="M601" t="str">
        <f>IF(Table1[[#This Row],[length_of_stay_days]]&gt;7,"Yes","No")</f>
        <v>No</v>
      </c>
    </row>
    <row r="602" spans="1:13" x14ac:dyDescent="0.3">
      <c r="A602" t="s">
        <v>988</v>
      </c>
      <c r="B602">
        <v>20</v>
      </c>
      <c r="C602" t="s">
        <v>20</v>
      </c>
      <c r="D602" t="s">
        <v>55</v>
      </c>
      <c r="E602" t="s">
        <v>28</v>
      </c>
      <c r="F602" t="s">
        <v>410</v>
      </c>
      <c r="G602" t="s">
        <v>489</v>
      </c>
      <c r="H602">
        <v>6</v>
      </c>
      <c r="I602" s="1">
        <v>10761.36</v>
      </c>
      <c r="J602" t="s">
        <v>17</v>
      </c>
      <c r="K602" t="s">
        <v>18</v>
      </c>
      <c r="L602" t="str" cm="1">
        <f t="array" ref="L602">_xlfn.IFS(B602&lt;30,"18-29",B602&lt;45,"30-44",B602&lt;60,"45-59",B602&lt;75,"60-74",B602&lt;=90,"75-90")</f>
        <v>18-29</v>
      </c>
      <c r="M602" t="str">
        <f>IF(Table1[[#This Row],[length_of_stay_days]]&gt;7,"Yes","No")</f>
        <v>No</v>
      </c>
    </row>
    <row r="603" spans="1:13" x14ac:dyDescent="0.3">
      <c r="A603" t="s">
        <v>989</v>
      </c>
      <c r="B603">
        <v>32</v>
      </c>
      <c r="C603" t="s">
        <v>20</v>
      </c>
      <c r="D603" t="s">
        <v>55</v>
      </c>
      <c r="E603" t="s">
        <v>28</v>
      </c>
      <c r="F603" t="s">
        <v>299</v>
      </c>
      <c r="G603" t="s">
        <v>92</v>
      </c>
      <c r="H603">
        <v>2</v>
      </c>
      <c r="I603" s="1">
        <v>9095.1299999999992</v>
      </c>
      <c r="J603" t="s">
        <v>17</v>
      </c>
      <c r="K603" t="s">
        <v>18</v>
      </c>
      <c r="L603" t="str" cm="1">
        <f t="array" ref="L603">_xlfn.IFS(B603&lt;30,"18-29",B603&lt;45,"30-44",B603&lt;60,"45-59",B603&lt;75,"60-74",B603&lt;=90,"75-90")</f>
        <v>30-44</v>
      </c>
      <c r="M603" t="str">
        <f>IF(Table1[[#This Row],[length_of_stay_days]]&gt;7,"Yes","No")</f>
        <v>No</v>
      </c>
    </row>
    <row r="604" spans="1:13" x14ac:dyDescent="0.3">
      <c r="A604" t="s">
        <v>990</v>
      </c>
      <c r="B604">
        <v>44</v>
      </c>
      <c r="C604" t="s">
        <v>12</v>
      </c>
      <c r="D604" t="s">
        <v>28</v>
      </c>
      <c r="E604" t="s">
        <v>21</v>
      </c>
      <c r="F604" t="s">
        <v>189</v>
      </c>
      <c r="G604" t="s">
        <v>388</v>
      </c>
      <c r="H604">
        <v>7</v>
      </c>
      <c r="I604" s="1">
        <v>5930.91</v>
      </c>
      <c r="J604" t="s">
        <v>17</v>
      </c>
      <c r="K604" t="s">
        <v>18</v>
      </c>
      <c r="L604" t="str" cm="1">
        <f t="array" ref="L604">_xlfn.IFS(B604&lt;30,"18-29",B604&lt;45,"30-44",B604&lt;60,"45-59",B604&lt;75,"60-74",B604&lt;=90,"75-90")</f>
        <v>30-44</v>
      </c>
      <c r="M604" t="str">
        <f>IF(Table1[[#This Row],[length_of_stay_days]]&gt;7,"Yes","No")</f>
        <v>No</v>
      </c>
    </row>
    <row r="605" spans="1:13" x14ac:dyDescent="0.3">
      <c r="A605" t="s">
        <v>991</v>
      </c>
      <c r="B605">
        <v>25</v>
      </c>
      <c r="C605" t="s">
        <v>20</v>
      </c>
      <c r="D605" t="s">
        <v>32</v>
      </c>
      <c r="E605" t="s">
        <v>14</v>
      </c>
      <c r="F605" t="s">
        <v>189</v>
      </c>
      <c r="G605" t="s">
        <v>493</v>
      </c>
      <c r="H605">
        <v>9</v>
      </c>
      <c r="I605" s="1">
        <v>13586.92</v>
      </c>
      <c r="J605" t="s">
        <v>49</v>
      </c>
      <c r="K605" t="s">
        <v>18</v>
      </c>
      <c r="L605" t="str" cm="1">
        <f t="array" ref="L605">_xlfn.IFS(B605&lt;30,"18-29",B605&lt;45,"30-44",B605&lt;60,"45-59",B605&lt;75,"60-74",B605&lt;=90,"75-90")</f>
        <v>18-29</v>
      </c>
      <c r="M605" t="str">
        <f>IF(Table1[[#This Row],[length_of_stay_days]]&gt;7,"Yes","No")</f>
        <v>Yes</v>
      </c>
    </row>
    <row r="606" spans="1:13" x14ac:dyDescent="0.3">
      <c r="A606" t="s">
        <v>992</v>
      </c>
      <c r="B606">
        <v>58</v>
      </c>
      <c r="C606" t="s">
        <v>20</v>
      </c>
      <c r="D606" t="s">
        <v>55</v>
      </c>
      <c r="E606" t="s">
        <v>21</v>
      </c>
      <c r="F606" t="s">
        <v>774</v>
      </c>
      <c r="G606" t="s">
        <v>384</v>
      </c>
      <c r="H606">
        <v>4</v>
      </c>
      <c r="I606" s="1">
        <v>8661.9599999999991</v>
      </c>
      <c r="J606" t="s">
        <v>49</v>
      </c>
      <c r="K606" t="s">
        <v>18</v>
      </c>
      <c r="L606" t="str" cm="1">
        <f t="array" ref="L606">_xlfn.IFS(B606&lt;30,"18-29",B606&lt;45,"30-44",B606&lt;60,"45-59",B606&lt;75,"60-74",B606&lt;=90,"75-90")</f>
        <v>45-59</v>
      </c>
      <c r="M606" t="str">
        <f>IF(Table1[[#This Row],[length_of_stay_days]]&gt;7,"Yes","No")</f>
        <v>No</v>
      </c>
    </row>
    <row r="607" spans="1:13" x14ac:dyDescent="0.3">
      <c r="A607" t="s">
        <v>993</v>
      </c>
      <c r="B607">
        <v>20</v>
      </c>
      <c r="C607" t="s">
        <v>20</v>
      </c>
      <c r="D607" t="s">
        <v>28</v>
      </c>
      <c r="E607" t="s">
        <v>28</v>
      </c>
      <c r="F607" t="s">
        <v>454</v>
      </c>
      <c r="G607" t="s">
        <v>458</v>
      </c>
      <c r="H607">
        <v>3</v>
      </c>
      <c r="I607" s="1">
        <v>5361.24</v>
      </c>
      <c r="J607" t="s">
        <v>17</v>
      </c>
      <c r="K607" t="s">
        <v>18</v>
      </c>
      <c r="L607" t="str" cm="1">
        <f t="array" ref="L607">_xlfn.IFS(B607&lt;30,"18-29",B607&lt;45,"30-44",B607&lt;60,"45-59",B607&lt;75,"60-74",B607&lt;=90,"75-90")</f>
        <v>18-29</v>
      </c>
      <c r="M607" t="str">
        <f>IF(Table1[[#This Row],[length_of_stay_days]]&gt;7,"Yes","No")</f>
        <v>No</v>
      </c>
    </row>
    <row r="608" spans="1:13" x14ac:dyDescent="0.3">
      <c r="A608" t="s">
        <v>994</v>
      </c>
      <c r="B608">
        <v>40</v>
      </c>
      <c r="C608" t="s">
        <v>12</v>
      </c>
      <c r="D608" t="s">
        <v>28</v>
      </c>
      <c r="E608" t="s">
        <v>14</v>
      </c>
      <c r="F608" t="s">
        <v>280</v>
      </c>
      <c r="G608" t="s">
        <v>633</v>
      </c>
      <c r="H608">
        <v>1</v>
      </c>
      <c r="I608" s="1">
        <v>5133.4399999999996</v>
      </c>
      <c r="J608" t="s">
        <v>17</v>
      </c>
      <c r="K608" t="s">
        <v>18</v>
      </c>
      <c r="L608" t="str" cm="1">
        <f t="array" ref="L608">_xlfn.IFS(B608&lt;30,"18-29",B608&lt;45,"30-44",B608&lt;60,"45-59",B608&lt;75,"60-74",B608&lt;=90,"75-90")</f>
        <v>30-44</v>
      </c>
      <c r="M608" t="str">
        <f>IF(Table1[[#This Row],[length_of_stay_days]]&gt;7,"Yes","No")</f>
        <v>No</v>
      </c>
    </row>
    <row r="609" spans="1:13" x14ac:dyDescent="0.3">
      <c r="A609" t="s">
        <v>995</v>
      </c>
      <c r="B609">
        <v>89</v>
      </c>
      <c r="C609" t="s">
        <v>12</v>
      </c>
      <c r="D609" t="s">
        <v>55</v>
      </c>
      <c r="E609" t="s">
        <v>28</v>
      </c>
      <c r="F609" t="s">
        <v>386</v>
      </c>
      <c r="G609" t="s">
        <v>198</v>
      </c>
      <c r="H609">
        <v>8</v>
      </c>
      <c r="I609" s="1">
        <v>13725.52</v>
      </c>
      <c r="J609" t="s">
        <v>17</v>
      </c>
      <c r="K609" t="s">
        <v>18</v>
      </c>
      <c r="L609" t="str" cm="1">
        <f t="array" ref="L609">_xlfn.IFS(B609&lt;30,"18-29",B609&lt;45,"30-44",B609&lt;60,"45-59",B609&lt;75,"60-74",B609&lt;=90,"75-90")</f>
        <v>75-90</v>
      </c>
      <c r="M609" t="str">
        <f>IF(Table1[[#This Row],[length_of_stay_days]]&gt;7,"Yes","No")</f>
        <v>Yes</v>
      </c>
    </row>
    <row r="610" spans="1:13" x14ac:dyDescent="0.3">
      <c r="A610" t="s">
        <v>996</v>
      </c>
      <c r="B610">
        <v>81</v>
      </c>
      <c r="C610" t="s">
        <v>20</v>
      </c>
      <c r="D610" t="s">
        <v>28</v>
      </c>
      <c r="E610" t="s">
        <v>28</v>
      </c>
      <c r="F610" t="s">
        <v>282</v>
      </c>
      <c r="G610" t="s">
        <v>841</v>
      </c>
      <c r="H610">
        <v>9</v>
      </c>
      <c r="I610" s="1">
        <v>7316.97</v>
      </c>
      <c r="J610" t="s">
        <v>17</v>
      </c>
      <c r="K610" t="s">
        <v>44</v>
      </c>
      <c r="L610" t="str" cm="1">
        <f t="array" ref="L610">_xlfn.IFS(B610&lt;30,"18-29",B610&lt;45,"30-44",B610&lt;60,"45-59",B610&lt;75,"60-74",B610&lt;=90,"75-90")</f>
        <v>75-90</v>
      </c>
      <c r="M610" t="str">
        <f>IF(Table1[[#This Row],[length_of_stay_days]]&gt;7,"Yes","No")</f>
        <v>Yes</v>
      </c>
    </row>
    <row r="611" spans="1:13" x14ac:dyDescent="0.3">
      <c r="A611" t="s">
        <v>997</v>
      </c>
      <c r="B611">
        <v>38</v>
      </c>
      <c r="C611" t="s">
        <v>12</v>
      </c>
      <c r="D611" t="s">
        <v>32</v>
      </c>
      <c r="E611" t="s">
        <v>28</v>
      </c>
      <c r="F611" t="s">
        <v>22</v>
      </c>
      <c r="G611" t="s">
        <v>280</v>
      </c>
      <c r="H611">
        <v>9</v>
      </c>
      <c r="I611" s="1">
        <v>14654.12</v>
      </c>
      <c r="J611" t="s">
        <v>17</v>
      </c>
      <c r="K611" t="s">
        <v>18</v>
      </c>
      <c r="L611" t="str" cm="1">
        <f t="array" ref="L611">_xlfn.IFS(B611&lt;30,"18-29",B611&lt;45,"30-44",B611&lt;60,"45-59",B611&lt;75,"60-74",B611&lt;=90,"75-90")</f>
        <v>30-44</v>
      </c>
      <c r="M611" t="str">
        <f>IF(Table1[[#This Row],[length_of_stay_days]]&gt;7,"Yes","No")</f>
        <v>Yes</v>
      </c>
    </row>
    <row r="612" spans="1:13" x14ac:dyDescent="0.3">
      <c r="A612" t="s">
        <v>998</v>
      </c>
      <c r="B612">
        <v>70</v>
      </c>
      <c r="C612" t="s">
        <v>12</v>
      </c>
      <c r="D612" t="s">
        <v>46</v>
      </c>
      <c r="E612" t="s">
        <v>28</v>
      </c>
      <c r="F612" t="s">
        <v>245</v>
      </c>
      <c r="G612" t="s">
        <v>16</v>
      </c>
      <c r="H612">
        <v>10</v>
      </c>
      <c r="I612" s="1">
        <v>12305.73</v>
      </c>
      <c r="J612" t="s">
        <v>17</v>
      </c>
      <c r="K612" t="s">
        <v>18</v>
      </c>
      <c r="L612" t="str" cm="1">
        <f t="array" ref="L612">_xlfn.IFS(B612&lt;30,"18-29",B612&lt;45,"30-44",B612&lt;60,"45-59",B612&lt;75,"60-74",B612&lt;=90,"75-90")</f>
        <v>60-74</v>
      </c>
      <c r="M612" t="str">
        <f>IF(Table1[[#This Row],[length_of_stay_days]]&gt;7,"Yes","No")</f>
        <v>Yes</v>
      </c>
    </row>
    <row r="613" spans="1:13" x14ac:dyDescent="0.3">
      <c r="A613" t="s">
        <v>999</v>
      </c>
      <c r="B613">
        <v>36</v>
      </c>
      <c r="C613" t="s">
        <v>20</v>
      </c>
      <c r="D613" t="s">
        <v>46</v>
      </c>
      <c r="E613" t="s">
        <v>28</v>
      </c>
      <c r="F613" t="s">
        <v>155</v>
      </c>
      <c r="G613" t="s">
        <v>337</v>
      </c>
      <c r="H613">
        <v>7</v>
      </c>
      <c r="I613" s="1">
        <v>14336.67</v>
      </c>
      <c r="J613" t="s">
        <v>17</v>
      </c>
      <c r="K613" t="s">
        <v>18</v>
      </c>
      <c r="L613" t="str" cm="1">
        <f t="array" ref="L613">_xlfn.IFS(B613&lt;30,"18-29",B613&lt;45,"30-44",B613&lt;60,"45-59",B613&lt;75,"60-74",B613&lt;=90,"75-90")</f>
        <v>30-44</v>
      </c>
      <c r="M613" t="str">
        <f>IF(Table1[[#This Row],[length_of_stay_days]]&gt;7,"Yes","No")</f>
        <v>No</v>
      </c>
    </row>
    <row r="614" spans="1:13" x14ac:dyDescent="0.3">
      <c r="A614" t="s">
        <v>1000</v>
      </c>
      <c r="B614">
        <v>72</v>
      </c>
      <c r="C614" t="s">
        <v>20</v>
      </c>
      <c r="D614" t="s">
        <v>51</v>
      </c>
      <c r="E614" t="s">
        <v>28</v>
      </c>
      <c r="F614" t="s">
        <v>80</v>
      </c>
      <c r="G614" t="s">
        <v>825</v>
      </c>
      <c r="H614">
        <v>5</v>
      </c>
      <c r="I614" s="1">
        <v>14457.4</v>
      </c>
      <c r="J614" t="s">
        <v>17</v>
      </c>
      <c r="K614" t="s">
        <v>18</v>
      </c>
      <c r="L614" t="str" cm="1">
        <f t="array" ref="L614">_xlfn.IFS(B614&lt;30,"18-29",B614&lt;45,"30-44",B614&lt;60,"45-59",B614&lt;75,"60-74",B614&lt;=90,"75-90")</f>
        <v>60-74</v>
      </c>
      <c r="M614" t="str">
        <f>IF(Table1[[#This Row],[length_of_stay_days]]&gt;7,"Yes","No")</f>
        <v>No</v>
      </c>
    </row>
    <row r="615" spans="1:13" x14ac:dyDescent="0.3">
      <c r="A615" t="s">
        <v>1001</v>
      </c>
      <c r="B615">
        <v>39</v>
      </c>
      <c r="C615" t="s">
        <v>20</v>
      </c>
      <c r="D615" t="s">
        <v>55</v>
      </c>
      <c r="E615" t="s">
        <v>28</v>
      </c>
      <c r="F615" t="s">
        <v>146</v>
      </c>
      <c r="G615" t="s">
        <v>841</v>
      </c>
      <c r="H615">
        <v>6</v>
      </c>
      <c r="I615" s="1">
        <v>11976.69</v>
      </c>
      <c r="J615" t="s">
        <v>17</v>
      </c>
      <c r="K615" t="s">
        <v>18</v>
      </c>
      <c r="L615" t="str" cm="1">
        <f t="array" ref="L615">_xlfn.IFS(B615&lt;30,"18-29",B615&lt;45,"30-44",B615&lt;60,"45-59",B615&lt;75,"60-74",B615&lt;=90,"75-90")</f>
        <v>30-44</v>
      </c>
      <c r="M615" t="str">
        <f>IF(Table1[[#This Row],[length_of_stay_days]]&gt;7,"Yes","No")</f>
        <v>No</v>
      </c>
    </row>
    <row r="616" spans="1:13" x14ac:dyDescent="0.3">
      <c r="A616" t="s">
        <v>1002</v>
      </c>
      <c r="B616">
        <v>58</v>
      </c>
      <c r="C616" t="s">
        <v>12</v>
      </c>
      <c r="D616" t="s">
        <v>51</v>
      </c>
      <c r="E616" t="s">
        <v>21</v>
      </c>
      <c r="F616" t="s">
        <v>629</v>
      </c>
      <c r="G616" t="s">
        <v>64</v>
      </c>
      <c r="H616">
        <v>6</v>
      </c>
      <c r="I616" s="1">
        <v>12881.66</v>
      </c>
      <c r="J616" t="s">
        <v>17</v>
      </c>
      <c r="K616" t="s">
        <v>18</v>
      </c>
      <c r="L616" t="str" cm="1">
        <f t="array" ref="L616">_xlfn.IFS(B616&lt;30,"18-29",B616&lt;45,"30-44",B616&lt;60,"45-59",B616&lt;75,"60-74",B616&lt;=90,"75-90")</f>
        <v>45-59</v>
      </c>
      <c r="M616" t="str">
        <f>IF(Table1[[#This Row],[length_of_stay_days]]&gt;7,"Yes","No")</f>
        <v>No</v>
      </c>
    </row>
    <row r="617" spans="1:13" x14ac:dyDescent="0.3">
      <c r="A617" t="s">
        <v>1003</v>
      </c>
      <c r="B617">
        <v>68</v>
      </c>
      <c r="C617" t="s">
        <v>20</v>
      </c>
      <c r="D617" t="s">
        <v>55</v>
      </c>
      <c r="E617" t="s">
        <v>21</v>
      </c>
      <c r="F617" t="s">
        <v>422</v>
      </c>
      <c r="G617" t="s">
        <v>186</v>
      </c>
      <c r="H617">
        <v>5</v>
      </c>
      <c r="I617" s="1">
        <v>7932.35</v>
      </c>
      <c r="J617" t="s">
        <v>17</v>
      </c>
      <c r="K617" t="s">
        <v>18</v>
      </c>
      <c r="L617" t="str" cm="1">
        <f t="array" ref="L617">_xlfn.IFS(B617&lt;30,"18-29",B617&lt;45,"30-44",B617&lt;60,"45-59",B617&lt;75,"60-74",B617&lt;=90,"75-90")</f>
        <v>60-74</v>
      </c>
      <c r="M617" t="str">
        <f>IF(Table1[[#This Row],[length_of_stay_days]]&gt;7,"Yes","No")</f>
        <v>No</v>
      </c>
    </row>
    <row r="618" spans="1:13" x14ac:dyDescent="0.3">
      <c r="A618" t="s">
        <v>1004</v>
      </c>
      <c r="B618">
        <v>80</v>
      </c>
      <c r="C618" t="s">
        <v>20</v>
      </c>
      <c r="D618" t="s">
        <v>46</v>
      </c>
      <c r="E618" t="s">
        <v>28</v>
      </c>
      <c r="F618" t="s">
        <v>166</v>
      </c>
      <c r="G618" t="s">
        <v>1005</v>
      </c>
      <c r="H618">
        <v>7</v>
      </c>
      <c r="I618" s="1">
        <v>13875.14</v>
      </c>
      <c r="J618" t="s">
        <v>17</v>
      </c>
      <c r="K618" t="s">
        <v>44</v>
      </c>
      <c r="L618" t="str" cm="1">
        <f t="array" ref="L618">_xlfn.IFS(B618&lt;30,"18-29",B618&lt;45,"30-44",B618&lt;60,"45-59",B618&lt;75,"60-74",B618&lt;=90,"75-90")</f>
        <v>75-90</v>
      </c>
      <c r="M618" t="str">
        <f>IF(Table1[[#This Row],[length_of_stay_days]]&gt;7,"Yes","No")</f>
        <v>No</v>
      </c>
    </row>
    <row r="619" spans="1:13" x14ac:dyDescent="0.3">
      <c r="A619" t="s">
        <v>1006</v>
      </c>
      <c r="B619">
        <v>49</v>
      </c>
      <c r="C619" t="s">
        <v>20</v>
      </c>
      <c r="D619" t="s">
        <v>51</v>
      </c>
      <c r="E619" t="s">
        <v>14</v>
      </c>
      <c r="F619" t="s">
        <v>65</v>
      </c>
      <c r="G619" t="s">
        <v>165</v>
      </c>
      <c r="H619">
        <v>3</v>
      </c>
      <c r="I619" s="1">
        <v>7494.3</v>
      </c>
      <c r="J619" t="s">
        <v>17</v>
      </c>
      <c r="K619" t="s">
        <v>18</v>
      </c>
      <c r="L619" t="str" cm="1">
        <f t="array" ref="L619">_xlfn.IFS(B619&lt;30,"18-29",B619&lt;45,"30-44",B619&lt;60,"45-59",B619&lt;75,"60-74",B619&lt;=90,"75-90")</f>
        <v>45-59</v>
      </c>
      <c r="M619" t="str">
        <f>IF(Table1[[#This Row],[length_of_stay_days]]&gt;7,"Yes","No")</f>
        <v>No</v>
      </c>
    </row>
    <row r="620" spans="1:13" x14ac:dyDescent="0.3">
      <c r="A620" t="s">
        <v>1007</v>
      </c>
      <c r="B620">
        <v>88</v>
      </c>
      <c r="C620" t="s">
        <v>20</v>
      </c>
      <c r="D620" t="s">
        <v>55</v>
      </c>
      <c r="E620" t="s">
        <v>28</v>
      </c>
      <c r="F620" t="s">
        <v>499</v>
      </c>
      <c r="G620" t="s">
        <v>527</v>
      </c>
      <c r="H620">
        <v>11</v>
      </c>
      <c r="I620" s="1">
        <v>14563.23</v>
      </c>
      <c r="J620" t="s">
        <v>17</v>
      </c>
      <c r="K620" t="s">
        <v>18</v>
      </c>
      <c r="L620" t="str" cm="1">
        <f t="array" ref="L620">_xlfn.IFS(B620&lt;30,"18-29",B620&lt;45,"30-44",B620&lt;60,"45-59",B620&lt;75,"60-74",B620&lt;=90,"75-90")</f>
        <v>75-90</v>
      </c>
      <c r="M620" t="str">
        <f>IF(Table1[[#This Row],[length_of_stay_days]]&gt;7,"Yes","No")</f>
        <v>Yes</v>
      </c>
    </row>
    <row r="621" spans="1:13" x14ac:dyDescent="0.3">
      <c r="A621" t="s">
        <v>1008</v>
      </c>
      <c r="B621">
        <v>20</v>
      </c>
      <c r="C621" t="s">
        <v>12</v>
      </c>
      <c r="D621" t="s">
        <v>55</v>
      </c>
      <c r="E621" t="s">
        <v>28</v>
      </c>
      <c r="F621" t="s">
        <v>149</v>
      </c>
      <c r="G621" t="s">
        <v>742</v>
      </c>
      <c r="H621">
        <v>8</v>
      </c>
      <c r="I621" s="1">
        <v>11300.79</v>
      </c>
      <c r="J621" t="s">
        <v>17</v>
      </c>
      <c r="K621" t="s">
        <v>18</v>
      </c>
      <c r="L621" t="str" cm="1">
        <f t="array" ref="L621">_xlfn.IFS(B621&lt;30,"18-29",B621&lt;45,"30-44",B621&lt;60,"45-59",B621&lt;75,"60-74",B621&lt;=90,"75-90")</f>
        <v>18-29</v>
      </c>
      <c r="M621" t="str">
        <f>IF(Table1[[#This Row],[length_of_stay_days]]&gt;7,"Yes","No")</f>
        <v>Yes</v>
      </c>
    </row>
    <row r="622" spans="1:13" x14ac:dyDescent="0.3">
      <c r="A622" t="s">
        <v>1009</v>
      </c>
      <c r="B622">
        <v>24</v>
      </c>
      <c r="C622" t="s">
        <v>12</v>
      </c>
      <c r="D622" t="s">
        <v>28</v>
      </c>
      <c r="E622" t="s">
        <v>21</v>
      </c>
      <c r="F622" t="s">
        <v>205</v>
      </c>
      <c r="G622" t="s">
        <v>941</v>
      </c>
      <c r="H622">
        <v>2</v>
      </c>
      <c r="I622" s="1">
        <v>4250.1099999999997</v>
      </c>
      <c r="J622" t="s">
        <v>17</v>
      </c>
      <c r="K622" t="s">
        <v>18</v>
      </c>
      <c r="L622" t="str" cm="1">
        <f t="array" ref="L622">_xlfn.IFS(B622&lt;30,"18-29",B622&lt;45,"30-44",B622&lt;60,"45-59",B622&lt;75,"60-74",B622&lt;=90,"75-90")</f>
        <v>18-29</v>
      </c>
      <c r="M622" t="str">
        <f>IF(Table1[[#This Row],[length_of_stay_days]]&gt;7,"Yes","No")</f>
        <v>No</v>
      </c>
    </row>
    <row r="623" spans="1:13" x14ac:dyDescent="0.3">
      <c r="A623" t="s">
        <v>1010</v>
      </c>
      <c r="B623">
        <v>23</v>
      </c>
      <c r="C623" t="s">
        <v>12</v>
      </c>
      <c r="D623" t="s">
        <v>28</v>
      </c>
      <c r="E623" t="s">
        <v>28</v>
      </c>
      <c r="F623" t="s">
        <v>472</v>
      </c>
      <c r="G623" t="s">
        <v>354</v>
      </c>
      <c r="H623">
        <v>5</v>
      </c>
      <c r="I623" s="1">
        <v>5655.12</v>
      </c>
      <c r="J623" t="s">
        <v>17</v>
      </c>
      <c r="K623" t="s">
        <v>18</v>
      </c>
      <c r="L623" t="str" cm="1">
        <f t="array" ref="L623">_xlfn.IFS(B623&lt;30,"18-29",B623&lt;45,"30-44",B623&lt;60,"45-59",B623&lt;75,"60-74",B623&lt;=90,"75-90")</f>
        <v>18-29</v>
      </c>
      <c r="M623" t="str">
        <f>IF(Table1[[#This Row],[length_of_stay_days]]&gt;7,"Yes","No")</f>
        <v>No</v>
      </c>
    </row>
    <row r="624" spans="1:13" x14ac:dyDescent="0.3">
      <c r="A624" t="s">
        <v>1011</v>
      </c>
      <c r="B624">
        <v>51</v>
      </c>
      <c r="C624" t="s">
        <v>12</v>
      </c>
      <c r="D624" t="s">
        <v>28</v>
      </c>
      <c r="E624" t="s">
        <v>28</v>
      </c>
      <c r="F624" t="s">
        <v>584</v>
      </c>
      <c r="G624" t="s">
        <v>454</v>
      </c>
      <c r="H624">
        <v>6</v>
      </c>
      <c r="I624" s="1">
        <v>10628.09</v>
      </c>
      <c r="J624" t="s">
        <v>17</v>
      </c>
      <c r="K624" t="s">
        <v>18</v>
      </c>
      <c r="L624" t="str" cm="1">
        <f t="array" ref="L624">_xlfn.IFS(B624&lt;30,"18-29",B624&lt;45,"30-44",B624&lt;60,"45-59",B624&lt;75,"60-74",B624&lt;=90,"75-90")</f>
        <v>45-59</v>
      </c>
      <c r="M624" t="str">
        <f>IF(Table1[[#This Row],[length_of_stay_days]]&gt;7,"Yes","No")</f>
        <v>No</v>
      </c>
    </row>
    <row r="625" spans="1:13" x14ac:dyDescent="0.3">
      <c r="A625" t="s">
        <v>1012</v>
      </c>
      <c r="B625">
        <v>22</v>
      </c>
      <c r="C625" t="s">
        <v>12</v>
      </c>
      <c r="D625" t="s">
        <v>32</v>
      </c>
      <c r="E625" t="s">
        <v>14</v>
      </c>
      <c r="F625" t="s">
        <v>547</v>
      </c>
      <c r="G625" t="s">
        <v>71</v>
      </c>
      <c r="H625">
        <v>5</v>
      </c>
      <c r="I625" s="1">
        <v>10528.98</v>
      </c>
      <c r="J625" t="s">
        <v>17</v>
      </c>
      <c r="K625" t="s">
        <v>18</v>
      </c>
      <c r="L625" t="str" cm="1">
        <f t="array" ref="L625">_xlfn.IFS(B625&lt;30,"18-29",B625&lt;45,"30-44",B625&lt;60,"45-59",B625&lt;75,"60-74",B625&lt;=90,"75-90")</f>
        <v>18-29</v>
      </c>
      <c r="M625" t="str">
        <f>IF(Table1[[#This Row],[length_of_stay_days]]&gt;7,"Yes","No")</f>
        <v>No</v>
      </c>
    </row>
    <row r="626" spans="1:13" x14ac:dyDescent="0.3">
      <c r="A626" t="s">
        <v>1013</v>
      </c>
      <c r="B626">
        <v>67</v>
      </c>
      <c r="C626" t="s">
        <v>20</v>
      </c>
      <c r="D626" t="s">
        <v>55</v>
      </c>
      <c r="E626" t="s">
        <v>28</v>
      </c>
      <c r="F626" t="s">
        <v>15</v>
      </c>
      <c r="G626" t="s">
        <v>246</v>
      </c>
      <c r="H626">
        <v>4</v>
      </c>
      <c r="I626" s="1">
        <v>8641.84</v>
      </c>
      <c r="J626" t="s">
        <v>17</v>
      </c>
      <c r="K626" t="s">
        <v>18</v>
      </c>
      <c r="L626" t="str" cm="1">
        <f t="array" ref="L626">_xlfn.IFS(B626&lt;30,"18-29",B626&lt;45,"30-44",B626&lt;60,"45-59",B626&lt;75,"60-74",B626&lt;=90,"75-90")</f>
        <v>60-74</v>
      </c>
      <c r="M626" t="str">
        <f>IF(Table1[[#This Row],[length_of_stay_days]]&gt;7,"Yes","No")</f>
        <v>No</v>
      </c>
    </row>
    <row r="627" spans="1:13" x14ac:dyDescent="0.3">
      <c r="A627" t="s">
        <v>1014</v>
      </c>
      <c r="B627">
        <v>24</v>
      </c>
      <c r="C627" t="s">
        <v>12</v>
      </c>
      <c r="D627" t="s">
        <v>13</v>
      </c>
      <c r="E627" t="s">
        <v>14</v>
      </c>
      <c r="F627" t="s">
        <v>163</v>
      </c>
      <c r="G627" t="s">
        <v>323</v>
      </c>
      <c r="H627">
        <v>4</v>
      </c>
      <c r="I627" s="1">
        <v>8290.75</v>
      </c>
      <c r="J627" t="s">
        <v>17</v>
      </c>
      <c r="K627" t="s">
        <v>18</v>
      </c>
      <c r="L627" t="str" cm="1">
        <f t="array" ref="L627">_xlfn.IFS(B627&lt;30,"18-29",B627&lt;45,"30-44",B627&lt;60,"45-59",B627&lt;75,"60-74",B627&lt;=90,"75-90")</f>
        <v>18-29</v>
      </c>
      <c r="M627" t="str">
        <f>IF(Table1[[#This Row],[length_of_stay_days]]&gt;7,"Yes","No")</f>
        <v>No</v>
      </c>
    </row>
    <row r="628" spans="1:13" x14ac:dyDescent="0.3">
      <c r="A628" t="s">
        <v>1015</v>
      </c>
      <c r="B628">
        <v>35</v>
      </c>
      <c r="C628" t="s">
        <v>20</v>
      </c>
      <c r="D628" t="s">
        <v>32</v>
      </c>
      <c r="E628" t="s">
        <v>28</v>
      </c>
      <c r="F628" t="s">
        <v>360</v>
      </c>
      <c r="G628" t="s">
        <v>121</v>
      </c>
      <c r="H628">
        <v>7</v>
      </c>
      <c r="I628" s="1">
        <v>12409.1</v>
      </c>
      <c r="J628" t="s">
        <v>17</v>
      </c>
      <c r="K628" t="s">
        <v>18</v>
      </c>
      <c r="L628" t="str" cm="1">
        <f t="array" ref="L628">_xlfn.IFS(B628&lt;30,"18-29",B628&lt;45,"30-44",B628&lt;60,"45-59",B628&lt;75,"60-74",B628&lt;=90,"75-90")</f>
        <v>30-44</v>
      </c>
      <c r="M628" t="str">
        <f>IF(Table1[[#This Row],[length_of_stay_days]]&gt;7,"Yes","No")</f>
        <v>No</v>
      </c>
    </row>
    <row r="629" spans="1:13" x14ac:dyDescent="0.3">
      <c r="A629" t="s">
        <v>1016</v>
      </c>
      <c r="B629">
        <v>24</v>
      </c>
      <c r="C629" t="s">
        <v>20</v>
      </c>
      <c r="D629" t="s">
        <v>28</v>
      </c>
      <c r="E629" t="s">
        <v>28</v>
      </c>
      <c r="F629" t="s">
        <v>231</v>
      </c>
      <c r="G629" t="s">
        <v>323</v>
      </c>
      <c r="H629">
        <v>8</v>
      </c>
      <c r="I629" s="1">
        <v>7212.38</v>
      </c>
      <c r="J629" t="s">
        <v>17</v>
      </c>
      <c r="K629" t="s">
        <v>18</v>
      </c>
      <c r="L629" t="str" cm="1">
        <f t="array" ref="L629">_xlfn.IFS(B629&lt;30,"18-29",B629&lt;45,"30-44",B629&lt;60,"45-59",B629&lt;75,"60-74",B629&lt;=90,"75-90")</f>
        <v>18-29</v>
      </c>
      <c r="M629" t="str">
        <f>IF(Table1[[#This Row],[length_of_stay_days]]&gt;7,"Yes","No")</f>
        <v>Yes</v>
      </c>
    </row>
    <row r="630" spans="1:13" x14ac:dyDescent="0.3">
      <c r="A630" t="s">
        <v>1017</v>
      </c>
      <c r="B630">
        <v>36</v>
      </c>
      <c r="C630" t="s">
        <v>12</v>
      </c>
      <c r="D630" t="s">
        <v>28</v>
      </c>
      <c r="E630" t="s">
        <v>21</v>
      </c>
      <c r="F630" t="s">
        <v>1018</v>
      </c>
      <c r="G630" t="s">
        <v>410</v>
      </c>
      <c r="H630">
        <v>4</v>
      </c>
      <c r="I630" s="1">
        <v>6210.03</v>
      </c>
      <c r="J630" t="s">
        <v>17</v>
      </c>
      <c r="K630" t="s">
        <v>18</v>
      </c>
      <c r="L630" t="str" cm="1">
        <f t="array" ref="L630">_xlfn.IFS(B630&lt;30,"18-29",B630&lt;45,"30-44",B630&lt;60,"45-59",B630&lt;75,"60-74",B630&lt;=90,"75-90")</f>
        <v>30-44</v>
      </c>
      <c r="M630" t="str">
        <f>IF(Table1[[#This Row],[length_of_stay_days]]&gt;7,"Yes","No")</f>
        <v>No</v>
      </c>
    </row>
    <row r="631" spans="1:13" x14ac:dyDescent="0.3">
      <c r="A631" t="s">
        <v>1019</v>
      </c>
      <c r="B631">
        <v>79</v>
      </c>
      <c r="C631" t="s">
        <v>12</v>
      </c>
      <c r="D631" t="s">
        <v>55</v>
      </c>
      <c r="E631" t="s">
        <v>14</v>
      </c>
      <c r="F631" t="s">
        <v>320</v>
      </c>
      <c r="G631" t="s">
        <v>250</v>
      </c>
      <c r="H631">
        <v>5</v>
      </c>
      <c r="I631" s="1">
        <v>9374.69</v>
      </c>
      <c r="J631" t="s">
        <v>17</v>
      </c>
      <c r="K631" t="s">
        <v>18</v>
      </c>
      <c r="L631" t="str" cm="1">
        <f t="array" ref="L631">_xlfn.IFS(B631&lt;30,"18-29",B631&lt;45,"30-44",B631&lt;60,"45-59",B631&lt;75,"60-74",B631&lt;=90,"75-90")</f>
        <v>75-90</v>
      </c>
      <c r="M631" t="str">
        <f>IF(Table1[[#This Row],[length_of_stay_days]]&gt;7,"Yes","No")</f>
        <v>No</v>
      </c>
    </row>
    <row r="632" spans="1:13" x14ac:dyDescent="0.3">
      <c r="A632" t="s">
        <v>1020</v>
      </c>
      <c r="B632">
        <v>49</v>
      </c>
      <c r="C632" t="s">
        <v>20</v>
      </c>
      <c r="D632" t="s">
        <v>28</v>
      </c>
      <c r="E632" t="s">
        <v>28</v>
      </c>
      <c r="F632" t="s">
        <v>222</v>
      </c>
      <c r="G632" t="s">
        <v>186</v>
      </c>
      <c r="H632">
        <v>3</v>
      </c>
      <c r="I632" s="1">
        <v>8409.26</v>
      </c>
      <c r="J632" t="s">
        <v>17</v>
      </c>
      <c r="K632" t="s">
        <v>18</v>
      </c>
      <c r="L632" t="str" cm="1">
        <f t="array" ref="L632">_xlfn.IFS(B632&lt;30,"18-29",B632&lt;45,"30-44",B632&lt;60,"45-59",B632&lt;75,"60-74",B632&lt;=90,"75-90")</f>
        <v>45-59</v>
      </c>
      <c r="M632" t="str">
        <f>IF(Table1[[#This Row],[length_of_stay_days]]&gt;7,"Yes","No")</f>
        <v>No</v>
      </c>
    </row>
    <row r="633" spans="1:13" x14ac:dyDescent="0.3">
      <c r="A633" t="s">
        <v>1021</v>
      </c>
      <c r="B633">
        <v>68</v>
      </c>
      <c r="C633" t="s">
        <v>12</v>
      </c>
      <c r="D633" t="s">
        <v>28</v>
      </c>
      <c r="E633" t="s">
        <v>14</v>
      </c>
      <c r="F633" t="s">
        <v>456</v>
      </c>
      <c r="G633" t="s">
        <v>201</v>
      </c>
      <c r="H633">
        <v>2</v>
      </c>
      <c r="I633" s="1">
        <v>3820.32</v>
      </c>
      <c r="J633" t="s">
        <v>17</v>
      </c>
      <c r="K633" t="s">
        <v>18</v>
      </c>
      <c r="L633" t="str" cm="1">
        <f t="array" ref="L633">_xlfn.IFS(B633&lt;30,"18-29",B633&lt;45,"30-44",B633&lt;60,"45-59",B633&lt;75,"60-74",B633&lt;=90,"75-90")</f>
        <v>60-74</v>
      </c>
      <c r="M633" t="str">
        <f>IF(Table1[[#This Row],[length_of_stay_days]]&gt;7,"Yes","No")</f>
        <v>No</v>
      </c>
    </row>
    <row r="634" spans="1:13" x14ac:dyDescent="0.3">
      <c r="A634" t="s">
        <v>1022</v>
      </c>
      <c r="B634">
        <v>80</v>
      </c>
      <c r="C634" t="s">
        <v>20</v>
      </c>
      <c r="D634" t="s">
        <v>13</v>
      </c>
      <c r="E634" t="s">
        <v>21</v>
      </c>
      <c r="F634" t="s">
        <v>217</v>
      </c>
      <c r="G634" t="s">
        <v>264</v>
      </c>
      <c r="H634">
        <v>5</v>
      </c>
      <c r="I634" s="1">
        <v>8547.2999999999993</v>
      </c>
      <c r="J634" t="s">
        <v>17</v>
      </c>
      <c r="K634" t="s">
        <v>18</v>
      </c>
      <c r="L634" t="str" cm="1">
        <f t="array" ref="L634">_xlfn.IFS(B634&lt;30,"18-29",B634&lt;45,"30-44",B634&lt;60,"45-59",B634&lt;75,"60-74",B634&lt;=90,"75-90")</f>
        <v>75-90</v>
      </c>
      <c r="M634" t="str">
        <f>IF(Table1[[#This Row],[length_of_stay_days]]&gt;7,"Yes","No")</f>
        <v>No</v>
      </c>
    </row>
    <row r="635" spans="1:13" x14ac:dyDescent="0.3">
      <c r="A635" t="s">
        <v>1023</v>
      </c>
      <c r="B635">
        <v>86</v>
      </c>
      <c r="C635" t="s">
        <v>20</v>
      </c>
      <c r="D635" t="s">
        <v>13</v>
      </c>
      <c r="E635" t="s">
        <v>28</v>
      </c>
      <c r="F635" t="s">
        <v>399</v>
      </c>
      <c r="G635" t="s">
        <v>327</v>
      </c>
      <c r="H635">
        <v>6</v>
      </c>
      <c r="I635" s="1">
        <v>7480.83</v>
      </c>
      <c r="J635" t="s">
        <v>49</v>
      </c>
      <c r="K635" t="s">
        <v>18</v>
      </c>
      <c r="L635" t="str" cm="1">
        <f t="array" ref="L635">_xlfn.IFS(B635&lt;30,"18-29",B635&lt;45,"30-44",B635&lt;60,"45-59",B635&lt;75,"60-74",B635&lt;=90,"75-90")</f>
        <v>75-90</v>
      </c>
      <c r="M635" t="str">
        <f>IF(Table1[[#This Row],[length_of_stay_days]]&gt;7,"Yes","No")</f>
        <v>No</v>
      </c>
    </row>
    <row r="636" spans="1:13" x14ac:dyDescent="0.3">
      <c r="A636" t="s">
        <v>1024</v>
      </c>
      <c r="B636">
        <v>59</v>
      </c>
      <c r="C636" t="s">
        <v>20</v>
      </c>
      <c r="D636" t="s">
        <v>46</v>
      </c>
      <c r="E636" t="s">
        <v>21</v>
      </c>
      <c r="F636" t="s">
        <v>447</v>
      </c>
      <c r="G636" t="s">
        <v>169</v>
      </c>
      <c r="H636">
        <v>8</v>
      </c>
      <c r="I636" s="1">
        <v>16633.599999999999</v>
      </c>
      <c r="J636" t="s">
        <v>49</v>
      </c>
      <c r="K636" t="s">
        <v>18</v>
      </c>
      <c r="L636" t="str" cm="1">
        <f t="array" ref="L636">_xlfn.IFS(B636&lt;30,"18-29",B636&lt;45,"30-44",B636&lt;60,"45-59",B636&lt;75,"60-74",B636&lt;=90,"75-90")</f>
        <v>45-59</v>
      </c>
      <c r="M636" t="str">
        <f>IF(Table1[[#This Row],[length_of_stay_days]]&gt;7,"Yes","No")</f>
        <v>Yes</v>
      </c>
    </row>
    <row r="637" spans="1:13" x14ac:dyDescent="0.3">
      <c r="A637" t="s">
        <v>1025</v>
      </c>
      <c r="B637">
        <v>39</v>
      </c>
      <c r="C637" t="s">
        <v>12</v>
      </c>
      <c r="D637" t="s">
        <v>28</v>
      </c>
      <c r="E637" t="s">
        <v>14</v>
      </c>
      <c r="F637" t="s">
        <v>138</v>
      </c>
      <c r="G637" t="s">
        <v>333</v>
      </c>
      <c r="H637">
        <v>1</v>
      </c>
      <c r="I637" s="1">
        <v>2393.9</v>
      </c>
      <c r="J637" t="s">
        <v>17</v>
      </c>
      <c r="K637" t="s">
        <v>18</v>
      </c>
      <c r="L637" t="str" cm="1">
        <f t="array" ref="L637">_xlfn.IFS(B637&lt;30,"18-29",B637&lt;45,"30-44",B637&lt;60,"45-59",B637&lt;75,"60-74",B637&lt;=90,"75-90")</f>
        <v>30-44</v>
      </c>
      <c r="M637" t="str">
        <f>IF(Table1[[#This Row],[length_of_stay_days]]&gt;7,"Yes","No")</f>
        <v>No</v>
      </c>
    </row>
    <row r="638" spans="1:13" x14ac:dyDescent="0.3">
      <c r="A638" t="s">
        <v>1026</v>
      </c>
      <c r="B638">
        <v>48</v>
      </c>
      <c r="C638" t="s">
        <v>70</v>
      </c>
      <c r="D638" t="s">
        <v>51</v>
      </c>
      <c r="E638" t="s">
        <v>14</v>
      </c>
      <c r="F638" t="s">
        <v>118</v>
      </c>
      <c r="G638" t="s">
        <v>333</v>
      </c>
      <c r="H638">
        <v>4</v>
      </c>
      <c r="I638" s="1">
        <v>11814.02</v>
      </c>
      <c r="J638" t="s">
        <v>17</v>
      </c>
      <c r="K638" t="s">
        <v>18</v>
      </c>
      <c r="L638" t="str" cm="1">
        <f t="array" ref="L638">_xlfn.IFS(B638&lt;30,"18-29",B638&lt;45,"30-44",B638&lt;60,"45-59",B638&lt;75,"60-74",B638&lt;=90,"75-90")</f>
        <v>45-59</v>
      </c>
      <c r="M638" t="str">
        <f>IF(Table1[[#This Row],[length_of_stay_days]]&gt;7,"Yes","No")</f>
        <v>No</v>
      </c>
    </row>
    <row r="639" spans="1:13" x14ac:dyDescent="0.3">
      <c r="A639" t="s">
        <v>1027</v>
      </c>
      <c r="B639">
        <v>41</v>
      </c>
      <c r="C639" t="s">
        <v>12</v>
      </c>
      <c r="D639" t="s">
        <v>55</v>
      </c>
      <c r="E639" t="s">
        <v>14</v>
      </c>
      <c r="F639" t="s">
        <v>158</v>
      </c>
      <c r="G639" t="s">
        <v>346</v>
      </c>
      <c r="H639">
        <v>4</v>
      </c>
      <c r="I639" s="1">
        <v>9952.39</v>
      </c>
      <c r="J639" t="s">
        <v>17</v>
      </c>
      <c r="K639" t="s">
        <v>18</v>
      </c>
      <c r="L639" t="str" cm="1">
        <f t="array" ref="L639">_xlfn.IFS(B639&lt;30,"18-29",B639&lt;45,"30-44",B639&lt;60,"45-59",B639&lt;75,"60-74",B639&lt;=90,"75-90")</f>
        <v>30-44</v>
      </c>
      <c r="M639" t="str">
        <f>IF(Table1[[#This Row],[length_of_stay_days]]&gt;7,"Yes","No")</f>
        <v>No</v>
      </c>
    </row>
    <row r="640" spans="1:13" x14ac:dyDescent="0.3">
      <c r="A640" t="s">
        <v>1028</v>
      </c>
      <c r="B640">
        <v>60</v>
      </c>
      <c r="C640" t="s">
        <v>12</v>
      </c>
      <c r="D640" t="s">
        <v>28</v>
      </c>
      <c r="E640" t="s">
        <v>28</v>
      </c>
      <c r="F640" t="s">
        <v>99</v>
      </c>
      <c r="G640" t="s">
        <v>581</v>
      </c>
      <c r="H640">
        <v>3</v>
      </c>
      <c r="I640" s="1">
        <v>6649.91</v>
      </c>
      <c r="J640" t="s">
        <v>17</v>
      </c>
      <c r="K640" t="s">
        <v>18</v>
      </c>
      <c r="L640" t="str" cm="1">
        <f t="array" ref="L640">_xlfn.IFS(B640&lt;30,"18-29",B640&lt;45,"30-44",B640&lt;60,"45-59",B640&lt;75,"60-74",B640&lt;=90,"75-90")</f>
        <v>60-74</v>
      </c>
      <c r="M640" t="str">
        <f>IF(Table1[[#This Row],[length_of_stay_days]]&gt;7,"Yes","No")</f>
        <v>No</v>
      </c>
    </row>
    <row r="641" spans="1:13" x14ac:dyDescent="0.3">
      <c r="A641" t="s">
        <v>1029</v>
      </c>
      <c r="B641">
        <v>21</v>
      </c>
      <c r="C641" t="s">
        <v>20</v>
      </c>
      <c r="D641" t="s">
        <v>28</v>
      </c>
      <c r="E641" t="s">
        <v>28</v>
      </c>
      <c r="F641" t="s">
        <v>454</v>
      </c>
      <c r="G641" t="s">
        <v>562</v>
      </c>
      <c r="H641">
        <v>5</v>
      </c>
      <c r="I641" s="1">
        <v>5875.99</v>
      </c>
      <c r="J641" t="s">
        <v>17</v>
      </c>
      <c r="K641" t="s">
        <v>18</v>
      </c>
      <c r="L641" t="str" cm="1">
        <f t="array" ref="L641">_xlfn.IFS(B641&lt;30,"18-29",B641&lt;45,"30-44",B641&lt;60,"45-59",B641&lt;75,"60-74",B641&lt;=90,"75-90")</f>
        <v>18-29</v>
      </c>
      <c r="M641" t="str">
        <f>IF(Table1[[#This Row],[length_of_stay_days]]&gt;7,"Yes","No")</f>
        <v>No</v>
      </c>
    </row>
    <row r="642" spans="1:13" x14ac:dyDescent="0.3">
      <c r="A642" t="s">
        <v>1030</v>
      </c>
      <c r="B642">
        <v>57</v>
      </c>
      <c r="C642" t="s">
        <v>20</v>
      </c>
      <c r="D642" t="s">
        <v>55</v>
      </c>
      <c r="E642" t="s">
        <v>14</v>
      </c>
      <c r="F642" t="s">
        <v>430</v>
      </c>
      <c r="G642" t="s">
        <v>1018</v>
      </c>
      <c r="H642">
        <v>5</v>
      </c>
      <c r="I642" s="1">
        <v>8392.61</v>
      </c>
      <c r="J642" t="s">
        <v>49</v>
      </c>
      <c r="K642" t="s">
        <v>18</v>
      </c>
      <c r="L642" t="str" cm="1">
        <f t="array" ref="L642">_xlfn.IFS(B642&lt;30,"18-29",B642&lt;45,"30-44",B642&lt;60,"45-59",B642&lt;75,"60-74",B642&lt;=90,"75-90")</f>
        <v>45-59</v>
      </c>
      <c r="M642" t="str">
        <f>IF(Table1[[#This Row],[length_of_stay_days]]&gt;7,"Yes","No")</f>
        <v>No</v>
      </c>
    </row>
    <row r="643" spans="1:13" x14ac:dyDescent="0.3">
      <c r="A643" t="s">
        <v>1031</v>
      </c>
      <c r="B643">
        <v>61</v>
      </c>
      <c r="C643" t="s">
        <v>12</v>
      </c>
      <c r="D643" t="s">
        <v>55</v>
      </c>
      <c r="E643" t="s">
        <v>14</v>
      </c>
      <c r="F643" t="s">
        <v>250</v>
      </c>
      <c r="G643" t="s">
        <v>778</v>
      </c>
      <c r="H643">
        <v>5</v>
      </c>
      <c r="I643" s="1">
        <v>7662.26</v>
      </c>
      <c r="J643" t="s">
        <v>17</v>
      </c>
      <c r="K643" t="s">
        <v>18</v>
      </c>
      <c r="L643" t="str" cm="1">
        <f t="array" ref="L643">_xlfn.IFS(B643&lt;30,"18-29",B643&lt;45,"30-44",B643&lt;60,"45-59",B643&lt;75,"60-74",B643&lt;=90,"75-90")</f>
        <v>60-74</v>
      </c>
      <c r="M643" t="str">
        <f>IF(Table1[[#This Row],[length_of_stay_days]]&gt;7,"Yes","No")</f>
        <v>No</v>
      </c>
    </row>
    <row r="644" spans="1:13" x14ac:dyDescent="0.3">
      <c r="A644" t="s">
        <v>1032</v>
      </c>
      <c r="B644">
        <v>64</v>
      </c>
      <c r="C644" t="s">
        <v>20</v>
      </c>
      <c r="D644" t="s">
        <v>55</v>
      </c>
      <c r="E644" t="s">
        <v>28</v>
      </c>
      <c r="F644" t="s">
        <v>228</v>
      </c>
      <c r="G644" t="s">
        <v>516</v>
      </c>
      <c r="H644">
        <v>5</v>
      </c>
      <c r="I644" s="1">
        <v>9628.16</v>
      </c>
      <c r="J644" t="s">
        <v>49</v>
      </c>
      <c r="K644" t="s">
        <v>18</v>
      </c>
      <c r="L644" t="str" cm="1">
        <f t="array" ref="L644">_xlfn.IFS(B644&lt;30,"18-29",B644&lt;45,"30-44",B644&lt;60,"45-59",B644&lt;75,"60-74",B644&lt;=90,"75-90")</f>
        <v>60-74</v>
      </c>
      <c r="M644" t="str">
        <f>IF(Table1[[#This Row],[length_of_stay_days]]&gt;7,"Yes","No")</f>
        <v>No</v>
      </c>
    </row>
    <row r="645" spans="1:13" x14ac:dyDescent="0.3">
      <c r="A645" t="s">
        <v>1033</v>
      </c>
      <c r="B645">
        <v>70</v>
      </c>
      <c r="C645" t="s">
        <v>12</v>
      </c>
      <c r="D645" t="s">
        <v>28</v>
      </c>
      <c r="E645" t="s">
        <v>28</v>
      </c>
      <c r="F645" t="s">
        <v>179</v>
      </c>
      <c r="G645" t="s">
        <v>216</v>
      </c>
      <c r="H645">
        <v>6</v>
      </c>
      <c r="I645" s="1">
        <v>6219.5</v>
      </c>
      <c r="J645" t="s">
        <v>49</v>
      </c>
      <c r="K645" t="s">
        <v>18</v>
      </c>
      <c r="L645" t="str" cm="1">
        <f t="array" ref="L645">_xlfn.IFS(B645&lt;30,"18-29",B645&lt;45,"30-44",B645&lt;60,"45-59",B645&lt;75,"60-74",B645&lt;=90,"75-90")</f>
        <v>60-74</v>
      </c>
      <c r="M645" t="str">
        <f>IF(Table1[[#This Row],[length_of_stay_days]]&gt;7,"Yes","No")</f>
        <v>No</v>
      </c>
    </row>
    <row r="646" spans="1:13" x14ac:dyDescent="0.3">
      <c r="A646" t="s">
        <v>1034</v>
      </c>
      <c r="B646">
        <v>66</v>
      </c>
      <c r="C646" t="s">
        <v>12</v>
      </c>
      <c r="D646" t="s">
        <v>13</v>
      </c>
      <c r="E646" t="s">
        <v>14</v>
      </c>
      <c r="F646" t="s">
        <v>656</v>
      </c>
      <c r="G646" t="s">
        <v>596</v>
      </c>
      <c r="H646">
        <v>7</v>
      </c>
      <c r="I646" s="1">
        <v>9233.64</v>
      </c>
      <c r="J646" t="s">
        <v>17</v>
      </c>
      <c r="K646" t="s">
        <v>18</v>
      </c>
      <c r="L646" t="str" cm="1">
        <f t="array" ref="L646">_xlfn.IFS(B646&lt;30,"18-29",B646&lt;45,"30-44",B646&lt;60,"45-59",B646&lt;75,"60-74",B646&lt;=90,"75-90")</f>
        <v>60-74</v>
      </c>
      <c r="M646" t="str">
        <f>IF(Table1[[#This Row],[length_of_stay_days]]&gt;7,"Yes","No")</f>
        <v>No</v>
      </c>
    </row>
    <row r="647" spans="1:13" x14ac:dyDescent="0.3">
      <c r="A647" t="s">
        <v>1035</v>
      </c>
      <c r="B647">
        <v>52</v>
      </c>
      <c r="C647" t="s">
        <v>20</v>
      </c>
      <c r="D647" t="s">
        <v>28</v>
      </c>
      <c r="E647" t="s">
        <v>14</v>
      </c>
      <c r="F647" t="s">
        <v>29</v>
      </c>
      <c r="G647" t="s">
        <v>271</v>
      </c>
      <c r="H647">
        <v>4</v>
      </c>
      <c r="I647" s="1">
        <v>2676.86</v>
      </c>
      <c r="J647" t="s">
        <v>17</v>
      </c>
      <c r="K647" t="s">
        <v>18</v>
      </c>
      <c r="L647" t="str" cm="1">
        <f t="array" ref="L647">_xlfn.IFS(B647&lt;30,"18-29",B647&lt;45,"30-44",B647&lt;60,"45-59",B647&lt;75,"60-74",B647&lt;=90,"75-90")</f>
        <v>45-59</v>
      </c>
      <c r="M647" t="str">
        <f>IF(Table1[[#This Row],[length_of_stay_days]]&gt;7,"Yes","No")</f>
        <v>No</v>
      </c>
    </row>
    <row r="648" spans="1:13" x14ac:dyDescent="0.3">
      <c r="A648" t="s">
        <v>1036</v>
      </c>
      <c r="B648">
        <v>25</v>
      </c>
      <c r="C648" t="s">
        <v>20</v>
      </c>
      <c r="D648" t="s">
        <v>32</v>
      </c>
      <c r="E648" t="s">
        <v>14</v>
      </c>
      <c r="F648" t="s">
        <v>360</v>
      </c>
      <c r="G648" t="s">
        <v>361</v>
      </c>
      <c r="H648">
        <v>5</v>
      </c>
      <c r="I648" s="1">
        <v>9888.4599999999991</v>
      </c>
      <c r="J648" t="s">
        <v>49</v>
      </c>
      <c r="K648" t="s">
        <v>18</v>
      </c>
      <c r="L648" t="str" cm="1">
        <f t="array" ref="L648">_xlfn.IFS(B648&lt;30,"18-29",B648&lt;45,"30-44",B648&lt;60,"45-59",B648&lt;75,"60-74",B648&lt;=90,"75-90")</f>
        <v>18-29</v>
      </c>
      <c r="M648" t="str">
        <f>IF(Table1[[#This Row],[length_of_stay_days]]&gt;7,"Yes","No")</f>
        <v>No</v>
      </c>
    </row>
    <row r="649" spans="1:13" x14ac:dyDescent="0.3">
      <c r="A649" t="s">
        <v>1037</v>
      </c>
      <c r="B649">
        <v>74</v>
      </c>
      <c r="C649" t="s">
        <v>20</v>
      </c>
      <c r="D649" t="s">
        <v>51</v>
      </c>
      <c r="E649" t="s">
        <v>21</v>
      </c>
      <c r="F649" t="s">
        <v>155</v>
      </c>
      <c r="G649" t="s">
        <v>337</v>
      </c>
      <c r="H649">
        <v>7</v>
      </c>
      <c r="I649" s="1">
        <v>13138.44</v>
      </c>
      <c r="J649" t="s">
        <v>17</v>
      </c>
      <c r="K649" t="s">
        <v>18</v>
      </c>
      <c r="L649" t="str" cm="1">
        <f t="array" ref="L649">_xlfn.IFS(B649&lt;30,"18-29",B649&lt;45,"30-44",B649&lt;60,"45-59",B649&lt;75,"60-74",B649&lt;=90,"75-90")</f>
        <v>60-74</v>
      </c>
      <c r="M649" t="str">
        <f>IF(Table1[[#This Row],[length_of_stay_days]]&gt;7,"Yes","No")</f>
        <v>No</v>
      </c>
    </row>
    <row r="650" spans="1:13" x14ac:dyDescent="0.3">
      <c r="A650" t="s">
        <v>1038</v>
      </c>
      <c r="B650">
        <v>41</v>
      </c>
      <c r="C650" t="s">
        <v>12</v>
      </c>
      <c r="D650" t="s">
        <v>46</v>
      </c>
      <c r="E650" t="s">
        <v>28</v>
      </c>
      <c r="F650" t="s">
        <v>434</v>
      </c>
      <c r="G650" t="s">
        <v>565</v>
      </c>
      <c r="H650">
        <v>11</v>
      </c>
      <c r="I650" s="1">
        <v>18733.689999999999</v>
      </c>
      <c r="J650" t="s">
        <v>17</v>
      </c>
      <c r="K650" t="s">
        <v>18</v>
      </c>
      <c r="L650" t="str" cm="1">
        <f t="array" ref="L650">_xlfn.IFS(B650&lt;30,"18-29",B650&lt;45,"30-44",B650&lt;60,"45-59",B650&lt;75,"60-74",B650&lt;=90,"75-90")</f>
        <v>30-44</v>
      </c>
      <c r="M650" t="str">
        <f>IF(Table1[[#This Row],[length_of_stay_days]]&gt;7,"Yes","No")</f>
        <v>Yes</v>
      </c>
    </row>
    <row r="651" spans="1:13" x14ac:dyDescent="0.3">
      <c r="A651" t="s">
        <v>1039</v>
      </c>
      <c r="B651">
        <v>39</v>
      </c>
      <c r="C651" t="s">
        <v>20</v>
      </c>
      <c r="D651" t="s">
        <v>13</v>
      </c>
      <c r="E651" t="s">
        <v>28</v>
      </c>
      <c r="F651" t="s">
        <v>225</v>
      </c>
      <c r="G651" t="s">
        <v>96</v>
      </c>
      <c r="H651">
        <v>4</v>
      </c>
      <c r="I651" s="1">
        <v>6520.17</v>
      </c>
      <c r="J651" t="s">
        <v>17</v>
      </c>
      <c r="K651" t="s">
        <v>18</v>
      </c>
      <c r="L651" t="str" cm="1">
        <f t="array" ref="L651">_xlfn.IFS(B651&lt;30,"18-29",B651&lt;45,"30-44",B651&lt;60,"45-59",B651&lt;75,"60-74",B651&lt;=90,"75-90")</f>
        <v>30-44</v>
      </c>
      <c r="M651" t="str">
        <f>IF(Table1[[#This Row],[length_of_stay_days]]&gt;7,"Yes","No")</f>
        <v>No</v>
      </c>
    </row>
    <row r="652" spans="1:13" x14ac:dyDescent="0.3">
      <c r="A652" t="s">
        <v>1040</v>
      </c>
      <c r="B652">
        <v>42</v>
      </c>
      <c r="C652" t="s">
        <v>20</v>
      </c>
      <c r="D652" t="s">
        <v>32</v>
      </c>
      <c r="E652" t="s">
        <v>28</v>
      </c>
      <c r="F652" t="s">
        <v>616</v>
      </c>
      <c r="G652" t="s">
        <v>258</v>
      </c>
      <c r="H652">
        <v>7</v>
      </c>
      <c r="I652" s="1">
        <v>12142.8</v>
      </c>
      <c r="J652" t="s">
        <v>17</v>
      </c>
      <c r="K652" t="s">
        <v>18</v>
      </c>
      <c r="L652" t="str" cm="1">
        <f t="array" ref="L652">_xlfn.IFS(B652&lt;30,"18-29",B652&lt;45,"30-44",B652&lt;60,"45-59",B652&lt;75,"60-74",B652&lt;=90,"75-90")</f>
        <v>30-44</v>
      </c>
      <c r="M652" t="str">
        <f>IF(Table1[[#This Row],[length_of_stay_days]]&gt;7,"Yes","No")</f>
        <v>No</v>
      </c>
    </row>
    <row r="653" spans="1:13" x14ac:dyDescent="0.3">
      <c r="A653" t="s">
        <v>1041</v>
      </c>
      <c r="B653">
        <v>53</v>
      </c>
      <c r="C653" t="s">
        <v>20</v>
      </c>
      <c r="D653" t="s">
        <v>13</v>
      </c>
      <c r="E653" t="s">
        <v>28</v>
      </c>
      <c r="F653" t="s">
        <v>312</v>
      </c>
      <c r="G653" t="s">
        <v>90</v>
      </c>
      <c r="H653">
        <v>6</v>
      </c>
      <c r="I653" s="1">
        <v>7307.73</v>
      </c>
      <c r="J653" t="s">
        <v>17</v>
      </c>
      <c r="K653" t="s">
        <v>18</v>
      </c>
      <c r="L653" t="str" cm="1">
        <f t="array" ref="L653">_xlfn.IFS(B653&lt;30,"18-29",B653&lt;45,"30-44",B653&lt;60,"45-59",B653&lt;75,"60-74",B653&lt;=90,"75-90")</f>
        <v>45-59</v>
      </c>
      <c r="M653" t="str">
        <f>IF(Table1[[#This Row],[length_of_stay_days]]&gt;7,"Yes","No")</f>
        <v>No</v>
      </c>
    </row>
    <row r="654" spans="1:13" x14ac:dyDescent="0.3">
      <c r="A654" t="s">
        <v>1042</v>
      </c>
      <c r="B654">
        <v>85</v>
      </c>
      <c r="C654" t="s">
        <v>12</v>
      </c>
      <c r="D654" t="s">
        <v>55</v>
      </c>
      <c r="E654" t="s">
        <v>28</v>
      </c>
      <c r="F654" t="s">
        <v>609</v>
      </c>
      <c r="G654" t="s">
        <v>214</v>
      </c>
      <c r="H654">
        <v>8</v>
      </c>
      <c r="I654" s="1">
        <v>13147.38</v>
      </c>
      <c r="J654" t="s">
        <v>17</v>
      </c>
      <c r="K654" t="s">
        <v>18</v>
      </c>
      <c r="L654" t="str" cm="1">
        <f t="array" ref="L654">_xlfn.IFS(B654&lt;30,"18-29",B654&lt;45,"30-44",B654&lt;60,"45-59",B654&lt;75,"60-74",B654&lt;=90,"75-90")</f>
        <v>75-90</v>
      </c>
      <c r="M654" t="str">
        <f>IF(Table1[[#This Row],[length_of_stay_days]]&gt;7,"Yes","No")</f>
        <v>Yes</v>
      </c>
    </row>
    <row r="655" spans="1:13" x14ac:dyDescent="0.3">
      <c r="A655" t="s">
        <v>1043</v>
      </c>
      <c r="B655">
        <v>21</v>
      </c>
      <c r="C655" t="s">
        <v>12</v>
      </c>
      <c r="D655" t="s">
        <v>51</v>
      </c>
      <c r="E655" t="s">
        <v>14</v>
      </c>
      <c r="F655" t="s">
        <v>554</v>
      </c>
      <c r="G655" t="s">
        <v>620</v>
      </c>
      <c r="H655">
        <v>5</v>
      </c>
      <c r="I655" s="1">
        <v>11668.27</v>
      </c>
      <c r="J655" t="s">
        <v>17</v>
      </c>
      <c r="K655" t="s">
        <v>18</v>
      </c>
      <c r="L655" t="str" cm="1">
        <f t="array" ref="L655">_xlfn.IFS(B655&lt;30,"18-29",B655&lt;45,"30-44",B655&lt;60,"45-59",B655&lt;75,"60-74",B655&lt;=90,"75-90")</f>
        <v>18-29</v>
      </c>
      <c r="M655" t="str">
        <f>IF(Table1[[#This Row],[length_of_stay_days]]&gt;7,"Yes","No")</f>
        <v>No</v>
      </c>
    </row>
    <row r="656" spans="1:13" x14ac:dyDescent="0.3">
      <c r="A656" t="s">
        <v>1044</v>
      </c>
      <c r="B656">
        <v>67</v>
      </c>
      <c r="C656" t="s">
        <v>12</v>
      </c>
      <c r="D656" t="s">
        <v>46</v>
      </c>
      <c r="E656" t="s">
        <v>28</v>
      </c>
      <c r="F656" t="s">
        <v>399</v>
      </c>
      <c r="G656" t="s">
        <v>509</v>
      </c>
      <c r="H656">
        <v>5</v>
      </c>
      <c r="I656" s="1">
        <v>12124.9</v>
      </c>
      <c r="J656" t="s">
        <v>17</v>
      </c>
      <c r="K656" t="s">
        <v>18</v>
      </c>
      <c r="L656" t="str" cm="1">
        <f t="array" ref="L656">_xlfn.IFS(B656&lt;30,"18-29",B656&lt;45,"30-44",B656&lt;60,"45-59",B656&lt;75,"60-74",B656&lt;=90,"75-90")</f>
        <v>60-74</v>
      </c>
      <c r="M656" t="str">
        <f>IF(Table1[[#This Row],[length_of_stay_days]]&gt;7,"Yes","No")</f>
        <v>No</v>
      </c>
    </row>
    <row r="657" spans="1:13" x14ac:dyDescent="0.3">
      <c r="A657" t="s">
        <v>1045</v>
      </c>
      <c r="B657">
        <v>46</v>
      </c>
      <c r="C657" t="s">
        <v>20</v>
      </c>
      <c r="D657" t="s">
        <v>32</v>
      </c>
      <c r="E657" t="s">
        <v>21</v>
      </c>
      <c r="F657" t="s">
        <v>366</v>
      </c>
      <c r="G657" t="s">
        <v>40</v>
      </c>
      <c r="H657">
        <v>4</v>
      </c>
      <c r="I657" s="1">
        <v>8406.39</v>
      </c>
      <c r="J657" t="s">
        <v>49</v>
      </c>
      <c r="K657" t="s">
        <v>18</v>
      </c>
      <c r="L657" t="str" cm="1">
        <f t="array" ref="L657">_xlfn.IFS(B657&lt;30,"18-29",B657&lt;45,"30-44",B657&lt;60,"45-59",B657&lt;75,"60-74",B657&lt;=90,"75-90")</f>
        <v>45-59</v>
      </c>
      <c r="M657" t="str">
        <f>IF(Table1[[#This Row],[length_of_stay_days]]&gt;7,"Yes","No")</f>
        <v>No</v>
      </c>
    </row>
    <row r="658" spans="1:13" x14ac:dyDescent="0.3">
      <c r="A658" t="s">
        <v>1046</v>
      </c>
      <c r="B658">
        <v>60</v>
      </c>
      <c r="C658" t="s">
        <v>20</v>
      </c>
      <c r="D658" t="s">
        <v>32</v>
      </c>
      <c r="E658" t="s">
        <v>14</v>
      </c>
      <c r="F658" t="s">
        <v>72</v>
      </c>
      <c r="G658" t="s">
        <v>304</v>
      </c>
      <c r="H658">
        <v>4</v>
      </c>
      <c r="I658" s="1">
        <v>8999.18</v>
      </c>
      <c r="J658" t="s">
        <v>17</v>
      </c>
      <c r="K658" t="s">
        <v>18</v>
      </c>
      <c r="L658" t="str" cm="1">
        <f t="array" ref="L658">_xlfn.IFS(B658&lt;30,"18-29",B658&lt;45,"30-44",B658&lt;60,"45-59",B658&lt;75,"60-74",B658&lt;=90,"75-90")</f>
        <v>60-74</v>
      </c>
      <c r="M658" t="str">
        <f>IF(Table1[[#This Row],[length_of_stay_days]]&gt;7,"Yes","No")</f>
        <v>No</v>
      </c>
    </row>
    <row r="659" spans="1:13" x14ac:dyDescent="0.3">
      <c r="A659" t="s">
        <v>1047</v>
      </c>
      <c r="B659">
        <v>51</v>
      </c>
      <c r="C659" t="s">
        <v>12</v>
      </c>
      <c r="D659" t="s">
        <v>32</v>
      </c>
      <c r="E659" t="s">
        <v>14</v>
      </c>
      <c r="F659" t="s">
        <v>339</v>
      </c>
      <c r="G659" t="s">
        <v>132</v>
      </c>
      <c r="H659">
        <v>1</v>
      </c>
      <c r="I659" s="1">
        <v>8528.31</v>
      </c>
      <c r="J659" t="s">
        <v>17</v>
      </c>
      <c r="K659" t="s">
        <v>18</v>
      </c>
      <c r="L659" t="str" cm="1">
        <f t="array" ref="L659">_xlfn.IFS(B659&lt;30,"18-29",B659&lt;45,"30-44",B659&lt;60,"45-59",B659&lt;75,"60-74",B659&lt;=90,"75-90")</f>
        <v>45-59</v>
      </c>
      <c r="M659" t="str">
        <f>IF(Table1[[#This Row],[length_of_stay_days]]&gt;7,"Yes","No")</f>
        <v>No</v>
      </c>
    </row>
    <row r="660" spans="1:13" x14ac:dyDescent="0.3">
      <c r="A660" t="s">
        <v>1048</v>
      </c>
      <c r="B660">
        <v>62</v>
      </c>
      <c r="C660" t="s">
        <v>20</v>
      </c>
      <c r="D660" t="s">
        <v>55</v>
      </c>
      <c r="E660" t="s">
        <v>28</v>
      </c>
      <c r="F660" t="s">
        <v>29</v>
      </c>
      <c r="G660" t="s">
        <v>358</v>
      </c>
      <c r="H660">
        <v>8</v>
      </c>
      <c r="I660" s="1">
        <v>7894.82</v>
      </c>
      <c r="J660" t="s">
        <v>17</v>
      </c>
      <c r="K660" t="s">
        <v>18</v>
      </c>
      <c r="L660" t="str" cm="1">
        <f t="array" ref="L660">_xlfn.IFS(B660&lt;30,"18-29",B660&lt;45,"30-44",B660&lt;60,"45-59",B660&lt;75,"60-74",B660&lt;=90,"75-90")</f>
        <v>60-74</v>
      </c>
      <c r="M660" t="str">
        <f>IF(Table1[[#This Row],[length_of_stay_days]]&gt;7,"Yes","No")</f>
        <v>Yes</v>
      </c>
    </row>
    <row r="661" spans="1:13" x14ac:dyDescent="0.3">
      <c r="A661" t="s">
        <v>1049</v>
      </c>
      <c r="B661">
        <v>18</v>
      </c>
      <c r="C661" t="s">
        <v>12</v>
      </c>
      <c r="D661" t="s">
        <v>51</v>
      </c>
      <c r="E661" t="s">
        <v>28</v>
      </c>
      <c r="F661" t="s">
        <v>293</v>
      </c>
      <c r="G661" t="s">
        <v>462</v>
      </c>
      <c r="H661">
        <v>6</v>
      </c>
      <c r="I661" s="1">
        <v>12133.29</v>
      </c>
      <c r="J661" t="s">
        <v>17</v>
      </c>
      <c r="K661" t="s">
        <v>223</v>
      </c>
      <c r="L661" t="str" cm="1">
        <f t="array" ref="L661">_xlfn.IFS(B661&lt;30,"18-29",B661&lt;45,"30-44",B661&lt;60,"45-59",B661&lt;75,"60-74",B661&lt;=90,"75-90")</f>
        <v>18-29</v>
      </c>
      <c r="M661" t="str">
        <f>IF(Table1[[#This Row],[length_of_stay_days]]&gt;7,"Yes","No")</f>
        <v>No</v>
      </c>
    </row>
    <row r="662" spans="1:13" x14ac:dyDescent="0.3">
      <c r="A662" t="s">
        <v>1050</v>
      </c>
      <c r="B662">
        <v>27</v>
      </c>
      <c r="C662" t="s">
        <v>20</v>
      </c>
      <c r="D662" t="s">
        <v>28</v>
      </c>
      <c r="E662" t="s">
        <v>14</v>
      </c>
      <c r="F662" t="s">
        <v>547</v>
      </c>
      <c r="G662" t="s">
        <v>620</v>
      </c>
      <c r="H662">
        <v>1</v>
      </c>
      <c r="I662" s="1">
        <v>1871.15</v>
      </c>
      <c r="J662" t="s">
        <v>17</v>
      </c>
      <c r="K662" t="s">
        <v>18</v>
      </c>
      <c r="L662" t="str" cm="1">
        <f t="array" ref="L662">_xlfn.IFS(B662&lt;30,"18-29",B662&lt;45,"30-44",B662&lt;60,"45-59",B662&lt;75,"60-74",B662&lt;=90,"75-90")</f>
        <v>18-29</v>
      </c>
      <c r="M662" t="str">
        <f>IF(Table1[[#This Row],[length_of_stay_days]]&gt;7,"Yes","No")</f>
        <v>No</v>
      </c>
    </row>
    <row r="663" spans="1:13" x14ac:dyDescent="0.3">
      <c r="A663" t="s">
        <v>1051</v>
      </c>
      <c r="B663">
        <v>82</v>
      </c>
      <c r="C663" t="s">
        <v>20</v>
      </c>
      <c r="D663" t="s">
        <v>13</v>
      </c>
      <c r="E663" t="s">
        <v>21</v>
      </c>
      <c r="F663" t="s">
        <v>16</v>
      </c>
      <c r="G663" t="s">
        <v>89</v>
      </c>
      <c r="H663">
        <v>6</v>
      </c>
      <c r="I663" s="1">
        <v>8365.1200000000008</v>
      </c>
      <c r="J663" t="s">
        <v>17</v>
      </c>
      <c r="K663" t="s">
        <v>18</v>
      </c>
      <c r="L663" t="str" cm="1">
        <f t="array" ref="L663">_xlfn.IFS(B663&lt;30,"18-29",B663&lt;45,"30-44",B663&lt;60,"45-59",B663&lt;75,"60-74",B663&lt;=90,"75-90")</f>
        <v>75-90</v>
      </c>
      <c r="M663" t="str">
        <f>IF(Table1[[#This Row],[length_of_stay_days]]&gt;7,"Yes","No")</f>
        <v>No</v>
      </c>
    </row>
    <row r="664" spans="1:13" x14ac:dyDescent="0.3">
      <c r="A664" t="s">
        <v>1052</v>
      </c>
      <c r="B664">
        <v>41</v>
      </c>
      <c r="C664" t="s">
        <v>20</v>
      </c>
      <c r="D664" t="s">
        <v>46</v>
      </c>
      <c r="E664" t="s">
        <v>28</v>
      </c>
      <c r="F664" t="s">
        <v>252</v>
      </c>
      <c r="G664" t="s">
        <v>99</v>
      </c>
      <c r="H664">
        <v>3</v>
      </c>
      <c r="I664" s="1">
        <v>11115.68</v>
      </c>
      <c r="J664" t="s">
        <v>49</v>
      </c>
      <c r="K664" t="s">
        <v>18</v>
      </c>
      <c r="L664" t="str" cm="1">
        <f t="array" ref="L664">_xlfn.IFS(B664&lt;30,"18-29",B664&lt;45,"30-44",B664&lt;60,"45-59",B664&lt;75,"60-74",B664&lt;=90,"75-90")</f>
        <v>30-44</v>
      </c>
      <c r="M664" t="str">
        <f>IF(Table1[[#This Row],[length_of_stay_days]]&gt;7,"Yes","No")</f>
        <v>No</v>
      </c>
    </row>
    <row r="665" spans="1:13" x14ac:dyDescent="0.3">
      <c r="A665" t="s">
        <v>1053</v>
      </c>
      <c r="B665">
        <v>71</v>
      </c>
      <c r="C665" t="s">
        <v>70</v>
      </c>
      <c r="D665" t="s">
        <v>13</v>
      </c>
      <c r="E665" t="s">
        <v>28</v>
      </c>
      <c r="F665" t="s">
        <v>656</v>
      </c>
      <c r="G665" t="s">
        <v>1054</v>
      </c>
      <c r="H665">
        <v>4</v>
      </c>
      <c r="I665" s="1">
        <v>10072.34</v>
      </c>
      <c r="J665" t="s">
        <v>17</v>
      </c>
      <c r="K665" t="s">
        <v>18</v>
      </c>
      <c r="L665" t="str" cm="1">
        <f t="array" ref="L665">_xlfn.IFS(B665&lt;30,"18-29",B665&lt;45,"30-44",B665&lt;60,"45-59",B665&lt;75,"60-74",B665&lt;=90,"75-90")</f>
        <v>60-74</v>
      </c>
      <c r="M665" t="str">
        <f>IF(Table1[[#This Row],[length_of_stay_days]]&gt;7,"Yes","No")</f>
        <v>No</v>
      </c>
    </row>
    <row r="666" spans="1:13" x14ac:dyDescent="0.3">
      <c r="A666" t="s">
        <v>1055</v>
      </c>
      <c r="B666">
        <v>44</v>
      </c>
      <c r="C666" t="s">
        <v>20</v>
      </c>
      <c r="D666" t="s">
        <v>28</v>
      </c>
      <c r="E666" t="s">
        <v>14</v>
      </c>
      <c r="F666" t="s">
        <v>683</v>
      </c>
      <c r="G666" t="s">
        <v>852</v>
      </c>
      <c r="H666">
        <v>4</v>
      </c>
      <c r="I666" s="1">
        <v>3463.74</v>
      </c>
      <c r="J666" t="s">
        <v>17</v>
      </c>
      <c r="K666" t="s">
        <v>44</v>
      </c>
      <c r="L666" t="str" cm="1">
        <f t="array" ref="L666">_xlfn.IFS(B666&lt;30,"18-29",B666&lt;45,"30-44",B666&lt;60,"45-59",B666&lt;75,"60-74",B666&lt;=90,"75-90")</f>
        <v>30-44</v>
      </c>
      <c r="M666" t="str">
        <f>IF(Table1[[#This Row],[length_of_stay_days]]&gt;7,"Yes","No")</f>
        <v>No</v>
      </c>
    </row>
    <row r="667" spans="1:13" x14ac:dyDescent="0.3">
      <c r="A667" t="s">
        <v>1056</v>
      </c>
      <c r="B667">
        <v>58</v>
      </c>
      <c r="C667" t="s">
        <v>12</v>
      </c>
      <c r="D667" t="s">
        <v>32</v>
      </c>
      <c r="E667" t="s">
        <v>28</v>
      </c>
      <c r="F667" t="s">
        <v>516</v>
      </c>
      <c r="G667" t="s">
        <v>517</v>
      </c>
      <c r="H667">
        <v>7</v>
      </c>
      <c r="I667" s="1">
        <v>11837.94</v>
      </c>
      <c r="J667" t="s">
        <v>49</v>
      </c>
      <c r="K667" t="s">
        <v>18</v>
      </c>
      <c r="L667" t="str" cm="1">
        <f t="array" ref="L667">_xlfn.IFS(B667&lt;30,"18-29",B667&lt;45,"30-44",B667&lt;60,"45-59",B667&lt;75,"60-74",B667&lt;=90,"75-90")</f>
        <v>45-59</v>
      </c>
      <c r="M667" t="str">
        <f>IF(Table1[[#This Row],[length_of_stay_days]]&gt;7,"Yes","No")</f>
        <v>No</v>
      </c>
    </row>
    <row r="668" spans="1:13" x14ac:dyDescent="0.3">
      <c r="A668" t="s">
        <v>1057</v>
      </c>
      <c r="B668">
        <v>78</v>
      </c>
      <c r="C668" t="s">
        <v>20</v>
      </c>
      <c r="D668" t="s">
        <v>28</v>
      </c>
      <c r="E668" t="s">
        <v>21</v>
      </c>
      <c r="F668" t="s">
        <v>293</v>
      </c>
      <c r="G668" t="s">
        <v>462</v>
      </c>
      <c r="H668">
        <v>6</v>
      </c>
      <c r="I668" s="1">
        <v>8587.8700000000008</v>
      </c>
      <c r="J668" t="s">
        <v>17</v>
      </c>
      <c r="K668" t="s">
        <v>18</v>
      </c>
      <c r="L668" t="str" cm="1">
        <f t="array" ref="L668">_xlfn.IFS(B668&lt;30,"18-29",B668&lt;45,"30-44",B668&lt;60,"45-59",B668&lt;75,"60-74",B668&lt;=90,"75-90")</f>
        <v>75-90</v>
      </c>
      <c r="M668" t="str">
        <f>IF(Table1[[#This Row],[length_of_stay_days]]&gt;7,"Yes","No")</f>
        <v>No</v>
      </c>
    </row>
    <row r="669" spans="1:13" x14ac:dyDescent="0.3">
      <c r="A669" t="s">
        <v>1058</v>
      </c>
      <c r="B669">
        <v>54</v>
      </c>
      <c r="C669" t="s">
        <v>12</v>
      </c>
      <c r="D669" t="s">
        <v>13</v>
      </c>
      <c r="E669" t="s">
        <v>14</v>
      </c>
      <c r="F669" t="s">
        <v>43</v>
      </c>
      <c r="G669" t="s">
        <v>234</v>
      </c>
      <c r="H669">
        <v>7</v>
      </c>
      <c r="I669" s="1">
        <v>8294.66</v>
      </c>
      <c r="J669" t="s">
        <v>17</v>
      </c>
      <c r="K669" t="s">
        <v>18</v>
      </c>
      <c r="L669" t="str" cm="1">
        <f t="array" ref="L669">_xlfn.IFS(B669&lt;30,"18-29",B669&lt;45,"30-44",B669&lt;60,"45-59",B669&lt;75,"60-74",B669&lt;=90,"75-90")</f>
        <v>45-59</v>
      </c>
      <c r="M669" t="str">
        <f>IF(Table1[[#This Row],[length_of_stay_days]]&gt;7,"Yes","No")</f>
        <v>No</v>
      </c>
    </row>
    <row r="670" spans="1:13" x14ac:dyDescent="0.3">
      <c r="A670" t="s">
        <v>1059</v>
      </c>
      <c r="B670">
        <v>21</v>
      </c>
      <c r="C670" t="s">
        <v>20</v>
      </c>
      <c r="D670" t="s">
        <v>13</v>
      </c>
      <c r="E670" t="s">
        <v>14</v>
      </c>
      <c r="F670" t="s">
        <v>478</v>
      </c>
      <c r="G670" t="s">
        <v>823</v>
      </c>
      <c r="H670">
        <v>3</v>
      </c>
      <c r="I670" s="1">
        <v>5040.3100000000004</v>
      </c>
      <c r="J670" t="s">
        <v>17</v>
      </c>
      <c r="K670" t="s">
        <v>18</v>
      </c>
      <c r="L670" t="str" cm="1">
        <f t="array" ref="L670">_xlfn.IFS(B670&lt;30,"18-29",B670&lt;45,"30-44",B670&lt;60,"45-59",B670&lt;75,"60-74",B670&lt;=90,"75-90")</f>
        <v>18-29</v>
      </c>
      <c r="M670" t="str">
        <f>IF(Table1[[#This Row],[length_of_stay_days]]&gt;7,"Yes","No")</f>
        <v>No</v>
      </c>
    </row>
    <row r="671" spans="1:13" x14ac:dyDescent="0.3">
      <c r="A671" t="s">
        <v>1060</v>
      </c>
      <c r="B671">
        <v>30</v>
      </c>
      <c r="C671" t="s">
        <v>12</v>
      </c>
      <c r="D671" t="s">
        <v>13</v>
      </c>
      <c r="E671" t="s">
        <v>28</v>
      </c>
      <c r="F671" t="s">
        <v>250</v>
      </c>
      <c r="G671" t="s">
        <v>98</v>
      </c>
      <c r="H671">
        <v>7</v>
      </c>
      <c r="I671" s="1">
        <v>6657.82</v>
      </c>
      <c r="J671" t="s">
        <v>17</v>
      </c>
      <c r="K671" t="s">
        <v>18</v>
      </c>
      <c r="L671" t="str" cm="1">
        <f t="array" ref="L671">_xlfn.IFS(B671&lt;30,"18-29",B671&lt;45,"30-44",B671&lt;60,"45-59",B671&lt;75,"60-74",B671&lt;=90,"75-90")</f>
        <v>30-44</v>
      </c>
      <c r="M671" t="str">
        <f>IF(Table1[[#This Row],[length_of_stay_days]]&gt;7,"Yes","No")</f>
        <v>No</v>
      </c>
    </row>
    <row r="672" spans="1:13" x14ac:dyDescent="0.3">
      <c r="A672" t="s">
        <v>1061</v>
      </c>
      <c r="B672">
        <v>55</v>
      </c>
      <c r="C672" t="s">
        <v>12</v>
      </c>
      <c r="D672" t="s">
        <v>32</v>
      </c>
      <c r="E672" t="s">
        <v>28</v>
      </c>
      <c r="F672" t="s">
        <v>263</v>
      </c>
      <c r="G672" t="s">
        <v>106</v>
      </c>
      <c r="H672">
        <v>7</v>
      </c>
      <c r="I672" s="1">
        <v>14858.12</v>
      </c>
      <c r="J672" t="s">
        <v>17</v>
      </c>
      <c r="K672" t="s">
        <v>18</v>
      </c>
      <c r="L672" t="str" cm="1">
        <f t="array" ref="L672">_xlfn.IFS(B672&lt;30,"18-29",B672&lt;45,"30-44",B672&lt;60,"45-59",B672&lt;75,"60-74",B672&lt;=90,"75-90")</f>
        <v>45-59</v>
      </c>
      <c r="M672" t="str">
        <f>IF(Table1[[#This Row],[length_of_stay_days]]&gt;7,"Yes","No")</f>
        <v>No</v>
      </c>
    </row>
    <row r="673" spans="1:13" x14ac:dyDescent="0.3">
      <c r="A673" t="s">
        <v>1062</v>
      </c>
      <c r="B673">
        <v>66</v>
      </c>
      <c r="C673" t="s">
        <v>20</v>
      </c>
      <c r="D673" t="s">
        <v>32</v>
      </c>
      <c r="E673" t="s">
        <v>14</v>
      </c>
      <c r="F673" t="s">
        <v>87</v>
      </c>
      <c r="G673" t="s">
        <v>285</v>
      </c>
      <c r="H673">
        <v>6</v>
      </c>
      <c r="I673" s="1">
        <v>11752.5</v>
      </c>
      <c r="J673" t="s">
        <v>49</v>
      </c>
      <c r="K673" t="s">
        <v>18</v>
      </c>
      <c r="L673" t="str" cm="1">
        <f t="array" ref="L673">_xlfn.IFS(B673&lt;30,"18-29",B673&lt;45,"30-44",B673&lt;60,"45-59",B673&lt;75,"60-74",B673&lt;=90,"75-90")</f>
        <v>60-74</v>
      </c>
      <c r="M673" t="str">
        <f>IF(Table1[[#This Row],[length_of_stay_days]]&gt;7,"Yes","No")</f>
        <v>No</v>
      </c>
    </row>
    <row r="674" spans="1:13" x14ac:dyDescent="0.3">
      <c r="A674" t="s">
        <v>1063</v>
      </c>
      <c r="B674">
        <v>37</v>
      </c>
      <c r="C674" t="s">
        <v>12</v>
      </c>
      <c r="D674" t="s">
        <v>51</v>
      </c>
      <c r="E674" t="s">
        <v>28</v>
      </c>
      <c r="F674" t="s">
        <v>489</v>
      </c>
      <c r="G674" t="s">
        <v>241</v>
      </c>
      <c r="H674">
        <v>8</v>
      </c>
      <c r="I674" s="1">
        <v>15607.97</v>
      </c>
      <c r="J674" t="s">
        <v>17</v>
      </c>
      <c r="K674" t="s">
        <v>18</v>
      </c>
      <c r="L674" t="str" cm="1">
        <f t="array" ref="L674">_xlfn.IFS(B674&lt;30,"18-29",B674&lt;45,"30-44",B674&lt;60,"45-59",B674&lt;75,"60-74",B674&lt;=90,"75-90")</f>
        <v>30-44</v>
      </c>
      <c r="M674" t="str">
        <f>IF(Table1[[#This Row],[length_of_stay_days]]&gt;7,"Yes","No")</f>
        <v>Yes</v>
      </c>
    </row>
    <row r="675" spans="1:13" x14ac:dyDescent="0.3">
      <c r="A675" t="s">
        <v>1064</v>
      </c>
      <c r="B675">
        <v>72</v>
      </c>
      <c r="C675" t="s">
        <v>12</v>
      </c>
      <c r="D675" t="s">
        <v>46</v>
      </c>
      <c r="E675" t="s">
        <v>21</v>
      </c>
      <c r="F675" t="s">
        <v>67</v>
      </c>
      <c r="G675" t="s">
        <v>344</v>
      </c>
      <c r="H675">
        <v>10</v>
      </c>
      <c r="I675" s="1">
        <v>11676.09</v>
      </c>
      <c r="J675" t="s">
        <v>17</v>
      </c>
      <c r="K675" t="s">
        <v>18</v>
      </c>
      <c r="L675" t="str" cm="1">
        <f t="array" ref="L675">_xlfn.IFS(B675&lt;30,"18-29",B675&lt;45,"30-44",B675&lt;60,"45-59",B675&lt;75,"60-74",B675&lt;=90,"75-90")</f>
        <v>60-74</v>
      </c>
      <c r="M675" t="str">
        <f>IF(Table1[[#This Row],[length_of_stay_days]]&gt;7,"Yes","No")</f>
        <v>Yes</v>
      </c>
    </row>
    <row r="676" spans="1:13" x14ac:dyDescent="0.3">
      <c r="A676" t="s">
        <v>1065</v>
      </c>
      <c r="B676">
        <v>48</v>
      </c>
      <c r="C676" t="s">
        <v>20</v>
      </c>
      <c r="D676" t="s">
        <v>28</v>
      </c>
      <c r="E676" t="s">
        <v>28</v>
      </c>
      <c r="F676" t="s">
        <v>90</v>
      </c>
      <c r="G676" t="s">
        <v>98</v>
      </c>
      <c r="H676">
        <v>3</v>
      </c>
      <c r="I676" s="1">
        <v>4135.8999999999996</v>
      </c>
      <c r="J676" t="s">
        <v>17</v>
      </c>
      <c r="K676" t="s">
        <v>18</v>
      </c>
      <c r="L676" t="str" cm="1">
        <f t="array" ref="L676">_xlfn.IFS(B676&lt;30,"18-29",B676&lt;45,"30-44",B676&lt;60,"45-59",B676&lt;75,"60-74",B676&lt;=90,"75-90")</f>
        <v>45-59</v>
      </c>
      <c r="M676" t="str">
        <f>IF(Table1[[#This Row],[length_of_stay_days]]&gt;7,"Yes","No")</f>
        <v>No</v>
      </c>
    </row>
    <row r="677" spans="1:13" x14ac:dyDescent="0.3">
      <c r="A677" t="s">
        <v>1066</v>
      </c>
      <c r="B677">
        <v>57</v>
      </c>
      <c r="C677" t="s">
        <v>20</v>
      </c>
      <c r="D677" t="s">
        <v>13</v>
      </c>
      <c r="E677" t="s">
        <v>14</v>
      </c>
      <c r="F677" t="s">
        <v>87</v>
      </c>
      <c r="G677" t="s">
        <v>228</v>
      </c>
      <c r="H677">
        <v>7</v>
      </c>
      <c r="I677" s="1">
        <v>12410.54</v>
      </c>
      <c r="J677" t="s">
        <v>17</v>
      </c>
      <c r="K677" t="s">
        <v>18</v>
      </c>
      <c r="L677" t="str" cm="1">
        <f t="array" ref="L677">_xlfn.IFS(B677&lt;30,"18-29",B677&lt;45,"30-44",B677&lt;60,"45-59",B677&lt;75,"60-74",B677&lt;=90,"75-90")</f>
        <v>45-59</v>
      </c>
      <c r="M677" t="str">
        <f>IF(Table1[[#This Row],[length_of_stay_days]]&gt;7,"Yes","No")</f>
        <v>No</v>
      </c>
    </row>
    <row r="678" spans="1:13" x14ac:dyDescent="0.3">
      <c r="A678" t="s">
        <v>1067</v>
      </c>
      <c r="B678">
        <v>86</v>
      </c>
      <c r="C678" t="s">
        <v>20</v>
      </c>
      <c r="D678" t="s">
        <v>51</v>
      </c>
      <c r="E678" t="s">
        <v>14</v>
      </c>
      <c r="F678" t="s">
        <v>378</v>
      </c>
      <c r="G678" t="s">
        <v>190</v>
      </c>
      <c r="H678">
        <v>10</v>
      </c>
      <c r="I678" s="1">
        <v>12906.74</v>
      </c>
      <c r="J678" t="s">
        <v>17</v>
      </c>
      <c r="K678" t="s">
        <v>18</v>
      </c>
      <c r="L678" t="str" cm="1">
        <f t="array" ref="L678">_xlfn.IFS(B678&lt;30,"18-29",B678&lt;45,"30-44",B678&lt;60,"45-59",B678&lt;75,"60-74",B678&lt;=90,"75-90")</f>
        <v>75-90</v>
      </c>
      <c r="M678" t="str">
        <f>IF(Table1[[#This Row],[length_of_stay_days]]&gt;7,"Yes","No")</f>
        <v>Yes</v>
      </c>
    </row>
    <row r="679" spans="1:13" x14ac:dyDescent="0.3">
      <c r="A679" t="s">
        <v>1068</v>
      </c>
      <c r="B679">
        <v>36</v>
      </c>
      <c r="C679" t="s">
        <v>12</v>
      </c>
      <c r="D679" t="s">
        <v>13</v>
      </c>
      <c r="E679" t="s">
        <v>21</v>
      </c>
      <c r="F679" t="s">
        <v>229</v>
      </c>
      <c r="G679" t="s">
        <v>449</v>
      </c>
      <c r="H679">
        <v>3</v>
      </c>
      <c r="I679" s="1">
        <v>4861.78</v>
      </c>
      <c r="J679" t="s">
        <v>17</v>
      </c>
      <c r="K679" t="s">
        <v>18</v>
      </c>
      <c r="L679" t="str" cm="1">
        <f t="array" ref="L679">_xlfn.IFS(B679&lt;30,"18-29",B679&lt;45,"30-44",B679&lt;60,"45-59",B679&lt;75,"60-74",B679&lt;=90,"75-90")</f>
        <v>30-44</v>
      </c>
      <c r="M679" t="str">
        <f>IF(Table1[[#This Row],[length_of_stay_days]]&gt;7,"Yes","No")</f>
        <v>No</v>
      </c>
    </row>
    <row r="680" spans="1:13" x14ac:dyDescent="0.3">
      <c r="A680" t="s">
        <v>1069</v>
      </c>
      <c r="B680">
        <v>85</v>
      </c>
      <c r="C680" t="s">
        <v>20</v>
      </c>
      <c r="D680" t="s">
        <v>13</v>
      </c>
      <c r="E680" t="s">
        <v>14</v>
      </c>
      <c r="F680" t="s">
        <v>143</v>
      </c>
      <c r="G680" t="s">
        <v>807</v>
      </c>
      <c r="H680">
        <v>3</v>
      </c>
      <c r="I680" s="1">
        <v>8261.74</v>
      </c>
      <c r="J680" t="s">
        <v>17</v>
      </c>
      <c r="K680" t="s">
        <v>18</v>
      </c>
      <c r="L680" t="str" cm="1">
        <f t="array" ref="L680">_xlfn.IFS(B680&lt;30,"18-29",B680&lt;45,"30-44",B680&lt;60,"45-59",B680&lt;75,"60-74",B680&lt;=90,"75-90")</f>
        <v>75-90</v>
      </c>
      <c r="M680" t="str">
        <f>IF(Table1[[#This Row],[length_of_stay_days]]&gt;7,"Yes","No")</f>
        <v>No</v>
      </c>
    </row>
    <row r="681" spans="1:13" x14ac:dyDescent="0.3">
      <c r="A681" t="s">
        <v>1070</v>
      </c>
      <c r="B681">
        <v>43</v>
      </c>
      <c r="C681" t="s">
        <v>12</v>
      </c>
      <c r="D681" t="s">
        <v>28</v>
      </c>
      <c r="E681" t="s">
        <v>28</v>
      </c>
      <c r="F681" t="s">
        <v>526</v>
      </c>
      <c r="G681" t="s">
        <v>821</v>
      </c>
      <c r="H681">
        <v>4</v>
      </c>
      <c r="I681" s="1">
        <v>7243.61</v>
      </c>
      <c r="J681" t="s">
        <v>17</v>
      </c>
      <c r="K681" t="s">
        <v>18</v>
      </c>
      <c r="L681" t="str" cm="1">
        <f t="array" ref="L681">_xlfn.IFS(B681&lt;30,"18-29",B681&lt;45,"30-44",B681&lt;60,"45-59",B681&lt;75,"60-74",B681&lt;=90,"75-90")</f>
        <v>30-44</v>
      </c>
      <c r="M681" t="str">
        <f>IF(Table1[[#This Row],[length_of_stay_days]]&gt;7,"Yes","No")</f>
        <v>No</v>
      </c>
    </row>
    <row r="682" spans="1:13" x14ac:dyDescent="0.3">
      <c r="A682" t="s">
        <v>1071</v>
      </c>
      <c r="B682">
        <v>21</v>
      </c>
      <c r="C682" t="s">
        <v>12</v>
      </c>
      <c r="D682" t="s">
        <v>51</v>
      </c>
      <c r="E682" t="s">
        <v>21</v>
      </c>
      <c r="F682" t="s">
        <v>898</v>
      </c>
      <c r="G682" t="s">
        <v>177</v>
      </c>
      <c r="H682">
        <v>5</v>
      </c>
      <c r="I682" s="1">
        <v>8787.42</v>
      </c>
      <c r="J682" t="s">
        <v>17</v>
      </c>
      <c r="K682" t="s">
        <v>18</v>
      </c>
      <c r="L682" t="str" cm="1">
        <f t="array" ref="L682">_xlfn.IFS(B682&lt;30,"18-29",B682&lt;45,"30-44",B682&lt;60,"45-59",B682&lt;75,"60-74",B682&lt;=90,"75-90")</f>
        <v>18-29</v>
      </c>
      <c r="M682" t="str">
        <f>IF(Table1[[#This Row],[length_of_stay_days]]&gt;7,"Yes","No")</f>
        <v>No</v>
      </c>
    </row>
    <row r="683" spans="1:13" x14ac:dyDescent="0.3">
      <c r="A683" t="s">
        <v>1072</v>
      </c>
      <c r="B683">
        <v>64</v>
      </c>
      <c r="C683" t="s">
        <v>12</v>
      </c>
      <c r="D683" t="s">
        <v>28</v>
      </c>
      <c r="E683" t="s">
        <v>28</v>
      </c>
      <c r="F683" t="s">
        <v>261</v>
      </c>
      <c r="G683" t="s">
        <v>126</v>
      </c>
      <c r="H683">
        <v>7</v>
      </c>
      <c r="I683" s="1">
        <v>4772.95</v>
      </c>
      <c r="J683" t="s">
        <v>17</v>
      </c>
      <c r="K683" t="s">
        <v>18</v>
      </c>
      <c r="L683" t="str" cm="1">
        <f t="array" ref="L683">_xlfn.IFS(B683&lt;30,"18-29",B683&lt;45,"30-44",B683&lt;60,"45-59",B683&lt;75,"60-74",B683&lt;=90,"75-90")</f>
        <v>60-74</v>
      </c>
      <c r="M683" t="str">
        <f>IF(Table1[[#This Row],[length_of_stay_days]]&gt;7,"Yes","No")</f>
        <v>No</v>
      </c>
    </row>
    <row r="684" spans="1:13" x14ac:dyDescent="0.3">
      <c r="A684" t="s">
        <v>1073</v>
      </c>
      <c r="B684">
        <v>32</v>
      </c>
      <c r="C684" t="s">
        <v>20</v>
      </c>
      <c r="D684" t="s">
        <v>13</v>
      </c>
      <c r="E684" t="s">
        <v>21</v>
      </c>
      <c r="F684" t="s">
        <v>527</v>
      </c>
      <c r="G684" t="s">
        <v>65</v>
      </c>
      <c r="H684">
        <v>4</v>
      </c>
      <c r="I684" s="1">
        <v>7179.03</v>
      </c>
      <c r="J684" t="s">
        <v>17</v>
      </c>
      <c r="K684" t="s">
        <v>18</v>
      </c>
      <c r="L684" t="str" cm="1">
        <f t="array" ref="L684">_xlfn.IFS(B684&lt;30,"18-29",B684&lt;45,"30-44",B684&lt;60,"45-59",B684&lt;75,"60-74",B684&lt;=90,"75-90")</f>
        <v>30-44</v>
      </c>
      <c r="M684" t="str">
        <f>IF(Table1[[#This Row],[length_of_stay_days]]&gt;7,"Yes","No")</f>
        <v>No</v>
      </c>
    </row>
    <row r="685" spans="1:13" x14ac:dyDescent="0.3">
      <c r="A685" t="s">
        <v>1074</v>
      </c>
      <c r="B685">
        <v>34</v>
      </c>
      <c r="C685" t="s">
        <v>20</v>
      </c>
      <c r="D685" t="s">
        <v>32</v>
      </c>
      <c r="E685" t="s">
        <v>21</v>
      </c>
      <c r="F685" t="s">
        <v>317</v>
      </c>
      <c r="G685" t="s">
        <v>831</v>
      </c>
      <c r="H685">
        <v>10</v>
      </c>
      <c r="I685" s="1">
        <v>12821.89</v>
      </c>
      <c r="J685" t="s">
        <v>17</v>
      </c>
      <c r="K685" t="s">
        <v>18</v>
      </c>
      <c r="L685" t="str" cm="1">
        <f t="array" ref="L685">_xlfn.IFS(B685&lt;30,"18-29",B685&lt;45,"30-44",B685&lt;60,"45-59",B685&lt;75,"60-74",B685&lt;=90,"75-90")</f>
        <v>30-44</v>
      </c>
      <c r="M685" t="str">
        <f>IF(Table1[[#This Row],[length_of_stay_days]]&gt;7,"Yes","No")</f>
        <v>Yes</v>
      </c>
    </row>
    <row r="686" spans="1:13" x14ac:dyDescent="0.3">
      <c r="A686" t="s">
        <v>1075</v>
      </c>
      <c r="B686">
        <v>75</v>
      </c>
      <c r="C686" t="s">
        <v>12</v>
      </c>
      <c r="D686" t="s">
        <v>51</v>
      </c>
      <c r="E686" t="s">
        <v>21</v>
      </c>
      <c r="F686" t="s">
        <v>469</v>
      </c>
      <c r="G686" t="s">
        <v>551</v>
      </c>
      <c r="H686">
        <v>8</v>
      </c>
      <c r="I686" s="1">
        <v>12748.52</v>
      </c>
      <c r="J686" t="s">
        <v>49</v>
      </c>
      <c r="K686" t="s">
        <v>18</v>
      </c>
      <c r="L686" t="str" cm="1">
        <f t="array" ref="L686">_xlfn.IFS(B686&lt;30,"18-29",B686&lt;45,"30-44",B686&lt;60,"45-59",B686&lt;75,"60-74",B686&lt;=90,"75-90")</f>
        <v>75-90</v>
      </c>
      <c r="M686" t="str">
        <f>IF(Table1[[#This Row],[length_of_stay_days]]&gt;7,"Yes","No")</f>
        <v>Yes</v>
      </c>
    </row>
    <row r="687" spans="1:13" x14ac:dyDescent="0.3">
      <c r="A687" t="s">
        <v>1076</v>
      </c>
      <c r="B687">
        <v>37</v>
      </c>
      <c r="C687" t="s">
        <v>20</v>
      </c>
      <c r="D687" t="s">
        <v>28</v>
      </c>
      <c r="E687" t="s">
        <v>28</v>
      </c>
      <c r="F687" t="s">
        <v>430</v>
      </c>
      <c r="G687" t="s">
        <v>234</v>
      </c>
      <c r="H687">
        <v>2</v>
      </c>
      <c r="I687" s="1">
        <v>6365.09</v>
      </c>
      <c r="J687" t="s">
        <v>17</v>
      </c>
      <c r="K687" t="s">
        <v>18</v>
      </c>
      <c r="L687" t="str" cm="1">
        <f t="array" ref="L687">_xlfn.IFS(B687&lt;30,"18-29",B687&lt;45,"30-44",B687&lt;60,"45-59",B687&lt;75,"60-74",B687&lt;=90,"75-90")</f>
        <v>30-44</v>
      </c>
      <c r="M687" t="str">
        <f>IF(Table1[[#This Row],[length_of_stay_days]]&gt;7,"Yes","No")</f>
        <v>No</v>
      </c>
    </row>
    <row r="688" spans="1:13" x14ac:dyDescent="0.3">
      <c r="A688" t="s">
        <v>1077</v>
      </c>
      <c r="B688">
        <v>49</v>
      </c>
      <c r="C688" t="s">
        <v>12</v>
      </c>
      <c r="D688" t="s">
        <v>28</v>
      </c>
      <c r="E688" t="s">
        <v>28</v>
      </c>
      <c r="F688" t="s">
        <v>411</v>
      </c>
      <c r="G688" t="s">
        <v>646</v>
      </c>
      <c r="H688">
        <v>2</v>
      </c>
      <c r="I688" s="1">
        <v>4712.12</v>
      </c>
      <c r="J688" t="s">
        <v>17</v>
      </c>
      <c r="K688" t="s">
        <v>18</v>
      </c>
      <c r="L688" t="str" cm="1">
        <f t="array" ref="L688">_xlfn.IFS(B688&lt;30,"18-29",B688&lt;45,"30-44",B688&lt;60,"45-59",B688&lt;75,"60-74",B688&lt;=90,"75-90")</f>
        <v>45-59</v>
      </c>
      <c r="M688" t="str">
        <f>IF(Table1[[#This Row],[length_of_stay_days]]&gt;7,"Yes","No")</f>
        <v>No</v>
      </c>
    </row>
    <row r="689" spans="1:13" x14ac:dyDescent="0.3">
      <c r="A689" t="s">
        <v>1078</v>
      </c>
      <c r="B689">
        <v>80</v>
      </c>
      <c r="C689" t="s">
        <v>12</v>
      </c>
      <c r="D689" t="s">
        <v>13</v>
      </c>
      <c r="E689" t="s">
        <v>21</v>
      </c>
      <c r="F689" t="s">
        <v>250</v>
      </c>
      <c r="G689" t="s">
        <v>90</v>
      </c>
      <c r="H689">
        <v>4</v>
      </c>
      <c r="I689" s="1">
        <v>4802.3900000000003</v>
      </c>
      <c r="J689" t="s">
        <v>17</v>
      </c>
      <c r="K689" t="s">
        <v>18</v>
      </c>
      <c r="L689" t="str" cm="1">
        <f t="array" ref="L689">_xlfn.IFS(B689&lt;30,"18-29",B689&lt;45,"30-44",B689&lt;60,"45-59",B689&lt;75,"60-74",B689&lt;=90,"75-90")</f>
        <v>75-90</v>
      </c>
      <c r="M689" t="str">
        <f>IF(Table1[[#This Row],[length_of_stay_days]]&gt;7,"Yes","No")</f>
        <v>No</v>
      </c>
    </row>
    <row r="690" spans="1:13" x14ac:dyDescent="0.3">
      <c r="A690" t="s">
        <v>1079</v>
      </c>
      <c r="B690">
        <v>86</v>
      </c>
      <c r="C690" t="s">
        <v>12</v>
      </c>
      <c r="D690" t="s">
        <v>46</v>
      </c>
      <c r="E690" t="s">
        <v>28</v>
      </c>
      <c r="F690" t="s">
        <v>625</v>
      </c>
      <c r="G690" t="s">
        <v>895</v>
      </c>
      <c r="H690">
        <v>3</v>
      </c>
      <c r="I690" s="1">
        <v>11010.98</v>
      </c>
      <c r="J690" t="s">
        <v>17</v>
      </c>
      <c r="K690" t="s">
        <v>18</v>
      </c>
      <c r="L690" t="str" cm="1">
        <f t="array" ref="L690">_xlfn.IFS(B690&lt;30,"18-29",B690&lt;45,"30-44",B690&lt;60,"45-59",B690&lt;75,"60-74",B690&lt;=90,"75-90")</f>
        <v>75-90</v>
      </c>
      <c r="M690" t="str">
        <f>IF(Table1[[#This Row],[length_of_stay_days]]&gt;7,"Yes","No")</f>
        <v>No</v>
      </c>
    </row>
    <row r="691" spans="1:13" x14ac:dyDescent="0.3">
      <c r="A691" t="s">
        <v>1080</v>
      </c>
      <c r="B691">
        <v>53</v>
      </c>
      <c r="C691" t="s">
        <v>20</v>
      </c>
      <c r="D691" t="s">
        <v>13</v>
      </c>
      <c r="E691" t="s">
        <v>28</v>
      </c>
      <c r="F691" t="s">
        <v>221</v>
      </c>
      <c r="G691" t="s">
        <v>208</v>
      </c>
      <c r="H691">
        <v>6</v>
      </c>
      <c r="I691" s="1">
        <v>9049.16</v>
      </c>
      <c r="J691" t="s">
        <v>17</v>
      </c>
      <c r="K691" t="s">
        <v>18</v>
      </c>
      <c r="L691" t="str" cm="1">
        <f t="array" ref="L691">_xlfn.IFS(B691&lt;30,"18-29",B691&lt;45,"30-44",B691&lt;60,"45-59",B691&lt;75,"60-74",B691&lt;=90,"75-90")</f>
        <v>45-59</v>
      </c>
      <c r="M691" t="str">
        <f>IF(Table1[[#This Row],[length_of_stay_days]]&gt;7,"Yes","No")</f>
        <v>No</v>
      </c>
    </row>
    <row r="692" spans="1:13" x14ac:dyDescent="0.3">
      <c r="A692" t="s">
        <v>1081</v>
      </c>
      <c r="B692">
        <v>80</v>
      </c>
      <c r="C692" t="s">
        <v>12</v>
      </c>
      <c r="D692" t="s">
        <v>13</v>
      </c>
      <c r="E692" t="s">
        <v>28</v>
      </c>
      <c r="F692" t="s">
        <v>396</v>
      </c>
      <c r="G692" t="s">
        <v>852</v>
      </c>
      <c r="H692">
        <v>3</v>
      </c>
      <c r="I692" s="1">
        <v>6913.44</v>
      </c>
      <c r="J692" t="s">
        <v>49</v>
      </c>
      <c r="K692" t="s">
        <v>18</v>
      </c>
      <c r="L692" t="str" cm="1">
        <f t="array" ref="L692">_xlfn.IFS(B692&lt;30,"18-29",B692&lt;45,"30-44",B692&lt;60,"45-59",B692&lt;75,"60-74",B692&lt;=90,"75-90")</f>
        <v>75-90</v>
      </c>
      <c r="M692" t="str">
        <f>IF(Table1[[#This Row],[length_of_stay_days]]&gt;7,"Yes","No")</f>
        <v>No</v>
      </c>
    </row>
    <row r="693" spans="1:13" x14ac:dyDescent="0.3">
      <c r="A693" t="s">
        <v>1082</v>
      </c>
      <c r="B693">
        <v>53</v>
      </c>
      <c r="C693" t="s">
        <v>12</v>
      </c>
      <c r="D693" t="s">
        <v>28</v>
      </c>
      <c r="E693" t="s">
        <v>28</v>
      </c>
      <c r="F693" t="s">
        <v>33</v>
      </c>
      <c r="G693" t="s">
        <v>644</v>
      </c>
      <c r="H693">
        <v>4</v>
      </c>
      <c r="I693" s="1">
        <v>4580</v>
      </c>
      <c r="J693" t="s">
        <v>17</v>
      </c>
      <c r="K693" t="s">
        <v>18</v>
      </c>
      <c r="L693" t="str" cm="1">
        <f t="array" ref="L693">_xlfn.IFS(B693&lt;30,"18-29",B693&lt;45,"30-44",B693&lt;60,"45-59",B693&lt;75,"60-74",B693&lt;=90,"75-90")</f>
        <v>45-59</v>
      </c>
      <c r="M693" t="str">
        <f>IF(Table1[[#This Row],[length_of_stay_days]]&gt;7,"Yes","No")</f>
        <v>No</v>
      </c>
    </row>
    <row r="694" spans="1:13" x14ac:dyDescent="0.3">
      <c r="A694" t="s">
        <v>1083</v>
      </c>
      <c r="B694">
        <v>58</v>
      </c>
      <c r="C694" t="s">
        <v>20</v>
      </c>
      <c r="D694" t="s">
        <v>13</v>
      </c>
      <c r="E694" t="s">
        <v>21</v>
      </c>
      <c r="F694" t="s">
        <v>381</v>
      </c>
      <c r="G694" t="s">
        <v>212</v>
      </c>
      <c r="H694">
        <v>8</v>
      </c>
      <c r="I694" s="1">
        <v>9101.56</v>
      </c>
      <c r="J694" t="s">
        <v>17</v>
      </c>
      <c r="K694" t="s">
        <v>18</v>
      </c>
      <c r="L694" t="str" cm="1">
        <f t="array" ref="L694">_xlfn.IFS(B694&lt;30,"18-29",B694&lt;45,"30-44",B694&lt;60,"45-59",B694&lt;75,"60-74",B694&lt;=90,"75-90")</f>
        <v>45-59</v>
      </c>
      <c r="M694" t="str">
        <f>IF(Table1[[#This Row],[length_of_stay_days]]&gt;7,"Yes","No")</f>
        <v>Yes</v>
      </c>
    </row>
    <row r="695" spans="1:13" x14ac:dyDescent="0.3">
      <c r="A695" t="s">
        <v>1084</v>
      </c>
      <c r="B695">
        <v>44</v>
      </c>
      <c r="C695" t="s">
        <v>12</v>
      </c>
      <c r="D695" t="s">
        <v>55</v>
      </c>
      <c r="E695" t="s">
        <v>14</v>
      </c>
      <c r="F695" t="s">
        <v>361</v>
      </c>
      <c r="G695" t="s">
        <v>101</v>
      </c>
      <c r="H695">
        <v>4</v>
      </c>
      <c r="I695" s="1">
        <v>7807.28</v>
      </c>
      <c r="J695" t="s">
        <v>49</v>
      </c>
      <c r="K695" t="s">
        <v>18</v>
      </c>
      <c r="L695" t="str" cm="1">
        <f t="array" ref="L695">_xlfn.IFS(B695&lt;30,"18-29",B695&lt;45,"30-44",B695&lt;60,"45-59",B695&lt;75,"60-74",B695&lt;=90,"75-90")</f>
        <v>30-44</v>
      </c>
      <c r="M695" t="str">
        <f>IF(Table1[[#This Row],[length_of_stay_days]]&gt;7,"Yes","No")</f>
        <v>No</v>
      </c>
    </row>
    <row r="696" spans="1:13" x14ac:dyDescent="0.3">
      <c r="A696" t="s">
        <v>1085</v>
      </c>
      <c r="B696">
        <v>28</v>
      </c>
      <c r="C696" t="s">
        <v>20</v>
      </c>
      <c r="D696" t="s">
        <v>51</v>
      </c>
      <c r="E696" t="s">
        <v>28</v>
      </c>
      <c r="F696" t="s">
        <v>241</v>
      </c>
      <c r="G696" t="s">
        <v>68</v>
      </c>
      <c r="H696">
        <v>6</v>
      </c>
      <c r="I696" s="1">
        <v>11945.8</v>
      </c>
      <c r="J696" t="s">
        <v>17</v>
      </c>
      <c r="K696" t="s">
        <v>18</v>
      </c>
      <c r="L696" t="str" cm="1">
        <f t="array" ref="L696">_xlfn.IFS(B696&lt;30,"18-29",B696&lt;45,"30-44",B696&lt;60,"45-59",B696&lt;75,"60-74",B696&lt;=90,"75-90")</f>
        <v>18-29</v>
      </c>
      <c r="M696" t="str">
        <f>IF(Table1[[#This Row],[length_of_stay_days]]&gt;7,"Yes","No")</f>
        <v>No</v>
      </c>
    </row>
    <row r="697" spans="1:13" x14ac:dyDescent="0.3">
      <c r="A697" t="s">
        <v>1086</v>
      </c>
      <c r="B697">
        <v>70</v>
      </c>
      <c r="C697" t="s">
        <v>20</v>
      </c>
      <c r="D697" t="s">
        <v>55</v>
      </c>
      <c r="E697" t="s">
        <v>21</v>
      </c>
      <c r="F697" t="s">
        <v>676</v>
      </c>
      <c r="G697" t="s">
        <v>146</v>
      </c>
      <c r="H697">
        <v>6</v>
      </c>
      <c r="I697" s="1">
        <v>8905.9500000000007</v>
      </c>
      <c r="J697" t="s">
        <v>17</v>
      </c>
      <c r="K697" t="s">
        <v>18</v>
      </c>
      <c r="L697" t="str" cm="1">
        <f t="array" ref="L697">_xlfn.IFS(B697&lt;30,"18-29",B697&lt;45,"30-44",B697&lt;60,"45-59",B697&lt;75,"60-74",B697&lt;=90,"75-90")</f>
        <v>60-74</v>
      </c>
      <c r="M697" t="str">
        <f>IF(Table1[[#This Row],[length_of_stay_days]]&gt;7,"Yes","No")</f>
        <v>No</v>
      </c>
    </row>
    <row r="698" spans="1:13" x14ac:dyDescent="0.3">
      <c r="A698" t="s">
        <v>1087</v>
      </c>
      <c r="B698">
        <v>59</v>
      </c>
      <c r="C698" t="s">
        <v>12</v>
      </c>
      <c r="D698" t="s">
        <v>32</v>
      </c>
      <c r="E698" t="s">
        <v>21</v>
      </c>
      <c r="F698" t="s">
        <v>364</v>
      </c>
      <c r="G698" t="s">
        <v>330</v>
      </c>
      <c r="H698">
        <v>6</v>
      </c>
      <c r="I698" s="1">
        <v>11110.36</v>
      </c>
      <c r="J698" t="s">
        <v>17</v>
      </c>
      <c r="K698" t="s">
        <v>18</v>
      </c>
      <c r="L698" t="str" cm="1">
        <f t="array" ref="L698">_xlfn.IFS(B698&lt;30,"18-29",B698&lt;45,"30-44",B698&lt;60,"45-59",B698&lt;75,"60-74",B698&lt;=90,"75-90")</f>
        <v>45-59</v>
      </c>
      <c r="M698" t="str">
        <f>IF(Table1[[#This Row],[length_of_stay_days]]&gt;7,"Yes","No")</f>
        <v>No</v>
      </c>
    </row>
    <row r="699" spans="1:13" x14ac:dyDescent="0.3">
      <c r="A699" t="s">
        <v>1088</v>
      </c>
      <c r="B699">
        <v>26</v>
      </c>
      <c r="C699" t="s">
        <v>12</v>
      </c>
      <c r="D699" t="s">
        <v>51</v>
      </c>
      <c r="E699" t="s">
        <v>28</v>
      </c>
      <c r="F699" t="s">
        <v>849</v>
      </c>
      <c r="G699" t="s">
        <v>895</v>
      </c>
      <c r="H699">
        <v>8</v>
      </c>
      <c r="I699" s="1">
        <v>11323.05</v>
      </c>
      <c r="J699" t="s">
        <v>17</v>
      </c>
      <c r="K699" t="s">
        <v>18</v>
      </c>
      <c r="L699" t="str" cm="1">
        <f t="array" ref="L699">_xlfn.IFS(B699&lt;30,"18-29",B699&lt;45,"30-44",B699&lt;60,"45-59",B699&lt;75,"60-74",B699&lt;=90,"75-90")</f>
        <v>18-29</v>
      </c>
      <c r="M699" t="str">
        <f>IF(Table1[[#This Row],[length_of_stay_days]]&gt;7,"Yes","No")</f>
        <v>Yes</v>
      </c>
    </row>
    <row r="700" spans="1:13" x14ac:dyDescent="0.3">
      <c r="A700" t="s">
        <v>1089</v>
      </c>
      <c r="B700">
        <v>85</v>
      </c>
      <c r="C700" t="s">
        <v>20</v>
      </c>
      <c r="D700" t="s">
        <v>51</v>
      </c>
      <c r="E700" t="s">
        <v>14</v>
      </c>
      <c r="F700" t="s">
        <v>266</v>
      </c>
      <c r="G700" t="s">
        <v>295</v>
      </c>
      <c r="H700">
        <v>5</v>
      </c>
      <c r="I700" s="1">
        <v>10062.92</v>
      </c>
      <c r="J700" t="s">
        <v>17</v>
      </c>
      <c r="K700" t="s">
        <v>18</v>
      </c>
      <c r="L700" t="str" cm="1">
        <f t="array" ref="L700">_xlfn.IFS(B700&lt;30,"18-29",B700&lt;45,"30-44",B700&lt;60,"45-59",B700&lt;75,"60-74",B700&lt;=90,"75-90")</f>
        <v>75-90</v>
      </c>
      <c r="M700" t="str">
        <f>IF(Table1[[#This Row],[length_of_stay_days]]&gt;7,"Yes","No")</f>
        <v>No</v>
      </c>
    </row>
    <row r="701" spans="1:13" x14ac:dyDescent="0.3">
      <c r="A701" t="s">
        <v>1090</v>
      </c>
      <c r="B701">
        <v>58</v>
      </c>
      <c r="C701" t="s">
        <v>12</v>
      </c>
      <c r="D701" t="s">
        <v>32</v>
      </c>
      <c r="E701" t="s">
        <v>28</v>
      </c>
      <c r="F701" t="s">
        <v>467</v>
      </c>
      <c r="G701" t="s">
        <v>95</v>
      </c>
      <c r="H701">
        <v>5</v>
      </c>
      <c r="I701" s="1">
        <v>10538.02</v>
      </c>
      <c r="J701" t="s">
        <v>17</v>
      </c>
      <c r="K701" t="s">
        <v>18</v>
      </c>
      <c r="L701" t="str" cm="1">
        <f t="array" ref="L701">_xlfn.IFS(B701&lt;30,"18-29",B701&lt;45,"30-44",B701&lt;60,"45-59",B701&lt;75,"60-74",B701&lt;=90,"75-90")</f>
        <v>45-59</v>
      </c>
      <c r="M701" t="str">
        <f>IF(Table1[[#This Row],[length_of_stay_days]]&gt;7,"Yes","No")</f>
        <v>No</v>
      </c>
    </row>
    <row r="702" spans="1:13" x14ac:dyDescent="0.3">
      <c r="A702" t="s">
        <v>1091</v>
      </c>
      <c r="B702">
        <v>53</v>
      </c>
      <c r="C702" t="s">
        <v>20</v>
      </c>
      <c r="D702" t="s">
        <v>28</v>
      </c>
      <c r="E702" t="s">
        <v>14</v>
      </c>
      <c r="F702" t="s">
        <v>530</v>
      </c>
      <c r="G702" t="s">
        <v>559</v>
      </c>
      <c r="H702">
        <v>2</v>
      </c>
      <c r="I702" s="1">
        <v>6780.34</v>
      </c>
      <c r="J702" t="s">
        <v>17</v>
      </c>
      <c r="K702" t="s">
        <v>18</v>
      </c>
      <c r="L702" t="str" cm="1">
        <f t="array" ref="L702">_xlfn.IFS(B702&lt;30,"18-29",B702&lt;45,"30-44",B702&lt;60,"45-59",B702&lt;75,"60-74",B702&lt;=90,"75-90")</f>
        <v>45-59</v>
      </c>
      <c r="M702" t="str">
        <f>IF(Table1[[#This Row],[length_of_stay_days]]&gt;7,"Yes","No")</f>
        <v>No</v>
      </c>
    </row>
    <row r="703" spans="1:13" x14ac:dyDescent="0.3">
      <c r="A703" t="s">
        <v>1092</v>
      </c>
      <c r="B703">
        <v>72</v>
      </c>
      <c r="C703" t="s">
        <v>12</v>
      </c>
      <c r="D703" t="s">
        <v>28</v>
      </c>
      <c r="E703" t="s">
        <v>14</v>
      </c>
      <c r="F703" t="s">
        <v>296</v>
      </c>
      <c r="G703" t="s">
        <v>791</v>
      </c>
      <c r="H703">
        <v>2</v>
      </c>
      <c r="I703" s="1">
        <v>4784.6499999999996</v>
      </c>
      <c r="J703" t="s">
        <v>17</v>
      </c>
      <c r="K703" t="s">
        <v>18</v>
      </c>
      <c r="L703" t="str" cm="1">
        <f t="array" ref="L703">_xlfn.IFS(B703&lt;30,"18-29",B703&lt;45,"30-44",B703&lt;60,"45-59",B703&lt;75,"60-74",B703&lt;=90,"75-90")</f>
        <v>60-74</v>
      </c>
      <c r="M703" t="str">
        <f>IF(Table1[[#This Row],[length_of_stay_days]]&gt;7,"Yes","No")</f>
        <v>No</v>
      </c>
    </row>
    <row r="704" spans="1:13" x14ac:dyDescent="0.3">
      <c r="A704" t="s">
        <v>1093</v>
      </c>
      <c r="B704">
        <v>53</v>
      </c>
      <c r="C704" t="s">
        <v>20</v>
      </c>
      <c r="D704" t="s">
        <v>28</v>
      </c>
      <c r="E704" t="s">
        <v>28</v>
      </c>
      <c r="F704" t="s">
        <v>47</v>
      </c>
      <c r="G704" t="s">
        <v>268</v>
      </c>
      <c r="H704">
        <v>4</v>
      </c>
      <c r="I704" s="1">
        <v>3907.25</v>
      </c>
      <c r="J704" t="s">
        <v>17</v>
      </c>
      <c r="K704" t="s">
        <v>18</v>
      </c>
      <c r="L704" t="str" cm="1">
        <f t="array" ref="L704">_xlfn.IFS(B704&lt;30,"18-29",B704&lt;45,"30-44",B704&lt;60,"45-59",B704&lt;75,"60-74",B704&lt;=90,"75-90")</f>
        <v>45-59</v>
      </c>
      <c r="M704" t="str">
        <f>IF(Table1[[#This Row],[length_of_stay_days]]&gt;7,"Yes","No")</f>
        <v>No</v>
      </c>
    </row>
    <row r="705" spans="1:13" x14ac:dyDescent="0.3">
      <c r="A705" t="s">
        <v>1094</v>
      </c>
      <c r="B705">
        <v>78</v>
      </c>
      <c r="C705" t="s">
        <v>20</v>
      </c>
      <c r="D705" t="s">
        <v>13</v>
      </c>
      <c r="E705" t="s">
        <v>28</v>
      </c>
      <c r="F705" t="s">
        <v>724</v>
      </c>
      <c r="G705" t="s">
        <v>317</v>
      </c>
      <c r="H705">
        <v>6</v>
      </c>
      <c r="I705" s="1">
        <v>9423.91</v>
      </c>
      <c r="J705" t="s">
        <v>17</v>
      </c>
      <c r="K705" t="s">
        <v>44</v>
      </c>
      <c r="L705" t="str" cm="1">
        <f t="array" ref="L705">_xlfn.IFS(B705&lt;30,"18-29",B705&lt;45,"30-44",B705&lt;60,"45-59",B705&lt;75,"60-74",B705&lt;=90,"75-90")</f>
        <v>75-90</v>
      </c>
      <c r="M705" t="str">
        <f>IF(Table1[[#This Row],[length_of_stay_days]]&gt;7,"Yes","No")</f>
        <v>No</v>
      </c>
    </row>
    <row r="706" spans="1:13" x14ac:dyDescent="0.3">
      <c r="A706" t="s">
        <v>1095</v>
      </c>
      <c r="B706">
        <v>20</v>
      </c>
      <c r="C706" t="s">
        <v>20</v>
      </c>
      <c r="D706" t="s">
        <v>46</v>
      </c>
      <c r="E706" t="s">
        <v>28</v>
      </c>
      <c r="F706" t="s">
        <v>471</v>
      </c>
      <c r="G706" t="s">
        <v>103</v>
      </c>
      <c r="H706">
        <v>11</v>
      </c>
      <c r="I706" s="1">
        <v>16956.09</v>
      </c>
      <c r="J706" t="s">
        <v>17</v>
      </c>
      <c r="K706" t="s">
        <v>18</v>
      </c>
      <c r="L706" t="str" cm="1">
        <f t="array" ref="L706">_xlfn.IFS(B706&lt;30,"18-29",B706&lt;45,"30-44",B706&lt;60,"45-59",B706&lt;75,"60-74",B706&lt;=90,"75-90")</f>
        <v>18-29</v>
      </c>
      <c r="M706" t="str">
        <f>IF(Table1[[#This Row],[length_of_stay_days]]&gt;7,"Yes","No")</f>
        <v>Yes</v>
      </c>
    </row>
    <row r="707" spans="1:13" x14ac:dyDescent="0.3">
      <c r="A707" t="s">
        <v>1096</v>
      </c>
      <c r="B707">
        <v>53</v>
      </c>
      <c r="C707" t="s">
        <v>12</v>
      </c>
      <c r="D707" t="s">
        <v>55</v>
      </c>
      <c r="E707" t="s">
        <v>28</v>
      </c>
      <c r="F707" t="s">
        <v>106</v>
      </c>
      <c r="G707" t="s">
        <v>177</v>
      </c>
      <c r="H707">
        <v>4</v>
      </c>
      <c r="I707" s="1">
        <v>7989.35</v>
      </c>
      <c r="J707" t="s">
        <v>17</v>
      </c>
      <c r="K707" t="s">
        <v>18</v>
      </c>
      <c r="L707" t="str" cm="1">
        <f t="array" ref="L707">_xlfn.IFS(B707&lt;30,"18-29",B707&lt;45,"30-44",B707&lt;60,"45-59",B707&lt;75,"60-74",B707&lt;=90,"75-90")</f>
        <v>45-59</v>
      </c>
      <c r="M707" t="str">
        <f>IF(Table1[[#This Row],[length_of_stay_days]]&gt;7,"Yes","No")</f>
        <v>No</v>
      </c>
    </row>
    <row r="708" spans="1:13" x14ac:dyDescent="0.3">
      <c r="A708" t="s">
        <v>1097</v>
      </c>
      <c r="B708">
        <v>86</v>
      </c>
      <c r="C708" t="s">
        <v>12</v>
      </c>
      <c r="D708" t="s">
        <v>51</v>
      </c>
      <c r="E708" t="s">
        <v>21</v>
      </c>
      <c r="F708" t="s">
        <v>499</v>
      </c>
      <c r="G708" t="s">
        <v>526</v>
      </c>
      <c r="H708">
        <v>10</v>
      </c>
      <c r="I708" s="1">
        <v>15328.76</v>
      </c>
      <c r="J708" t="s">
        <v>17</v>
      </c>
      <c r="K708" t="s">
        <v>18</v>
      </c>
      <c r="L708" t="str" cm="1">
        <f t="array" ref="L708">_xlfn.IFS(B708&lt;30,"18-29",B708&lt;45,"30-44",B708&lt;60,"45-59",B708&lt;75,"60-74",B708&lt;=90,"75-90")</f>
        <v>75-90</v>
      </c>
      <c r="M708" t="str">
        <f>IF(Table1[[#This Row],[length_of_stay_days]]&gt;7,"Yes","No")</f>
        <v>Yes</v>
      </c>
    </row>
    <row r="709" spans="1:13" x14ac:dyDescent="0.3">
      <c r="A709" t="s">
        <v>1098</v>
      </c>
      <c r="B709">
        <v>29</v>
      </c>
      <c r="C709" t="s">
        <v>12</v>
      </c>
      <c r="D709" t="s">
        <v>28</v>
      </c>
      <c r="E709" t="s">
        <v>21</v>
      </c>
      <c r="F709" t="s">
        <v>376</v>
      </c>
      <c r="G709" t="s">
        <v>807</v>
      </c>
      <c r="H709">
        <v>7</v>
      </c>
      <c r="I709" s="1">
        <v>7963.05</v>
      </c>
      <c r="J709" t="s">
        <v>17</v>
      </c>
      <c r="K709" t="s">
        <v>18</v>
      </c>
      <c r="L709" t="str" cm="1">
        <f t="array" ref="L709">_xlfn.IFS(B709&lt;30,"18-29",B709&lt;45,"30-44",B709&lt;60,"45-59",B709&lt;75,"60-74",B709&lt;=90,"75-90")</f>
        <v>18-29</v>
      </c>
      <c r="M709" t="str">
        <f>IF(Table1[[#This Row],[length_of_stay_days]]&gt;7,"Yes","No")</f>
        <v>No</v>
      </c>
    </row>
    <row r="710" spans="1:13" x14ac:dyDescent="0.3">
      <c r="A710" t="s">
        <v>1099</v>
      </c>
      <c r="B710">
        <v>70</v>
      </c>
      <c r="C710" t="s">
        <v>12</v>
      </c>
      <c r="D710" t="s">
        <v>55</v>
      </c>
      <c r="E710" t="s">
        <v>14</v>
      </c>
      <c r="F710" t="s">
        <v>203</v>
      </c>
      <c r="G710" t="s">
        <v>268</v>
      </c>
      <c r="H710">
        <v>8</v>
      </c>
      <c r="I710" s="1">
        <v>11606.73</v>
      </c>
      <c r="J710" t="s">
        <v>17</v>
      </c>
      <c r="K710" t="s">
        <v>18</v>
      </c>
      <c r="L710" t="str" cm="1">
        <f t="array" ref="L710">_xlfn.IFS(B710&lt;30,"18-29",B710&lt;45,"30-44",B710&lt;60,"45-59",B710&lt;75,"60-74",B710&lt;=90,"75-90")</f>
        <v>60-74</v>
      </c>
      <c r="M710" t="str">
        <f>IF(Table1[[#This Row],[length_of_stay_days]]&gt;7,"Yes","No")</f>
        <v>Yes</v>
      </c>
    </row>
    <row r="711" spans="1:13" x14ac:dyDescent="0.3">
      <c r="A711" t="s">
        <v>1100</v>
      </c>
      <c r="B711">
        <v>43</v>
      </c>
      <c r="C711" t="s">
        <v>12</v>
      </c>
      <c r="D711" t="s">
        <v>55</v>
      </c>
      <c r="E711" t="s">
        <v>28</v>
      </c>
      <c r="F711" t="s">
        <v>581</v>
      </c>
      <c r="G711" t="s">
        <v>530</v>
      </c>
      <c r="H711">
        <v>3</v>
      </c>
      <c r="I711" s="1">
        <v>8367.23</v>
      </c>
      <c r="J711" t="s">
        <v>17</v>
      </c>
      <c r="K711" t="s">
        <v>18</v>
      </c>
      <c r="L711" t="str" cm="1">
        <f t="array" ref="L711">_xlfn.IFS(B711&lt;30,"18-29",B711&lt;45,"30-44",B711&lt;60,"45-59",B711&lt;75,"60-74",B711&lt;=90,"75-90")</f>
        <v>30-44</v>
      </c>
      <c r="M711" t="str">
        <f>IF(Table1[[#This Row],[length_of_stay_days]]&gt;7,"Yes","No")</f>
        <v>No</v>
      </c>
    </row>
    <row r="712" spans="1:13" x14ac:dyDescent="0.3">
      <c r="A712" t="s">
        <v>1101</v>
      </c>
      <c r="B712">
        <v>60</v>
      </c>
      <c r="C712" t="s">
        <v>12</v>
      </c>
      <c r="D712" t="s">
        <v>28</v>
      </c>
      <c r="E712" t="s">
        <v>14</v>
      </c>
      <c r="F712" t="s">
        <v>588</v>
      </c>
      <c r="G712" t="s">
        <v>192</v>
      </c>
      <c r="H712">
        <v>4</v>
      </c>
      <c r="I712" s="1">
        <v>5260.63</v>
      </c>
      <c r="J712" t="s">
        <v>17</v>
      </c>
      <c r="K712" t="s">
        <v>44</v>
      </c>
      <c r="L712" t="str" cm="1">
        <f t="array" ref="L712">_xlfn.IFS(B712&lt;30,"18-29",B712&lt;45,"30-44",B712&lt;60,"45-59",B712&lt;75,"60-74",B712&lt;=90,"75-90")</f>
        <v>60-74</v>
      </c>
      <c r="M712" t="str">
        <f>IF(Table1[[#This Row],[length_of_stay_days]]&gt;7,"Yes","No")</f>
        <v>No</v>
      </c>
    </row>
    <row r="713" spans="1:13" x14ac:dyDescent="0.3">
      <c r="A713" t="s">
        <v>1102</v>
      </c>
      <c r="B713">
        <v>62</v>
      </c>
      <c r="C713" t="s">
        <v>20</v>
      </c>
      <c r="D713" t="s">
        <v>13</v>
      </c>
      <c r="E713" t="s">
        <v>14</v>
      </c>
      <c r="F713" t="s">
        <v>282</v>
      </c>
      <c r="G713" t="s">
        <v>146</v>
      </c>
      <c r="H713">
        <v>3</v>
      </c>
      <c r="I713" s="1">
        <v>5373.25</v>
      </c>
      <c r="J713" t="s">
        <v>17</v>
      </c>
      <c r="K713" t="s">
        <v>18</v>
      </c>
      <c r="L713" t="str" cm="1">
        <f t="array" ref="L713">_xlfn.IFS(B713&lt;30,"18-29",B713&lt;45,"30-44",B713&lt;60,"45-59",B713&lt;75,"60-74",B713&lt;=90,"75-90")</f>
        <v>60-74</v>
      </c>
      <c r="M713" t="str">
        <f>IF(Table1[[#This Row],[length_of_stay_days]]&gt;7,"Yes","No")</f>
        <v>No</v>
      </c>
    </row>
    <row r="714" spans="1:13" x14ac:dyDescent="0.3">
      <c r="A714" t="s">
        <v>1103</v>
      </c>
      <c r="B714">
        <v>76</v>
      </c>
      <c r="C714" t="s">
        <v>20</v>
      </c>
      <c r="D714" t="s">
        <v>13</v>
      </c>
      <c r="E714" t="s">
        <v>21</v>
      </c>
      <c r="F714" t="s">
        <v>751</v>
      </c>
      <c r="G714" t="s">
        <v>683</v>
      </c>
      <c r="H714">
        <v>8</v>
      </c>
      <c r="I714" s="1">
        <v>7336.37</v>
      </c>
      <c r="J714" t="s">
        <v>17</v>
      </c>
      <c r="K714" t="s">
        <v>18</v>
      </c>
      <c r="L714" t="str" cm="1">
        <f t="array" ref="L714">_xlfn.IFS(B714&lt;30,"18-29",B714&lt;45,"30-44",B714&lt;60,"45-59",B714&lt;75,"60-74",B714&lt;=90,"75-90")</f>
        <v>75-90</v>
      </c>
      <c r="M714" t="str">
        <f>IF(Table1[[#This Row],[length_of_stay_days]]&gt;7,"Yes","No")</f>
        <v>Yes</v>
      </c>
    </row>
    <row r="715" spans="1:13" x14ac:dyDescent="0.3">
      <c r="A715" t="s">
        <v>1104</v>
      </c>
      <c r="B715">
        <v>22</v>
      </c>
      <c r="C715" t="s">
        <v>20</v>
      </c>
      <c r="D715" t="s">
        <v>13</v>
      </c>
      <c r="E715" t="s">
        <v>14</v>
      </c>
      <c r="F715" t="s">
        <v>371</v>
      </c>
      <c r="G715" t="s">
        <v>1018</v>
      </c>
      <c r="H715">
        <v>4</v>
      </c>
      <c r="I715" s="1">
        <v>6007.12</v>
      </c>
      <c r="J715" t="s">
        <v>17</v>
      </c>
      <c r="K715" t="s">
        <v>18</v>
      </c>
      <c r="L715" t="str" cm="1">
        <f t="array" ref="L715">_xlfn.IFS(B715&lt;30,"18-29",B715&lt;45,"30-44",B715&lt;60,"45-59",B715&lt;75,"60-74",B715&lt;=90,"75-90")</f>
        <v>18-29</v>
      </c>
      <c r="M715" t="str">
        <f>IF(Table1[[#This Row],[length_of_stay_days]]&gt;7,"Yes","No")</f>
        <v>No</v>
      </c>
    </row>
    <row r="716" spans="1:13" x14ac:dyDescent="0.3">
      <c r="A716" t="s">
        <v>1105</v>
      </c>
      <c r="B716">
        <v>32</v>
      </c>
      <c r="C716" t="s">
        <v>12</v>
      </c>
      <c r="D716" t="s">
        <v>13</v>
      </c>
      <c r="E716" t="s">
        <v>14</v>
      </c>
      <c r="F716" t="s">
        <v>491</v>
      </c>
      <c r="G716" t="s">
        <v>328</v>
      </c>
      <c r="H716">
        <v>1</v>
      </c>
      <c r="I716" s="1">
        <v>5481.41</v>
      </c>
      <c r="J716" t="s">
        <v>17</v>
      </c>
      <c r="K716" t="s">
        <v>18</v>
      </c>
      <c r="L716" t="str" cm="1">
        <f t="array" ref="L716">_xlfn.IFS(B716&lt;30,"18-29",B716&lt;45,"30-44",B716&lt;60,"45-59",B716&lt;75,"60-74",B716&lt;=90,"75-90")</f>
        <v>30-44</v>
      </c>
      <c r="M716" t="str">
        <f>IF(Table1[[#This Row],[length_of_stay_days]]&gt;7,"Yes","No")</f>
        <v>No</v>
      </c>
    </row>
    <row r="717" spans="1:13" x14ac:dyDescent="0.3">
      <c r="A717" t="s">
        <v>1106</v>
      </c>
      <c r="B717">
        <v>78</v>
      </c>
      <c r="C717" t="s">
        <v>20</v>
      </c>
      <c r="D717" t="s">
        <v>55</v>
      </c>
      <c r="E717" t="s">
        <v>28</v>
      </c>
      <c r="F717" t="s">
        <v>469</v>
      </c>
      <c r="G717" t="s">
        <v>825</v>
      </c>
      <c r="H717">
        <v>4</v>
      </c>
      <c r="I717" s="1">
        <v>8160.06</v>
      </c>
      <c r="J717" t="s">
        <v>17</v>
      </c>
      <c r="K717" t="s">
        <v>18</v>
      </c>
      <c r="L717" t="str" cm="1">
        <f t="array" ref="L717">_xlfn.IFS(B717&lt;30,"18-29",B717&lt;45,"30-44",B717&lt;60,"45-59",B717&lt;75,"60-74",B717&lt;=90,"75-90")</f>
        <v>75-90</v>
      </c>
      <c r="M717" t="str">
        <f>IF(Table1[[#This Row],[length_of_stay_days]]&gt;7,"Yes","No")</f>
        <v>No</v>
      </c>
    </row>
    <row r="718" spans="1:13" x14ac:dyDescent="0.3">
      <c r="A718" t="s">
        <v>1107</v>
      </c>
      <c r="B718">
        <v>65</v>
      </c>
      <c r="C718" t="s">
        <v>20</v>
      </c>
      <c r="D718" t="s">
        <v>28</v>
      </c>
      <c r="E718" t="s">
        <v>14</v>
      </c>
      <c r="F718" t="s">
        <v>493</v>
      </c>
      <c r="G718" t="s">
        <v>342</v>
      </c>
      <c r="H718">
        <v>7</v>
      </c>
      <c r="I718" s="1">
        <v>8337.7000000000007</v>
      </c>
      <c r="J718" t="s">
        <v>17</v>
      </c>
      <c r="K718" t="s">
        <v>18</v>
      </c>
      <c r="L718" t="str" cm="1">
        <f t="array" ref="L718">_xlfn.IFS(B718&lt;30,"18-29",B718&lt;45,"30-44",B718&lt;60,"45-59",B718&lt;75,"60-74",B718&lt;=90,"75-90")</f>
        <v>60-74</v>
      </c>
      <c r="M718" t="str">
        <f>IF(Table1[[#This Row],[length_of_stay_days]]&gt;7,"Yes","No")</f>
        <v>No</v>
      </c>
    </row>
    <row r="719" spans="1:13" x14ac:dyDescent="0.3">
      <c r="A719" t="s">
        <v>1108</v>
      </c>
      <c r="B719">
        <v>61</v>
      </c>
      <c r="C719" t="s">
        <v>20</v>
      </c>
      <c r="D719" t="s">
        <v>13</v>
      </c>
      <c r="E719" t="s">
        <v>21</v>
      </c>
      <c r="F719" t="s">
        <v>126</v>
      </c>
      <c r="G719" t="s">
        <v>395</v>
      </c>
      <c r="H719">
        <v>3</v>
      </c>
      <c r="I719" s="1">
        <v>7146.77</v>
      </c>
      <c r="J719" t="s">
        <v>17</v>
      </c>
      <c r="K719" t="s">
        <v>18</v>
      </c>
      <c r="L719" t="str" cm="1">
        <f t="array" ref="L719">_xlfn.IFS(B719&lt;30,"18-29",B719&lt;45,"30-44",B719&lt;60,"45-59",B719&lt;75,"60-74",B719&lt;=90,"75-90")</f>
        <v>60-74</v>
      </c>
      <c r="M719" t="str">
        <f>IF(Table1[[#This Row],[length_of_stay_days]]&gt;7,"Yes","No")</f>
        <v>No</v>
      </c>
    </row>
    <row r="720" spans="1:13" x14ac:dyDescent="0.3">
      <c r="A720" t="s">
        <v>1109</v>
      </c>
      <c r="B720">
        <v>27</v>
      </c>
      <c r="C720" t="s">
        <v>20</v>
      </c>
      <c r="D720" t="s">
        <v>28</v>
      </c>
      <c r="E720" t="s">
        <v>21</v>
      </c>
      <c r="F720" t="s">
        <v>361</v>
      </c>
      <c r="G720" t="s">
        <v>155</v>
      </c>
      <c r="H720">
        <v>3</v>
      </c>
      <c r="I720" s="1">
        <v>6520.9</v>
      </c>
      <c r="J720" t="s">
        <v>17</v>
      </c>
      <c r="K720" t="s">
        <v>18</v>
      </c>
      <c r="L720" t="str" cm="1">
        <f t="array" ref="L720">_xlfn.IFS(B720&lt;30,"18-29",B720&lt;45,"30-44",B720&lt;60,"45-59",B720&lt;75,"60-74",B720&lt;=90,"75-90")</f>
        <v>18-29</v>
      </c>
      <c r="M720" t="str">
        <f>IF(Table1[[#This Row],[length_of_stay_days]]&gt;7,"Yes","No")</f>
        <v>No</v>
      </c>
    </row>
    <row r="721" spans="1:13" x14ac:dyDescent="0.3">
      <c r="A721" t="s">
        <v>1110</v>
      </c>
      <c r="B721">
        <v>42</v>
      </c>
      <c r="C721" t="s">
        <v>12</v>
      </c>
      <c r="D721" t="s">
        <v>32</v>
      </c>
      <c r="E721" t="s">
        <v>14</v>
      </c>
      <c r="F721" t="s">
        <v>270</v>
      </c>
      <c r="G721" t="s">
        <v>30</v>
      </c>
      <c r="H721">
        <v>3</v>
      </c>
      <c r="I721" s="1">
        <v>11731.33</v>
      </c>
      <c r="J721" t="s">
        <v>17</v>
      </c>
      <c r="K721" t="s">
        <v>18</v>
      </c>
      <c r="L721" t="str" cm="1">
        <f t="array" ref="L721">_xlfn.IFS(B721&lt;30,"18-29",B721&lt;45,"30-44",B721&lt;60,"45-59",B721&lt;75,"60-74",B721&lt;=90,"75-90")</f>
        <v>30-44</v>
      </c>
      <c r="M721" t="str">
        <f>IF(Table1[[#This Row],[length_of_stay_days]]&gt;7,"Yes","No")</f>
        <v>No</v>
      </c>
    </row>
    <row r="722" spans="1:13" x14ac:dyDescent="0.3">
      <c r="A722" t="s">
        <v>1111</v>
      </c>
      <c r="B722">
        <v>81</v>
      </c>
      <c r="C722" t="s">
        <v>20</v>
      </c>
      <c r="D722" t="s">
        <v>55</v>
      </c>
      <c r="E722" t="s">
        <v>28</v>
      </c>
      <c r="F722" t="s">
        <v>646</v>
      </c>
      <c r="G722" t="s">
        <v>447</v>
      </c>
      <c r="H722">
        <v>5</v>
      </c>
      <c r="I722" s="1">
        <v>7438.44</v>
      </c>
      <c r="J722" t="s">
        <v>17</v>
      </c>
      <c r="K722" t="s">
        <v>18</v>
      </c>
      <c r="L722" t="str" cm="1">
        <f t="array" ref="L722">_xlfn.IFS(B722&lt;30,"18-29",B722&lt;45,"30-44",B722&lt;60,"45-59",B722&lt;75,"60-74",B722&lt;=90,"75-90")</f>
        <v>75-90</v>
      </c>
      <c r="M722" t="str">
        <f>IF(Table1[[#This Row],[length_of_stay_days]]&gt;7,"Yes","No")</f>
        <v>No</v>
      </c>
    </row>
    <row r="723" spans="1:13" x14ac:dyDescent="0.3">
      <c r="A723" t="s">
        <v>1112</v>
      </c>
      <c r="B723">
        <v>59</v>
      </c>
      <c r="C723" t="s">
        <v>12</v>
      </c>
      <c r="D723" t="s">
        <v>55</v>
      </c>
      <c r="E723" t="s">
        <v>21</v>
      </c>
      <c r="F723" t="s">
        <v>319</v>
      </c>
      <c r="G723" t="s">
        <v>89</v>
      </c>
      <c r="H723">
        <v>5</v>
      </c>
      <c r="I723" s="1">
        <v>11183.33</v>
      </c>
      <c r="J723" t="s">
        <v>17</v>
      </c>
      <c r="K723" t="s">
        <v>18</v>
      </c>
      <c r="L723" t="str" cm="1">
        <f t="array" ref="L723">_xlfn.IFS(B723&lt;30,"18-29",B723&lt;45,"30-44",B723&lt;60,"45-59",B723&lt;75,"60-74",B723&lt;=90,"75-90")</f>
        <v>45-59</v>
      </c>
      <c r="M723" t="str">
        <f>IF(Table1[[#This Row],[length_of_stay_days]]&gt;7,"Yes","No")</f>
        <v>No</v>
      </c>
    </row>
    <row r="724" spans="1:13" x14ac:dyDescent="0.3">
      <c r="A724" t="s">
        <v>1113</v>
      </c>
      <c r="B724">
        <v>23</v>
      </c>
      <c r="C724" t="s">
        <v>12</v>
      </c>
      <c r="D724" t="s">
        <v>46</v>
      </c>
      <c r="E724" t="s">
        <v>28</v>
      </c>
      <c r="F724" t="s">
        <v>381</v>
      </c>
      <c r="G724" t="s">
        <v>382</v>
      </c>
      <c r="H724">
        <v>5</v>
      </c>
      <c r="I724" s="1">
        <v>11290.74</v>
      </c>
      <c r="J724" t="s">
        <v>17</v>
      </c>
      <c r="K724" t="s">
        <v>18</v>
      </c>
      <c r="L724" t="str" cm="1">
        <f t="array" ref="L724">_xlfn.IFS(B724&lt;30,"18-29",B724&lt;45,"30-44",B724&lt;60,"45-59",B724&lt;75,"60-74",B724&lt;=90,"75-90")</f>
        <v>18-29</v>
      </c>
      <c r="M724" t="str">
        <f>IF(Table1[[#This Row],[length_of_stay_days]]&gt;7,"Yes","No")</f>
        <v>No</v>
      </c>
    </row>
    <row r="725" spans="1:13" x14ac:dyDescent="0.3">
      <c r="A725" t="s">
        <v>1114</v>
      </c>
      <c r="B725">
        <v>49</v>
      </c>
      <c r="C725" t="s">
        <v>12</v>
      </c>
      <c r="D725" t="s">
        <v>13</v>
      </c>
      <c r="E725" t="s">
        <v>28</v>
      </c>
      <c r="F725" t="s">
        <v>195</v>
      </c>
      <c r="G725" t="s">
        <v>118</v>
      </c>
      <c r="H725">
        <v>2</v>
      </c>
      <c r="I725" s="1">
        <v>3931.07</v>
      </c>
      <c r="J725" t="s">
        <v>17</v>
      </c>
      <c r="K725" t="s">
        <v>18</v>
      </c>
      <c r="L725" t="str" cm="1">
        <f t="array" ref="L725">_xlfn.IFS(B725&lt;30,"18-29",B725&lt;45,"30-44",B725&lt;60,"45-59",B725&lt;75,"60-74",B725&lt;=90,"75-90")</f>
        <v>45-59</v>
      </c>
      <c r="M725" t="str">
        <f>IF(Table1[[#This Row],[length_of_stay_days]]&gt;7,"Yes","No")</f>
        <v>No</v>
      </c>
    </row>
    <row r="726" spans="1:13" x14ac:dyDescent="0.3">
      <c r="A726" t="s">
        <v>1115</v>
      </c>
      <c r="B726">
        <v>68</v>
      </c>
      <c r="C726" t="s">
        <v>20</v>
      </c>
      <c r="D726" t="s">
        <v>28</v>
      </c>
      <c r="E726" t="s">
        <v>28</v>
      </c>
      <c r="F726" t="s">
        <v>776</v>
      </c>
      <c r="G726" t="s">
        <v>422</v>
      </c>
      <c r="H726">
        <v>7</v>
      </c>
      <c r="I726" s="1">
        <v>6176.28</v>
      </c>
      <c r="J726" t="s">
        <v>49</v>
      </c>
      <c r="K726" t="s">
        <v>18</v>
      </c>
      <c r="L726" t="str" cm="1">
        <f t="array" ref="L726">_xlfn.IFS(B726&lt;30,"18-29",B726&lt;45,"30-44",B726&lt;60,"45-59",B726&lt;75,"60-74",B726&lt;=90,"75-90")</f>
        <v>60-74</v>
      </c>
      <c r="M726" t="str">
        <f>IF(Table1[[#This Row],[length_of_stay_days]]&gt;7,"Yes","No")</f>
        <v>No</v>
      </c>
    </row>
    <row r="727" spans="1:13" x14ac:dyDescent="0.3">
      <c r="A727" t="s">
        <v>1116</v>
      </c>
      <c r="B727">
        <v>72</v>
      </c>
      <c r="C727" t="s">
        <v>20</v>
      </c>
      <c r="D727" t="s">
        <v>51</v>
      </c>
      <c r="E727" t="s">
        <v>21</v>
      </c>
      <c r="F727" t="s">
        <v>797</v>
      </c>
      <c r="G727" t="s">
        <v>135</v>
      </c>
      <c r="H727">
        <v>11</v>
      </c>
      <c r="I727" s="1">
        <v>14590.96</v>
      </c>
      <c r="J727" t="s">
        <v>49</v>
      </c>
      <c r="K727" t="s">
        <v>18</v>
      </c>
      <c r="L727" t="str" cm="1">
        <f t="array" ref="L727">_xlfn.IFS(B727&lt;30,"18-29",B727&lt;45,"30-44",B727&lt;60,"45-59",B727&lt;75,"60-74",B727&lt;=90,"75-90")</f>
        <v>60-74</v>
      </c>
      <c r="M727" t="str">
        <f>IF(Table1[[#This Row],[length_of_stay_days]]&gt;7,"Yes","No")</f>
        <v>Yes</v>
      </c>
    </row>
    <row r="728" spans="1:13" x14ac:dyDescent="0.3">
      <c r="A728" t="s">
        <v>1117</v>
      </c>
      <c r="B728">
        <v>62</v>
      </c>
      <c r="C728" t="s">
        <v>12</v>
      </c>
      <c r="D728" t="s">
        <v>28</v>
      </c>
      <c r="E728" t="s">
        <v>28</v>
      </c>
      <c r="F728" t="s">
        <v>99</v>
      </c>
      <c r="G728" t="s">
        <v>604</v>
      </c>
      <c r="H728">
        <v>4</v>
      </c>
      <c r="I728" s="1">
        <v>5932.86</v>
      </c>
      <c r="J728" t="s">
        <v>17</v>
      </c>
      <c r="K728" t="s">
        <v>18</v>
      </c>
      <c r="L728" t="str" cm="1">
        <f t="array" ref="L728">_xlfn.IFS(B728&lt;30,"18-29",B728&lt;45,"30-44",B728&lt;60,"45-59",B728&lt;75,"60-74",B728&lt;=90,"75-90")</f>
        <v>60-74</v>
      </c>
      <c r="M728" t="str">
        <f>IF(Table1[[#This Row],[length_of_stay_days]]&gt;7,"Yes","No")</f>
        <v>No</v>
      </c>
    </row>
    <row r="729" spans="1:13" x14ac:dyDescent="0.3">
      <c r="A729" t="s">
        <v>1118</v>
      </c>
      <c r="B729">
        <v>79</v>
      </c>
      <c r="C729" t="s">
        <v>12</v>
      </c>
      <c r="D729" t="s">
        <v>32</v>
      </c>
      <c r="E729" t="s">
        <v>21</v>
      </c>
      <c r="F729" t="s">
        <v>118</v>
      </c>
      <c r="G729" t="s">
        <v>15</v>
      </c>
      <c r="H729">
        <v>7</v>
      </c>
      <c r="I729" s="1">
        <v>13445.38</v>
      </c>
      <c r="J729" t="s">
        <v>49</v>
      </c>
      <c r="K729" t="s">
        <v>18</v>
      </c>
      <c r="L729" t="str" cm="1">
        <f t="array" ref="L729">_xlfn.IFS(B729&lt;30,"18-29",B729&lt;45,"30-44",B729&lt;60,"45-59",B729&lt;75,"60-74",B729&lt;=90,"75-90")</f>
        <v>75-90</v>
      </c>
      <c r="M729" t="str">
        <f>IF(Table1[[#This Row],[length_of_stay_days]]&gt;7,"Yes","No")</f>
        <v>No</v>
      </c>
    </row>
    <row r="730" spans="1:13" x14ac:dyDescent="0.3">
      <c r="A730" t="s">
        <v>1119</v>
      </c>
      <c r="B730">
        <v>22</v>
      </c>
      <c r="C730" t="s">
        <v>20</v>
      </c>
      <c r="D730" t="s">
        <v>13</v>
      </c>
      <c r="E730" t="s">
        <v>14</v>
      </c>
      <c r="F730" t="s">
        <v>563</v>
      </c>
      <c r="G730" t="s">
        <v>203</v>
      </c>
      <c r="H730">
        <v>7</v>
      </c>
      <c r="I730" s="1">
        <v>9354.76</v>
      </c>
      <c r="J730" t="s">
        <v>17</v>
      </c>
      <c r="K730" t="s">
        <v>18</v>
      </c>
      <c r="L730" t="str" cm="1">
        <f t="array" ref="L730">_xlfn.IFS(B730&lt;30,"18-29",B730&lt;45,"30-44",B730&lt;60,"45-59",B730&lt;75,"60-74",B730&lt;=90,"75-90")</f>
        <v>18-29</v>
      </c>
      <c r="M730" t="str">
        <f>IF(Table1[[#This Row],[length_of_stay_days]]&gt;7,"Yes","No")</f>
        <v>No</v>
      </c>
    </row>
    <row r="731" spans="1:13" x14ac:dyDescent="0.3">
      <c r="A731" t="s">
        <v>1120</v>
      </c>
      <c r="B731">
        <v>54</v>
      </c>
      <c r="C731" t="s">
        <v>20</v>
      </c>
      <c r="D731" t="s">
        <v>46</v>
      </c>
      <c r="E731" t="s">
        <v>28</v>
      </c>
      <c r="F731" t="s">
        <v>846</v>
      </c>
      <c r="G731" t="s">
        <v>352</v>
      </c>
      <c r="H731">
        <v>8</v>
      </c>
      <c r="I731" s="1">
        <v>15569.07</v>
      </c>
      <c r="J731" t="s">
        <v>17</v>
      </c>
      <c r="K731" t="s">
        <v>18</v>
      </c>
      <c r="L731" t="str" cm="1">
        <f t="array" ref="L731">_xlfn.IFS(B731&lt;30,"18-29",B731&lt;45,"30-44",B731&lt;60,"45-59",B731&lt;75,"60-74",B731&lt;=90,"75-90")</f>
        <v>45-59</v>
      </c>
      <c r="M731" t="str">
        <f>IF(Table1[[#This Row],[length_of_stay_days]]&gt;7,"Yes","No")</f>
        <v>Yes</v>
      </c>
    </row>
    <row r="732" spans="1:13" x14ac:dyDescent="0.3">
      <c r="A732" t="s">
        <v>1121</v>
      </c>
      <c r="B732">
        <v>20</v>
      </c>
      <c r="C732" t="s">
        <v>20</v>
      </c>
      <c r="D732" t="s">
        <v>46</v>
      </c>
      <c r="E732" t="s">
        <v>21</v>
      </c>
      <c r="F732" t="s">
        <v>328</v>
      </c>
      <c r="G732" t="s">
        <v>152</v>
      </c>
      <c r="H732">
        <v>5</v>
      </c>
      <c r="I732" s="1">
        <v>13814.81</v>
      </c>
      <c r="J732" t="s">
        <v>17</v>
      </c>
      <c r="K732" t="s">
        <v>18</v>
      </c>
      <c r="L732" t="str" cm="1">
        <f t="array" ref="L732">_xlfn.IFS(B732&lt;30,"18-29",B732&lt;45,"30-44",B732&lt;60,"45-59",B732&lt;75,"60-74",B732&lt;=90,"75-90")</f>
        <v>18-29</v>
      </c>
      <c r="M732" t="str">
        <f>IF(Table1[[#This Row],[length_of_stay_days]]&gt;7,"Yes","No")</f>
        <v>No</v>
      </c>
    </row>
    <row r="733" spans="1:13" x14ac:dyDescent="0.3">
      <c r="A733" t="s">
        <v>1122</v>
      </c>
      <c r="B733">
        <v>81</v>
      </c>
      <c r="C733" t="s">
        <v>20</v>
      </c>
      <c r="D733" t="s">
        <v>13</v>
      </c>
      <c r="E733" t="s">
        <v>14</v>
      </c>
      <c r="F733" t="s">
        <v>395</v>
      </c>
      <c r="G733" t="s">
        <v>829</v>
      </c>
      <c r="H733">
        <v>6</v>
      </c>
      <c r="I733" s="1">
        <v>8067.53</v>
      </c>
      <c r="J733" t="s">
        <v>49</v>
      </c>
      <c r="K733" t="s">
        <v>18</v>
      </c>
      <c r="L733" t="str" cm="1">
        <f t="array" ref="L733">_xlfn.IFS(B733&lt;30,"18-29",B733&lt;45,"30-44",B733&lt;60,"45-59",B733&lt;75,"60-74",B733&lt;=90,"75-90")</f>
        <v>75-90</v>
      </c>
      <c r="M733" t="str">
        <f>IF(Table1[[#This Row],[length_of_stay_days]]&gt;7,"Yes","No")</f>
        <v>No</v>
      </c>
    </row>
    <row r="734" spans="1:13" x14ac:dyDescent="0.3">
      <c r="A734" t="s">
        <v>1123</v>
      </c>
      <c r="B734">
        <v>78</v>
      </c>
      <c r="C734" t="s">
        <v>20</v>
      </c>
      <c r="D734" t="s">
        <v>28</v>
      </c>
      <c r="E734" t="s">
        <v>28</v>
      </c>
      <c r="F734" t="s">
        <v>358</v>
      </c>
      <c r="G734" t="s">
        <v>555</v>
      </c>
      <c r="H734">
        <v>7</v>
      </c>
      <c r="I734" s="1">
        <v>6313.79</v>
      </c>
      <c r="J734" t="s">
        <v>17</v>
      </c>
      <c r="K734" t="s">
        <v>18</v>
      </c>
      <c r="L734" t="str" cm="1">
        <f t="array" ref="L734">_xlfn.IFS(B734&lt;30,"18-29",B734&lt;45,"30-44",B734&lt;60,"45-59",B734&lt;75,"60-74",B734&lt;=90,"75-90")</f>
        <v>75-90</v>
      </c>
      <c r="M734" t="str">
        <f>IF(Table1[[#This Row],[length_of_stay_days]]&gt;7,"Yes","No")</f>
        <v>No</v>
      </c>
    </row>
    <row r="735" spans="1:13" x14ac:dyDescent="0.3">
      <c r="A735" t="s">
        <v>1124</v>
      </c>
      <c r="B735">
        <v>35</v>
      </c>
      <c r="C735" t="s">
        <v>20</v>
      </c>
      <c r="D735" t="s">
        <v>55</v>
      </c>
      <c r="E735" t="s">
        <v>14</v>
      </c>
      <c r="F735" t="s">
        <v>306</v>
      </c>
      <c r="G735" t="s">
        <v>192</v>
      </c>
      <c r="H735">
        <v>6</v>
      </c>
      <c r="I735" s="1">
        <v>10822.42</v>
      </c>
      <c r="J735" t="s">
        <v>49</v>
      </c>
      <c r="K735" t="s">
        <v>18</v>
      </c>
      <c r="L735" t="str" cm="1">
        <f t="array" ref="L735">_xlfn.IFS(B735&lt;30,"18-29",B735&lt;45,"30-44",B735&lt;60,"45-59",B735&lt;75,"60-74",B735&lt;=90,"75-90")</f>
        <v>30-44</v>
      </c>
      <c r="M735" t="str">
        <f>IF(Table1[[#This Row],[length_of_stay_days]]&gt;7,"Yes","No")</f>
        <v>No</v>
      </c>
    </row>
    <row r="736" spans="1:13" x14ac:dyDescent="0.3">
      <c r="A736" t="s">
        <v>1125</v>
      </c>
      <c r="B736">
        <v>27</v>
      </c>
      <c r="C736" t="s">
        <v>20</v>
      </c>
      <c r="D736" t="s">
        <v>32</v>
      </c>
      <c r="E736" t="s">
        <v>28</v>
      </c>
      <c r="F736" t="s">
        <v>118</v>
      </c>
      <c r="G736" t="s">
        <v>138</v>
      </c>
      <c r="H736">
        <v>3</v>
      </c>
      <c r="I736" s="1">
        <v>10750.82</v>
      </c>
      <c r="J736" t="s">
        <v>17</v>
      </c>
      <c r="K736" t="s">
        <v>18</v>
      </c>
      <c r="L736" t="str" cm="1">
        <f t="array" ref="L736">_xlfn.IFS(B736&lt;30,"18-29",B736&lt;45,"30-44",B736&lt;60,"45-59",B736&lt;75,"60-74",B736&lt;=90,"75-90")</f>
        <v>18-29</v>
      </c>
      <c r="M736" t="str">
        <f>IF(Table1[[#This Row],[length_of_stay_days]]&gt;7,"Yes","No")</f>
        <v>No</v>
      </c>
    </row>
    <row r="737" spans="1:13" x14ac:dyDescent="0.3">
      <c r="A737" t="s">
        <v>1126</v>
      </c>
      <c r="B737">
        <v>78</v>
      </c>
      <c r="C737" t="s">
        <v>20</v>
      </c>
      <c r="D737" t="s">
        <v>51</v>
      </c>
      <c r="E737" t="s">
        <v>28</v>
      </c>
      <c r="F737" t="s">
        <v>148</v>
      </c>
      <c r="G737" t="s">
        <v>194</v>
      </c>
      <c r="H737">
        <v>5</v>
      </c>
      <c r="I737" s="1">
        <v>11284.65</v>
      </c>
      <c r="J737" t="s">
        <v>17</v>
      </c>
      <c r="K737" t="s">
        <v>18</v>
      </c>
      <c r="L737" t="str" cm="1">
        <f t="array" ref="L737">_xlfn.IFS(B737&lt;30,"18-29",B737&lt;45,"30-44",B737&lt;60,"45-59",B737&lt;75,"60-74",B737&lt;=90,"75-90")</f>
        <v>75-90</v>
      </c>
      <c r="M737" t="str">
        <f>IF(Table1[[#This Row],[length_of_stay_days]]&gt;7,"Yes","No")</f>
        <v>No</v>
      </c>
    </row>
    <row r="738" spans="1:13" x14ac:dyDescent="0.3">
      <c r="A738" t="s">
        <v>1127</v>
      </c>
      <c r="B738">
        <v>80</v>
      </c>
      <c r="C738" t="s">
        <v>70</v>
      </c>
      <c r="D738" t="s">
        <v>51</v>
      </c>
      <c r="E738" t="s">
        <v>21</v>
      </c>
      <c r="F738" t="s">
        <v>941</v>
      </c>
      <c r="G738" t="s">
        <v>129</v>
      </c>
      <c r="H738">
        <v>7</v>
      </c>
      <c r="I738" s="1">
        <v>10400.9</v>
      </c>
      <c r="J738" t="s">
        <v>17</v>
      </c>
      <c r="K738" t="s">
        <v>44</v>
      </c>
      <c r="L738" t="str" cm="1">
        <f t="array" ref="L738">_xlfn.IFS(B738&lt;30,"18-29",B738&lt;45,"30-44",B738&lt;60,"45-59",B738&lt;75,"60-74",B738&lt;=90,"75-90")</f>
        <v>75-90</v>
      </c>
      <c r="M738" t="str">
        <f>IF(Table1[[#This Row],[length_of_stay_days]]&gt;7,"Yes","No")</f>
        <v>No</v>
      </c>
    </row>
    <row r="739" spans="1:13" x14ac:dyDescent="0.3">
      <c r="A739" t="s">
        <v>1128</v>
      </c>
      <c r="B739">
        <v>88</v>
      </c>
      <c r="C739" t="s">
        <v>12</v>
      </c>
      <c r="D739" t="s">
        <v>55</v>
      </c>
      <c r="E739" t="s">
        <v>28</v>
      </c>
      <c r="F739" t="s">
        <v>61</v>
      </c>
      <c r="G739" t="s">
        <v>765</v>
      </c>
      <c r="H739">
        <v>9</v>
      </c>
      <c r="I739" s="1">
        <v>12533.24</v>
      </c>
      <c r="J739" t="s">
        <v>17</v>
      </c>
      <c r="K739" t="s">
        <v>18</v>
      </c>
      <c r="L739" t="str" cm="1">
        <f t="array" ref="L739">_xlfn.IFS(B739&lt;30,"18-29",B739&lt;45,"30-44",B739&lt;60,"45-59",B739&lt;75,"60-74",B739&lt;=90,"75-90")</f>
        <v>75-90</v>
      </c>
      <c r="M739" t="str">
        <f>IF(Table1[[#This Row],[length_of_stay_days]]&gt;7,"Yes","No")</f>
        <v>Yes</v>
      </c>
    </row>
    <row r="740" spans="1:13" x14ac:dyDescent="0.3">
      <c r="A740" t="s">
        <v>1129</v>
      </c>
      <c r="B740">
        <v>51</v>
      </c>
      <c r="C740" t="s">
        <v>20</v>
      </c>
      <c r="D740" t="s">
        <v>46</v>
      </c>
      <c r="E740" t="s">
        <v>14</v>
      </c>
      <c r="F740" t="s">
        <v>158</v>
      </c>
      <c r="G740" t="s">
        <v>194</v>
      </c>
      <c r="H740">
        <v>6</v>
      </c>
      <c r="I740" s="1">
        <v>10875.77</v>
      </c>
      <c r="J740" t="s">
        <v>17</v>
      </c>
      <c r="K740" t="s">
        <v>18</v>
      </c>
      <c r="L740" t="str" cm="1">
        <f t="array" ref="L740">_xlfn.IFS(B740&lt;30,"18-29",B740&lt;45,"30-44",B740&lt;60,"45-59",B740&lt;75,"60-74",B740&lt;=90,"75-90")</f>
        <v>45-59</v>
      </c>
      <c r="M740" t="str">
        <f>IF(Table1[[#This Row],[length_of_stay_days]]&gt;7,"Yes","No")</f>
        <v>No</v>
      </c>
    </row>
    <row r="741" spans="1:13" x14ac:dyDescent="0.3">
      <c r="A741" t="s">
        <v>1130</v>
      </c>
      <c r="B741">
        <v>89</v>
      </c>
      <c r="C741" t="s">
        <v>12</v>
      </c>
      <c r="D741" t="s">
        <v>32</v>
      </c>
      <c r="E741" t="s">
        <v>21</v>
      </c>
      <c r="F741" t="s">
        <v>491</v>
      </c>
      <c r="G741" t="s">
        <v>126</v>
      </c>
      <c r="H741">
        <v>11</v>
      </c>
      <c r="I741" s="1">
        <v>13611.38</v>
      </c>
      <c r="J741" t="s">
        <v>17</v>
      </c>
      <c r="K741" t="s">
        <v>18</v>
      </c>
      <c r="L741" t="str" cm="1">
        <f t="array" ref="L741">_xlfn.IFS(B741&lt;30,"18-29",B741&lt;45,"30-44",B741&lt;60,"45-59",B741&lt;75,"60-74",B741&lt;=90,"75-90")</f>
        <v>75-90</v>
      </c>
      <c r="M741" t="str">
        <f>IF(Table1[[#This Row],[length_of_stay_days]]&gt;7,"Yes","No")</f>
        <v>Yes</v>
      </c>
    </row>
    <row r="742" spans="1:13" x14ac:dyDescent="0.3">
      <c r="A742" t="s">
        <v>1131</v>
      </c>
      <c r="B742">
        <v>86</v>
      </c>
      <c r="C742" t="s">
        <v>12</v>
      </c>
      <c r="D742" t="s">
        <v>28</v>
      </c>
      <c r="E742" t="s">
        <v>14</v>
      </c>
      <c r="F742" t="s">
        <v>613</v>
      </c>
      <c r="G742" t="s">
        <v>65</v>
      </c>
      <c r="H742">
        <v>6</v>
      </c>
      <c r="I742" s="1">
        <v>8159.04</v>
      </c>
      <c r="J742" t="s">
        <v>17</v>
      </c>
      <c r="K742" t="s">
        <v>18</v>
      </c>
      <c r="L742" t="str" cm="1">
        <f t="array" ref="L742">_xlfn.IFS(B742&lt;30,"18-29",B742&lt;45,"30-44",B742&lt;60,"45-59",B742&lt;75,"60-74",B742&lt;=90,"75-90")</f>
        <v>75-90</v>
      </c>
      <c r="M742" t="str">
        <f>IF(Table1[[#This Row],[length_of_stay_days]]&gt;7,"Yes","No")</f>
        <v>No</v>
      </c>
    </row>
    <row r="743" spans="1:13" x14ac:dyDescent="0.3">
      <c r="A743" t="s">
        <v>1132</v>
      </c>
      <c r="B743">
        <v>90</v>
      </c>
      <c r="C743" t="s">
        <v>12</v>
      </c>
      <c r="D743" t="s">
        <v>28</v>
      </c>
      <c r="E743" t="s">
        <v>14</v>
      </c>
      <c r="F743" t="s">
        <v>259</v>
      </c>
      <c r="G743" t="s">
        <v>724</v>
      </c>
      <c r="H743">
        <v>7</v>
      </c>
      <c r="I743" s="1">
        <v>8234.8700000000008</v>
      </c>
      <c r="J743" t="s">
        <v>17</v>
      </c>
      <c r="K743" t="s">
        <v>18</v>
      </c>
      <c r="L743" t="str" cm="1">
        <f t="array" ref="L743">_xlfn.IFS(B743&lt;30,"18-29",B743&lt;45,"30-44",B743&lt;60,"45-59",B743&lt;75,"60-74",B743&lt;=90,"75-90")</f>
        <v>75-90</v>
      </c>
      <c r="M743" t="str">
        <f>IF(Table1[[#This Row],[length_of_stay_days]]&gt;7,"Yes","No")</f>
        <v>No</v>
      </c>
    </row>
    <row r="744" spans="1:13" x14ac:dyDescent="0.3">
      <c r="A744" t="s">
        <v>1133</v>
      </c>
      <c r="B744">
        <v>21</v>
      </c>
      <c r="C744" t="s">
        <v>20</v>
      </c>
      <c r="D744" t="s">
        <v>28</v>
      </c>
      <c r="E744" t="s">
        <v>14</v>
      </c>
      <c r="F744" t="s">
        <v>678</v>
      </c>
      <c r="G744" t="s">
        <v>304</v>
      </c>
      <c r="H744">
        <v>2</v>
      </c>
      <c r="I744" s="1">
        <v>3156.88</v>
      </c>
      <c r="J744" t="s">
        <v>17</v>
      </c>
      <c r="K744" t="s">
        <v>18</v>
      </c>
      <c r="L744" t="str" cm="1">
        <f t="array" ref="L744">_xlfn.IFS(B744&lt;30,"18-29",B744&lt;45,"30-44",B744&lt;60,"45-59",B744&lt;75,"60-74",B744&lt;=90,"75-90")</f>
        <v>18-29</v>
      </c>
      <c r="M744" t="str">
        <f>IF(Table1[[#This Row],[length_of_stay_days]]&gt;7,"Yes","No")</f>
        <v>No</v>
      </c>
    </row>
    <row r="745" spans="1:13" x14ac:dyDescent="0.3">
      <c r="A745" t="s">
        <v>1134</v>
      </c>
      <c r="B745">
        <v>47</v>
      </c>
      <c r="C745" t="s">
        <v>20</v>
      </c>
      <c r="D745" t="s">
        <v>28</v>
      </c>
      <c r="E745" t="s">
        <v>28</v>
      </c>
      <c r="F745" t="s">
        <v>1135</v>
      </c>
      <c r="G745" t="s">
        <v>846</v>
      </c>
      <c r="H745">
        <v>5</v>
      </c>
      <c r="I745" s="1">
        <v>5121.2299999999996</v>
      </c>
      <c r="J745" t="s">
        <v>17</v>
      </c>
      <c r="K745" t="s">
        <v>18</v>
      </c>
      <c r="L745" t="str" cm="1">
        <f t="array" ref="L745">_xlfn.IFS(B745&lt;30,"18-29",B745&lt;45,"30-44",B745&lt;60,"45-59",B745&lt;75,"60-74",B745&lt;=90,"75-90")</f>
        <v>45-59</v>
      </c>
      <c r="M745" t="str">
        <f>IF(Table1[[#This Row],[length_of_stay_days]]&gt;7,"Yes","No")</f>
        <v>No</v>
      </c>
    </row>
    <row r="746" spans="1:13" x14ac:dyDescent="0.3">
      <c r="A746" t="s">
        <v>1136</v>
      </c>
      <c r="B746">
        <v>81</v>
      </c>
      <c r="C746" t="s">
        <v>20</v>
      </c>
      <c r="D746" t="s">
        <v>51</v>
      </c>
      <c r="E746" t="s">
        <v>28</v>
      </c>
      <c r="F746" t="s">
        <v>58</v>
      </c>
      <c r="G746" t="s">
        <v>491</v>
      </c>
      <c r="H746">
        <v>3</v>
      </c>
      <c r="I746" s="1">
        <v>11414.72</v>
      </c>
      <c r="J746" t="s">
        <v>49</v>
      </c>
      <c r="K746" t="s">
        <v>18</v>
      </c>
      <c r="L746" t="str" cm="1">
        <f t="array" ref="L746">_xlfn.IFS(B746&lt;30,"18-29",B746&lt;45,"30-44",B746&lt;60,"45-59",B746&lt;75,"60-74",B746&lt;=90,"75-90")</f>
        <v>75-90</v>
      </c>
      <c r="M746" t="str">
        <f>IF(Table1[[#This Row],[length_of_stay_days]]&gt;7,"Yes","No")</f>
        <v>No</v>
      </c>
    </row>
    <row r="747" spans="1:13" x14ac:dyDescent="0.3">
      <c r="A747" t="s">
        <v>1137</v>
      </c>
      <c r="B747">
        <v>58</v>
      </c>
      <c r="C747" t="s">
        <v>12</v>
      </c>
      <c r="D747" t="s">
        <v>28</v>
      </c>
      <c r="E747" t="s">
        <v>14</v>
      </c>
      <c r="F747" t="s">
        <v>399</v>
      </c>
      <c r="G747" t="s">
        <v>106</v>
      </c>
      <c r="H747">
        <v>4</v>
      </c>
      <c r="I747" s="1">
        <v>6044.62</v>
      </c>
      <c r="J747" t="s">
        <v>17</v>
      </c>
      <c r="K747" t="s">
        <v>18</v>
      </c>
      <c r="L747" t="str" cm="1">
        <f t="array" ref="L747">_xlfn.IFS(B747&lt;30,"18-29",B747&lt;45,"30-44",B747&lt;60,"45-59",B747&lt;75,"60-74",B747&lt;=90,"75-90")</f>
        <v>45-59</v>
      </c>
      <c r="M747" t="str">
        <f>IF(Table1[[#This Row],[length_of_stay_days]]&gt;7,"Yes","No")</f>
        <v>No</v>
      </c>
    </row>
    <row r="748" spans="1:13" x14ac:dyDescent="0.3">
      <c r="A748" t="s">
        <v>1138</v>
      </c>
      <c r="B748">
        <v>57</v>
      </c>
      <c r="C748" t="s">
        <v>12</v>
      </c>
      <c r="D748" t="s">
        <v>28</v>
      </c>
      <c r="E748" t="s">
        <v>28</v>
      </c>
      <c r="F748" t="s">
        <v>712</v>
      </c>
      <c r="G748" t="s">
        <v>363</v>
      </c>
      <c r="H748">
        <v>3</v>
      </c>
      <c r="I748" s="1">
        <v>6170.64</v>
      </c>
      <c r="J748" t="s">
        <v>17</v>
      </c>
      <c r="K748" t="s">
        <v>18</v>
      </c>
      <c r="L748" t="str" cm="1">
        <f t="array" ref="L748">_xlfn.IFS(B748&lt;30,"18-29",B748&lt;45,"30-44",B748&lt;60,"45-59",B748&lt;75,"60-74",B748&lt;=90,"75-90")</f>
        <v>45-59</v>
      </c>
      <c r="M748" t="str">
        <f>IF(Table1[[#This Row],[length_of_stay_days]]&gt;7,"Yes","No")</f>
        <v>No</v>
      </c>
    </row>
    <row r="749" spans="1:13" x14ac:dyDescent="0.3">
      <c r="A749" t="s">
        <v>1139</v>
      </c>
      <c r="B749">
        <v>44</v>
      </c>
      <c r="C749" t="s">
        <v>20</v>
      </c>
      <c r="D749" t="s">
        <v>46</v>
      </c>
      <c r="E749" t="s">
        <v>28</v>
      </c>
      <c r="F749" t="s">
        <v>203</v>
      </c>
      <c r="G749" t="s">
        <v>189</v>
      </c>
      <c r="H749">
        <v>9</v>
      </c>
      <c r="I749" s="1">
        <v>13675.99</v>
      </c>
      <c r="J749" t="s">
        <v>17</v>
      </c>
      <c r="K749" t="s">
        <v>18</v>
      </c>
      <c r="L749" t="str" cm="1">
        <f t="array" ref="L749">_xlfn.IFS(B749&lt;30,"18-29",B749&lt;45,"30-44",B749&lt;60,"45-59",B749&lt;75,"60-74",B749&lt;=90,"75-90")</f>
        <v>30-44</v>
      </c>
      <c r="M749" t="str">
        <f>IF(Table1[[#This Row],[length_of_stay_days]]&gt;7,"Yes","No")</f>
        <v>Yes</v>
      </c>
    </row>
    <row r="750" spans="1:13" x14ac:dyDescent="0.3">
      <c r="A750" t="s">
        <v>1140</v>
      </c>
      <c r="B750">
        <v>66</v>
      </c>
      <c r="C750" t="s">
        <v>12</v>
      </c>
      <c r="D750" t="s">
        <v>51</v>
      </c>
      <c r="E750" t="s">
        <v>28</v>
      </c>
      <c r="F750" t="s">
        <v>596</v>
      </c>
      <c r="G750" t="s">
        <v>99</v>
      </c>
      <c r="H750">
        <v>6</v>
      </c>
      <c r="I750" s="1">
        <v>8666.35</v>
      </c>
      <c r="J750" t="s">
        <v>17</v>
      </c>
      <c r="K750" t="s">
        <v>44</v>
      </c>
      <c r="L750" t="str" cm="1">
        <f t="array" ref="L750">_xlfn.IFS(B750&lt;30,"18-29",B750&lt;45,"30-44",B750&lt;60,"45-59",B750&lt;75,"60-74",B750&lt;=90,"75-90")</f>
        <v>60-74</v>
      </c>
      <c r="M750" t="str">
        <f>IF(Table1[[#This Row],[length_of_stay_days]]&gt;7,"Yes","No")</f>
        <v>No</v>
      </c>
    </row>
    <row r="751" spans="1:13" x14ac:dyDescent="0.3">
      <c r="A751" t="s">
        <v>1141</v>
      </c>
      <c r="B751">
        <v>89</v>
      </c>
      <c r="C751" t="s">
        <v>20</v>
      </c>
      <c r="D751" t="s">
        <v>32</v>
      </c>
      <c r="E751" t="s">
        <v>28</v>
      </c>
      <c r="F751" t="s">
        <v>109</v>
      </c>
      <c r="G751" t="s">
        <v>39</v>
      </c>
      <c r="H751">
        <v>7</v>
      </c>
      <c r="I751" s="1">
        <v>10847.94</v>
      </c>
      <c r="J751" t="s">
        <v>17</v>
      </c>
      <c r="K751" t="s">
        <v>18</v>
      </c>
      <c r="L751" t="str" cm="1">
        <f t="array" ref="L751">_xlfn.IFS(B751&lt;30,"18-29",B751&lt;45,"30-44",B751&lt;60,"45-59",B751&lt;75,"60-74",B751&lt;=90,"75-90")</f>
        <v>75-90</v>
      </c>
      <c r="M751" t="str">
        <f>IF(Table1[[#This Row],[length_of_stay_days]]&gt;7,"Yes","No")</f>
        <v>No</v>
      </c>
    </row>
    <row r="752" spans="1:13" x14ac:dyDescent="0.3">
      <c r="A752" t="s">
        <v>1142</v>
      </c>
      <c r="B752">
        <v>28</v>
      </c>
      <c r="C752" t="s">
        <v>20</v>
      </c>
      <c r="D752" t="s">
        <v>13</v>
      </c>
      <c r="E752" t="s">
        <v>21</v>
      </c>
      <c r="F752" t="s">
        <v>658</v>
      </c>
      <c r="G752" t="s">
        <v>579</v>
      </c>
      <c r="H752">
        <v>8</v>
      </c>
      <c r="I752" s="1">
        <v>6922.53</v>
      </c>
      <c r="J752" t="s">
        <v>49</v>
      </c>
      <c r="K752" t="s">
        <v>18</v>
      </c>
      <c r="L752" t="str" cm="1">
        <f t="array" ref="L752">_xlfn.IFS(B752&lt;30,"18-29",B752&lt;45,"30-44",B752&lt;60,"45-59",B752&lt;75,"60-74",B752&lt;=90,"75-90")</f>
        <v>18-29</v>
      </c>
      <c r="M752" t="str">
        <f>IF(Table1[[#This Row],[length_of_stay_days]]&gt;7,"Yes","No")</f>
        <v>Yes</v>
      </c>
    </row>
    <row r="753" spans="1:13" x14ac:dyDescent="0.3">
      <c r="A753" t="s">
        <v>1143</v>
      </c>
      <c r="B753">
        <v>57</v>
      </c>
      <c r="C753" t="s">
        <v>20</v>
      </c>
      <c r="D753" t="s">
        <v>32</v>
      </c>
      <c r="E753" t="s">
        <v>28</v>
      </c>
      <c r="F753" t="s">
        <v>516</v>
      </c>
      <c r="G753" t="s">
        <v>405</v>
      </c>
      <c r="H753">
        <v>10</v>
      </c>
      <c r="I753" s="1">
        <v>14768.8</v>
      </c>
      <c r="J753" t="s">
        <v>17</v>
      </c>
      <c r="K753" t="s">
        <v>18</v>
      </c>
      <c r="L753" t="str" cm="1">
        <f t="array" ref="L753">_xlfn.IFS(B753&lt;30,"18-29",B753&lt;45,"30-44",B753&lt;60,"45-59",B753&lt;75,"60-74",B753&lt;=90,"75-90")</f>
        <v>45-59</v>
      </c>
      <c r="M753" t="str">
        <f>IF(Table1[[#This Row],[length_of_stay_days]]&gt;7,"Yes","No")</f>
        <v>Yes</v>
      </c>
    </row>
    <row r="754" spans="1:13" x14ac:dyDescent="0.3">
      <c r="A754" t="s">
        <v>1144</v>
      </c>
      <c r="B754">
        <v>74</v>
      </c>
      <c r="C754" t="s">
        <v>20</v>
      </c>
      <c r="D754" t="s">
        <v>46</v>
      </c>
      <c r="E754" t="s">
        <v>28</v>
      </c>
      <c r="F754" t="s">
        <v>80</v>
      </c>
      <c r="G754" t="s">
        <v>825</v>
      </c>
      <c r="H754">
        <v>5</v>
      </c>
      <c r="I754" s="1">
        <v>13376.76</v>
      </c>
      <c r="J754" t="s">
        <v>17</v>
      </c>
      <c r="K754" t="s">
        <v>18</v>
      </c>
      <c r="L754" t="str" cm="1">
        <f t="array" ref="L754">_xlfn.IFS(B754&lt;30,"18-29",B754&lt;45,"30-44",B754&lt;60,"45-59",B754&lt;75,"60-74",B754&lt;=90,"75-90")</f>
        <v>60-74</v>
      </c>
      <c r="M754" t="str">
        <f>IF(Table1[[#This Row],[length_of_stay_days]]&gt;7,"Yes","No")</f>
        <v>No</v>
      </c>
    </row>
    <row r="755" spans="1:13" x14ac:dyDescent="0.3">
      <c r="A755" t="s">
        <v>1145</v>
      </c>
      <c r="B755">
        <v>28</v>
      </c>
      <c r="C755" t="s">
        <v>12</v>
      </c>
      <c r="D755" t="s">
        <v>13</v>
      </c>
      <c r="E755" t="s">
        <v>21</v>
      </c>
      <c r="F755" t="s">
        <v>151</v>
      </c>
      <c r="G755" t="s">
        <v>288</v>
      </c>
      <c r="H755">
        <v>4</v>
      </c>
      <c r="I755" s="1">
        <v>4885.49</v>
      </c>
      <c r="J755" t="s">
        <v>17</v>
      </c>
      <c r="K755" t="s">
        <v>18</v>
      </c>
      <c r="L755" t="str" cm="1">
        <f t="array" ref="L755">_xlfn.IFS(B755&lt;30,"18-29",B755&lt;45,"30-44",B755&lt;60,"45-59",B755&lt;75,"60-74",B755&lt;=90,"75-90")</f>
        <v>18-29</v>
      </c>
      <c r="M755" t="str">
        <f>IF(Table1[[#This Row],[length_of_stay_days]]&gt;7,"Yes","No")</f>
        <v>No</v>
      </c>
    </row>
    <row r="756" spans="1:13" x14ac:dyDescent="0.3">
      <c r="A756" t="s">
        <v>1146</v>
      </c>
      <c r="B756">
        <v>35</v>
      </c>
      <c r="C756" t="s">
        <v>12</v>
      </c>
      <c r="D756" t="s">
        <v>13</v>
      </c>
      <c r="E756" t="s">
        <v>21</v>
      </c>
      <c r="F756" t="s">
        <v>467</v>
      </c>
      <c r="G756" t="s">
        <v>791</v>
      </c>
      <c r="H756">
        <v>1</v>
      </c>
      <c r="I756" s="1">
        <v>6232.65</v>
      </c>
      <c r="J756" t="s">
        <v>49</v>
      </c>
      <c r="K756" t="s">
        <v>18</v>
      </c>
      <c r="L756" t="str" cm="1">
        <f t="array" ref="L756">_xlfn.IFS(B756&lt;30,"18-29",B756&lt;45,"30-44",B756&lt;60,"45-59",B756&lt;75,"60-74",B756&lt;=90,"75-90")</f>
        <v>30-44</v>
      </c>
      <c r="M756" t="str">
        <f>IF(Table1[[#This Row],[length_of_stay_days]]&gt;7,"Yes","No")</f>
        <v>No</v>
      </c>
    </row>
    <row r="757" spans="1:13" x14ac:dyDescent="0.3">
      <c r="A757" t="s">
        <v>1147</v>
      </c>
      <c r="B757">
        <v>39</v>
      </c>
      <c r="C757" t="s">
        <v>12</v>
      </c>
      <c r="D757" t="s">
        <v>13</v>
      </c>
      <c r="E757" t="s">
        <v>21</v>
      </c>
      <c r="F757" t="s">
        <v>678</v>
      </c>
      <c r="G757" t="s">
        <v>363</v>
      </c>
      <c r="H757">
        <v>4</v>
      </c>
      <c r="I757" s="1">
        <v>4681.92</v>
      </c>
      <c r="J757" t="s">
        <v>17</v>
      </c>
      <c r="K757" t="s">
        <v>223</v>
      </c>
      <c r="L757" t="str" cm="1">
        <f t="array" ref="L757">_xlfn.IFS(B757&lt;30,"18-29",B757&lt;45,"30-44",B757&lt;60,"45-59",B757&lt;75,"60-74",B757&lt;=90,"75-90")</f>
        <v>30-44</v>
      </c>
      <c r="M757" t="str">
        <f>IF(Table1[[#This Row],[length_of_stay_days]]&gt;7,"Yes","No")</f>
        <v>No</v>
      </c>
    </row>
    <row r="758" spans="1:13" x14ac:dyDescent="0.3">
      <c r="A758" t="s">
        <v>1148</v>
      </c>
      <c r="B758">
        <v>26</v>
      </c>
      <c r="C758" t="s">
        <v>20</v>
      </c>
      <c r="D758" t="s">
        <v>55</v>
      </c>
      <c r="E758" t="s">
        <v>21</v>
      </c>
      <c r="F758" t="s">
        <v>350</v>
      </c>
      <c r="G758" t="s">
        <v>537</v>
      </c>
      <c r="H758">
        <v>7</v>
      </c>
      <c r="I758" s="1">
        <v>10974.66</v>
      </c>
      <c r="J758" t="s">
        <v>17</v>
      </c>
      <c r="K758" t="s">
        <v>18</v>
      </c>
      <c r="L758" t="str" cm="1">
        <f t="array" ref="L758">_xlfn.IFS(B758&lt;30,"18-29",B758&lt;45,"30-44",B758&lt;60,"45-59",B758&lt;75,"60-74",B758&lt;=90,"75-90")</f>
        <v>18-29</v>
      </c>
      <c r="M758" t="str">
        <f>IF(Table1[[#This Row],[length_of_stay_days]]&gt;7,"Yes","No")</f>
        <v>No</v>
      </c>
    </row>
    <row r="759" spans="1:13" x14ac:dyDescent="0.3">
      <c r="A759" t="s">
        <v>1149</v>
      </c>
      <c r="B759">
        <v>68</v>
      </c>
      <c r="C759" t="s">
        <v>20</v>
      </c>
      <c r="D759" t="s">
        <v>55</v>
      </c>
      <c r="E759" t="s">
        <v>14</v>
      </c>
      <c r="F759" t="s">
        <v>895</v>
      </c>
      <c r="G759" t="s">
        <v>408</v>
      </c>
      <c r="H759">
        <v>9</v>
      </c>
      <c r="I759" s="1">
        <v>13391.44</v>
      </c>
      <c r="J759" t="s">
        <v>49</v>
      </c>
      <c r="K759" t="s">
        <v>18</v>
      </c>
      <c r="L759" t="str" cm="1">
        <f t="array" ref="L759">_xlfn.IFS(B759&lt;30,"18-29",B759&lt;45,"30-44",B759&lt;60,"45-59",B759&lt;75,"60-74",B759&lt;=90,"75-90")</f>
        <v>60-74</v>
      </c>
      <c r="M759" t="str">
        <f>IF(Table1[[#This Row],[length_of_stay_days]]&gt;7,"Yes","No")</f>
        <v>Yes</v>
      </c>
    </row>
    <row r="760" spans="1:13" x14ac:dyDescent="0.3">
      <c r="A760" t="s">
        <v>1150</v>
      </c>
      <c r="B760">
        <v>84</v>
      </c>
      <c r="C760" t="s">
        <v>20</v>
      </c>
      <c r="D760" t="s">
        <v>46</v>
      </c>
      <c r="E760" t="s">
        <v>28</v>
      </c>
      <c r="F760" t="s">
        <v>180</v>
      </c>
      <c r="G760" t="s">
        <v>463</v>
      </c>
      <c r="H760">
        <v>8</v>
      </c>
      <c r="I760" s="1">
        <v>12835.09</v>
      </c>
      <c r="J760" t="s">
        <v>17</v>
      </c>
      <c r="K760" t="s">
        <v>18</v>
      </c>
      <c r="L760" t="str" cm="1">
        <f t="array" ref="L760">_xlfn.IFS(B760&lt;30,"18-29",B760&lt;45,"30-44",B760&lt;60,"45-59",B760&lt;75,"60-74",B760&lt;=90,"75-90")</f>
        <v>75-90</v>
      </c>
      <c r="M760" t="str">
        <f>IF(Table1[[#This Row],[length_of_stay_days]]&gt;7,"Yes","No")</f>
        <v>Yes</v>
      </c>
    </row>
    <row r="761" spans="1:13" x14ac:dyDescent="0.3">
      <c r="A761" t="s">
        <v>1151</v>
      </c>
      <c r="B761">
        <v>60</v>
      </c>
      <c r="C761" t="s">
        <v>20</v>
      </c>
      <c r="D761" t="s">
        <v>28</v>
      </c>
      <c r="E761" t="s">
        <v>21</v>
      </c>
      <c r="F761" t="s">
        <v>90</v>
      </c>
      <c r="G761" t="s">
        <v>596</v>
      </c>
      <c r="H761">
        <v>2</v>
      </c>
      <c r="I761" s="1">
        <v>3758.37</v>
      </c>
      <c r="J761" t="s">
        <v>17</v>
      </c>
      <c r="K761" t="s">
        <v>18</v>
      </c>
      <c r="L761" t="str" cm="1">
        <f t="array" ref="L761">_xlfn.IFS(B761&lt;30,"18-29",B761&lt;45,"30-44",B761&lt;60,"45-59",B761&lt;75,"60-74",B761&lt;=90,"75-90")</f>
        <v>60-74</v>
      </c>
      <c r="M761" t="str">
        <f>IF(Table1[[#This Row],[length_of_stay_days]]&gt;7,"Yes","No")</f>
        <v>No</v>
      </c>
    </row>
    <row r="762" spans="1:13" x14ac:dyDescent="0.3">
      <c r="A762" t="s">
        <v>1152</v>
      </c>
      <c r="B762">
        <v>55</v>
      </c>
      <c r="C762" t="s">
        <v>12</v>
      </c>
      <c r="D762" t="s">
        <v>55</v>
      </c>
      <c r="E762" t="s">
        <v>28</v>
      </c>
      <c r="F762" t="s">
        <v>282</v>
      </c>
      <c r="G762" t="s">
        <v>283</v>
      </c>
      <c r="H762">
        <v>4</v>
      </c>
      <c r="I762" s="1">
        <v>10951.12</v>
      </c>
      <c r="J762" t="s">
        <v>17</v>
      </c>
      <c r="K762" t="s">
        <v>18</v>
      </c>
      <c r="L762" t="str" cm="1">
        <f t="array" ref="L762">_xlfn.IFS(B762&lt;30,"18-29",B762&lt;45,"30-44",B762&lt;60,"45-59",B762&lt;75,"60-74",B762&lt;=90,"75-90")</f>
        <v>45-59</v>
      </c>
      <c r="M762" t="str">
        <f>IF(Table1[[#This Row],[length_of_stay_days]]&gt;7,"Yes","No")</f>
        <v>No</v>
      </c>
    </row>
    <row r="763" spans="1:13" x14ac:dyDescent="0.3">
      <c r="A763" t="s">
        <v>1153</v>
      </c>
      <c r="B763">
        <v>62</v>
      </c>
      <c r="C763" t="s">
        <v>12</v>
      </c>
      <c r="D763" t="s">
        <v>13</v>
      </c>
      <c r="E763" t="s">
        <v>28</v>
      </c>
      <c r="F763" t="s">
        <v>460</v>
      </c>
      <c r="G763" t="s">
        <v>360</v>
      </c>
      <c r="H763">
        <v>4</v>
      </c>
      <c r="I763" s="1">
        <v>4817.28</v>
      </c>
      <c r="J763" t="s">
        <v>17</v>
      </c>
      <c r="K763" t="s">
        <v>18</v>
      </c>
      <c r="L763" t="str" cm="1">
        <f t="array" ref="L763">_xlfn.IFS(B763&lt;30,"18-29",B763&lt;45,"30-44",B763&lt;60,"45-59",B763&lt;75,"60-74",B763&lt;=90,"75-90")</f>
        <v>60-74</v>
      </c>
      <c r="M763" t="str">
        <f>IF(Table1[[#This Row],[length_of_stay_days]]&gt;7,"Yes","No")</f>
        <v>No</v>
      </c>
    </row>
    <row r="764" spans="1:13" x14ac:dyDescent="0.3">
      <c r="A764" t="s">
        <v>1154</v>
      </c>
      <c r="B764">
        <v>46</v>
      </c>
      <c r="C764" t="s">
        <v>12</v>
      </c>
      <c r="D764" t="s">
        <v>13</v>
      </c>
      <c r="E764" t="s">
        <v>14</v>
      </c>
      <c r="F764" t="s">
        <v>68</v>
      </c>
      <c r="G764" t="s">
        <v>344</v>
      </c>
      <c r="H764">
        <v>3</v>
      </c>
      <c r="I764" s="1">
        <v>6366.59</v>
      </c>
      <c r="J764" t="s">
        <v>17</v>
      </c>
      <c r="K764" t="s">
        <v>18</v>
      </c>
      <c r="L764" t="str" cm="1">
        <f t="array" ref="L764">_xlfn.IFS(B764&lt;30,"18-29",B764&lt;45,"30-44",B764&lt;60,"45-59",B764&lt;75,"60-74",B764&lt;=90,"75-90")</f>
        <v>45-59</v>
      </c>
      <c r="M764" t="str">
        <f>IF(Table1[[#This Row],[length_of_stay_days]]&gt;7,"Yes","No")</f>
        <v>No</v>
      </c>
    </row>
    <row r="765" spans="1:13" x14ac:dyDescent="0.3">
      <c r="A765" t="s">
        <v>1155</v>
      </c>
      <c r="B765">
        <v>50</v>
      </c>
      <c r="C765" t="s">
        <v>70</v>
      </c>
      <c r="D765" t="s">
        <v>46</v>
      </c>
      <c r="E765" t="s">
        <v>14</v>
      </c>
      <c r="F765" t="s">
        <v>280</v>
      </c>
      <c r="G765" t="s">
        <v>93</v>
      </c>
      <c r="H765">
        <v>5</v>
      </c>
      <c r="I765" s="1">
        <v>12852.57</v>
      </c>
      <c r="J765" t="s">
        <v>17</v>
      </c>
      <c r="K765" t="s">
        <v>18</v>
      </c>
      <c r="L765" t="str" cm="1">
        <f t="array" ref="L765">_xlfn.IFS(B765&lt;30,"18-29",B765&lt;45,"30-44",B765&lt;60,"45-59",B765&lt;75,"60-74",B765&lt;=90,"75-90")</f>
        <v>45-59</v>
      </c>
      <c r="M765" t="str">
        <f>IF(Table1[[#This Row],[length_of_stay_days]]&gt;7,"Yes","No")</f>
        <v>No</v>
      </c>
    </row>
    <row r="766" spans="1:13" x14ac:dyDescent="0.3">
      <c r="A766" t="s">
        <v>1156</v>
      </c>
      <c r="B766">
        <v>90</v>
      </c>
      <c r="C766" t="s">
        <v>12</v>
      </c>
      <c r="D766" t="s">
        <v>13</v>
      </c>
      <c r="E766" t="s">
        <v>14</v>
      </c>
      <c r="F766" t="s">
        <v>471</v>
      </c>
      <c r="G766" t="s">
        <v>234</v>
      </c>
      <c r="H766">
        <v>9</v>
      </c>
      <c r="I766" s="1">
        <v>10818.82</v>
      </c>
      <c r="J766" t="s">
        <v>49</v>
      </c>
      <c r="K766" t="s">
        <v>18</v>
      </c>
      <c r="L766" t="str" cm="1">
        <f t="array" ref="L766">_xlfn.IFS(B766&lt;30,"18-29",B766&lt;45,"30-44",B766&lt;60,"45-59",B766&lt;75,"60-74",B766&lt;=90,"75-90")</f>
        <v>75-90</v>
      </c>
      <c r="M766" t="str">
        <f>IF(Table1[[#This Row],[length_of_stay_days]]&gt;7,"Yes","No")</f>
        <v>Yes</v>
      </c>
    </row>
    <row r="767" spans="1:13" x14ac:dyDescent="0.3">
      <c r="A767" t="s">
        <v>1157</v>
      </c>
      <c r="B767">
        <v>66</v>
      </c>
      <c r="C767" t="s">
        <v>12</v>
      </c>
      <c r="D767" t="s">
        <v>28</v>
      </c>
      <c r="E767" t="s">
        <v>14</v>
      </c>
      <c r="F767" t="s">
        <v>485</v>
      </c>
      <c r="G767" t="s">
        <v>222</v>
      </c>
      <c r="H767">
        <v>5</v>
      </c>
      <c r="I767" s="1">
        <v>4585.6899999999996</v>
      </c>
      <c r="J767" t="s">
        <v>17</v>
      </c>
      <c r="K767" t="s">
        <v>18</v>
      </c>
      <c r="L767" t="str" cm="1">
        <f t="array" ref="L767">_xlfn.IFS(B767&lt;30,"18-29",B767&lt;45,"30-44",B767&lt;60,"45-59",B767&lt;75,"60-74",B767&lt;=90,"75-90")</f>
        <v>60-74</v>
      </c>
      <c r="M767" t="str">
        <f>IF(Table1[[#This Row],[length_of_stay_days]]&gt;7,"Yes","No")</f>
        <v>No</v>
      </c>
    </row>
    <row r="768" spans="1:13" x14ac:dyDescent="0.3">
      <c r="A768" t="s">
        <v>1158</v>
      </c>
      <c r="B768">
        <v>82</v>
      </c>
      <c r="C768" t="s">
        <v>12</v>
      </c>
      <c r="D768" t="s">
        <v>32</v>
      </c>
      <c r="E768" t="s">
        <v>14</v>
      </c>
      <c r="F768" t="s">
        <v>765</v>
      </c>
      <c r="G768" t="s">
        <v>372</v>
      </c>
      <c r="H768">
        <v>9</v>
      </c>
      <c r="I768" s="1">
        <v>12444.34</v>
      </c>
      <c r="J768" t="s">
        <v>17</v>
      </c>
      <c r="K768" t="s">
        <v>18</v>
      </c>
      <c r="L768" t="str" cm="1">
        <f t="array" ref="L768">_xlfn.IFS(B768&lt;30,"18-29",B768&lt;45,"30-44",B768&lt;60,"45-59",B768&lt;75,"60-74",B768&lt;=90,"75-90")</f>
        <v>75-90</v>
      </c>
      <c r="M768" t="str">
        <f>IF(Table1[[#This Row],[length_of_stay_days]]&gt;7,"Yes","No")</f>
        <v>Yes</v>
      </c>
    </row>
    <row r="769" spans="1:13" x14ac:dyDescent="0.3">
      <c r="A769" t="s">
        <v>1159</v>
      </c>
      <c r="B769">
        <v>21</v>
      </c>
      <c r="C769" t="s">
        <v>12</v>
      </c>
      <c r="D769" t="s">
        <v>46</v>
      </c>
      <c r="E769" t="s">
        <v>28</v>
      </c>
      <c r="F769" t="s">
        <v>372</v>
      </c>
      <c r="G769" t="s">
        <v>1160</v>
      </c>
      <c r="H769">
        <v>4</v>
      </c>
      <c r="I769" s="1">
        <v>12217.88</v>
      </c>
      <c r="J769" t="s">
        <v>17</v>
      </c>
      <c r="K769" t="s">
        <v>18</v>
      </c>
      <c r="L769" t="str" cm="1">
        <f t="array" ref="L769">_xlfn.IFS(B769&lt;30,"18-29",B769&lt;45,"30-44",B769&lt;60,"45-59",B769&lt;75,"60-74",B769&lt;=90,"75-90")</f>
        <v>18-29</v>
      </c>
      <c r="M769" t="str">
        <f>IF(Table1[[#This Row],[length_of_stay_days]]&gt;7,"Yes","No")</f>
        <v>No</v>
      </c>
    </row>
    <row r="770" spans="1:13" x14ac:dyDescent="0.3">
      <c r="A770" t="s">
        <v>1161</v>
      </c>
      <c r="B770">
        <v>88</v>
      </c>
      <c r="C770" t="s">
        <v>20</v>
      </c>
      <c r="D770" t="s">
        <v>32</v>
      </c>
      <c r="E770" t="s">
        <v>21</v>
      </c>
      <c r="F770" t="s">
        <v>108</v>
      </c>
      <c r="G770" t="s">
        <v>256</v>
      </c>
      <c r="H770">
        <v>5</v>
      </c>
      <c r="I770" s="1">
        <v>10812.92</v>
      </c>
      <c r="J770" t="s">
        <v>17</v>
      </c>
      <c r="K770" t="s">
        <v>18</v>
      </c>
      <c r="L770" t="str" cm="1">
        <f t="array" ref="L770">_xlfn.IFS(B770&lt;30,"18-29",B770&lt;45,"30-44",B770&lt;60,"45-59",B770&lt;75,"60-74",B770&lt;=90,"75-90")</f>
        <v>75-90</v>
      </c>
      <c r="M770" t="str">
        <f>IF(Table1[[#This Row],[length_of_stay_days]]&gt;7,"Yes","No")</f>
        <v>No</v>
      </c>
    </row>
    <row r="771" spans="1:13" x14ac:dyDescent="0.3">
      <c r="A771" t="s">
        <v>1162</v>
      </c>
      <c r="B771">
        <v>68</v>
      </c>
      <c r="C771" t="s">
        <v>20</v>
      </c>
      <c r="D771" t="s">
        <v>46</v>
      </c>
      <c r="E771" t="s">
        <v>28</v>
      </c>
      <c r="F771" t="s">
        <v>559</v>
      </c>
      <c r="G771" t="s">
        <v>283</v>
      </c>
      <c r="H771">
        <v>11</v>
      </c>
      <c r="I771" s="1">
        <v>14145.76</v>
      </c>
      <c r="J771" t="s">
        <v>17</v>
      </c>
      <c r="K771" t="s">
        <v>18</v>
      </c>
      <c r="L771" t="str" cm="1">
        <f t="array" ref="L771">_xlfn.IFS(B771&lt;30,"18-29",B771&lt;45,"30-44",B771&lt;60,"45-59",B771&lt;75,"60-74",B771&lt;=90,"75-90")</f>
        <v>60-74</v>
      </c>
      <c r="M771" t="str">
        <f>IF(Table1[[#This Row],[length_of_stay_days]]&gt;7,"Yes","No")</f>
        <v>Yes</v>
      </c>
    </row>
    <row r="772" spans="1:13" x14ac:dyDescent="0.3">
      <c r="A772" t="s">
        <v>1163</v>
      </c>
      <c r="B772">
        <v>62</v>
      </c>
      <c r="C772" t="s">
        <v>12</v>
      </c>
      <c r="D772" t="s">
        <v>13</v>
      </c>
      <c r="E772" t="s">
        <v>28</v>
      </c>
      <c r="F772" t="s">
        <v>354</v>
      </c>
      <c r="G772" t="s">
        <v>355</v>
      </c>
      <c r="H772">
        <v>5</v>
      </c>
      <c r="I772" s="1">
        <v>6719.23</v>
      </c>
      <c r="J772" t="s">
        <v>17</v>
      </c>
      <c r="K772" t="s">
        <v>18</v>
      </c>
      <c r="L772" t="str" cm="1">
        <f t="array" ref="L772">_xlfn.IFS(B772&lt;30,"18-29",B772&lt;45,"30-44",B772&lt;60,"45-59",B772&lt;75,"60-74",B772&lt;=90,"75-90")</f>
        <v>60-74</v>
      </c>
      <c r="M772" t="str">
        <f>IF(Table1[[#This Row],[length_of_stay_days]]&gt;7,"Yes","No")</f>
        <v>No</v>
      </c>
    </row>
    <row r="773" spans="1:13" x14ac:dyDescent="0.3">
      <c r="A773" t="s">
        <v>1164</v>
      </c>
      <c r="B773">
        <v>26</v>
      </c>
      <c r="C773" t="s">
        <v>20</v>
      </c>
      <c r="D773" t="s">
        <v>28</v>
      </c>
      <c r="E773" t="s">
        <v>28</v>
      </c>
      <c r="F773" t="s">
        <v>105</v>
      </c>
      <c r="G773" t="s">
        <v>133</v>
      </c>
      <c r="H773">
        <v>3</v>
      </c>
      <c r="I773" s="1">
        <v>3512.27</v>
      </c>
      <c r="J773" t="s">
        <v>17</v>
      </c>
      <c r="K773" t="s">
        <v>18</v>
      </c>
      <c r="L773" t="str" cm="1">
        <f t="array" ref="L773">_xlfn.IFS(B773&lt;30,"18-29",B773&lt;45,"30-44",B773&lt;60,"45-59",B773&lt;75,"60-74",B773&lt;=90,"75-90")</f>
        <v>18-29</v>
      </c>
      <c r="M773" t="str">
        <f>IF(Table1[[#This Row],[length_of_stay_days]]&gt;7,"Yes","No")</f>
        <v>No</v>
      </c>
    </row>
    <row r="774" spans="1:13" x14ac:dyDescent="0.3">
      <c r="A774" t="s">
        <v>1165</v>
      </c>
      <c r="B774">
        <v>51</v>
      </c>
      <c r="C774" t="s">
        <v>12</v>
      </c>
      <c r="D774" t="s">
        <v>13</v>
      </c>
      <c r="E774" t="s">
        <v>28</v>
      </c>
      <c r="F774" t="s">
        <v>449</v>
      </c>
      <c r="G774" t="s">
        <v>243</v>
      </c>
      <c r="H774">
        <v>1</v>
      </c>
      <c r="I774" s="1">
        <v>3500.7</v>
      </c>
      <c r="J774" t="s">
        <v>17</v>
      </c>
      <c r="K774" t="s">
        <v>18</v>
      </c>
      <c r="L774" t="str" cm="1">
        <f t="array" ref="L774">_xlfn.IFS(B774&lt;30,"18-29",B774&lt;45,"30-44",B774&lt;60,"45-59",B774&lt;75,"60-74",B774&lt;=90,"75-90")</f>
        <v>45-59</v>
      </c>
      <c r="M774" t="str">
        <f>IF(Table1[[#This Row],[length_of_stay_days]]&gt;7,"Yes","No")</f>
        <v>No</v>
      </c>
    </row>
    <row r="775" spans="1:13" x14ac:dyDescent="0.3">
      <c r="A775" t="s">
        <v>1166</v>
      </c>
      <c r="B775">
        <v>86</v>
      </c>
      <c r="C775" t="s">
        <v>12</v>
      </c>
      <c r="D775" t="s">
        <v>55</v>
      </c>
      <c r="E775" t="s">
        <v>28</v>
      </c>
      <c r="F775" t="s">
        <v>837</v>
      </c>
      <c r="G775" t="s">
        <v>609</v>
      </c>
      <c r="H775">
        <v>9</v>
      </c>
      <c r="I775" s="1">
        <v>11713.96</v>
      </c>
      <c r="J775" t="s">
        <v>17</v>
      </c>
      <c r="K775" t="s">
        <v>223</v>
      </c>
      <c r="L775" t="str" cm="1">
        <f t="array" ref="L775">_xlfn.IFS(B775&lt;30,"18-29",B775&lt;45,"30-44",B775&lt;60,"45-59",B775&lt;75,"60-74",B775&lt;=90,"75-90")</f>
        <v>75-90</v>
      </c>
      <c r="M775" t="str">
        <f>IF(Table1[[#This Row],[length_of_stay_days]]&gt;7,"Yes","No")</f>
        <v>Yes</v>
      </c>
    </row>
    <row r="776" spans="1:13" x14ac:dyDescent="0.3">
      <c r="A776" t="s">
        <v>1167</v>
      </c>
      <c r="B776">
        <v>57</v>
      </c>
      <c r="C776" t="s">
        <v>20</v>
      </c>
      <c r="D776" t="s">
        <v>51</v>
      </c>
      <c r="E776" t="s">
        <v>14</v>
      </c>
      <c r="F776" t="s">
        <v>616</v>
      </c>
      <c r="G776" t="s">
        <v>174</v>
      </c>
      <c r="H776">
        <v>6</v>
      </c>
      <c r="I776" s="1">
        <v>10200.219999999999</v>
      </c>
      <c r="J776" t="s">
        <v>17</v>
      </c>
      <c r="K776" t="s">
        <v>18</v>
      </c>
      <c r="L776" t="str" cm="1">
        <f t="array" ref="L776">_xlfn.IFS(B776&lt;30,"18-29",B776&lt;45,"30-44",B776&lt;60,"45-59",B776&lt;75,"60-74",B776&lt;=90,"75-90")</f>
        <v>45-59</v>
      </c>
      <c r="M776" t="str">
        <f>IF(Table1[[#This Row],[length_of_stay_days]]&gt;7,"Yes","No")</f>
        <v>No</v>
      </c>
    </row>
    <row r="777" spans="1:13" x14ac:dyDescent="0.3">
      <c r="A777" t="s">
        <v>1168</v>
      </c>
      <c r="B777">
        <v>47</v>
      </c>
      <c r="C777" t="s">
        <v>12</v>
      </c>
      <c r="D777" t="s">
        <v>55</v>
      </c>
      <c r="E777" t="s">
        <v>28</v>
      </c>
      <c r="F777" t="s">
        <v>350</v>
      </c>
      <c r="G777" t="s">
        <v>108</v>
      </c>
      <c r="H777">
        <v>6</v>
      </c>
      <c r="I777" s="1">
        <v>11679.24</v>
      </c>
      <c r="J777" t="s">
        <v>17</v>
      </c>
      <c r="K777" t="s">
        <v>18</v>
      </c>
      <c r="L777" t="str" cm="1">
        <f t="array" ref="L777">_xlfn.IFS(B777&lt;30,"18-29",B777&lt;45,"30-44",B777&lt;60,"45-59",B777&lt;75,"60-74",B777&lt;=90,"75-90")</f>
        <v>45-59</v>
      </c>
      <c r="M777" t="str">
        <f>IF(Table1[[#This Row],[length_of_stay_days]]&gt;7,"Yes","No")</f>
        <v>No</v>
      </c>
    </row>
    <row r="778" spans="1:13" x14ac:dyDescent="0.3">
      <c r="A778" t="s">
        <v>1169</v>
      </c>
      <c r="B778">
        <v>37</v>
      </c>
      <c r="C778" t="s">
        <v>20</v>
      </c>
      <c r="D778" t="s">
        <v>51</v>
      </c>
      <c r="E778" t="s">
        <v>14</v>
      </c>
      <c r="F778" t="s">
        <v>408</v>
      </c>
      <c r="G778" t="s">
        <v>658</v>
      </c>
      <c r="H778">
        <v>6</v>
      </c>
      <c r="I778" s="1">
        <v>12027.18</v>
      </c>
      <c r="J778" t="s">
        <v>17</v>
      </c>
      <c r="K778" t="s">
        <v>18</v>
      </c>
      <c r="L778" t="str" cm="1">
        <f t="array" ref="L778">_xlfn.IFS(B778&lt;30,"18-29",B778&lt;45,"30-44",B778&lt;60,"45-59",B778&lt;75,"60-74",B778&lt;=90,"75-90")</f>
        <v>30-44</v>
      </c>
      <c r="M778" t="str">
        <f>IF(Table1[[#This Row],[length_of_stay_days]]&gt;7,"Yes","No")</f>
        <v>No</v>
      </c>
    </row>
    <row r="779" spans="1:13" x14ac:dyDescent="0.3">
      <c r="A779" t="s">
        <v>1170</v>
      </c>
      <c r="B779">
        <v>65</v>
      </c>
      <c r="C779" t="s">
        <v>12</v>
      </c>
      <c r="D779" t="s">
        <v>28</v>
      </c>
      <c r="E779" t="s">
        <v>28</v>
      </c>
      <c r="F779" t="s">
        <v>855</v>
      </c>
      <c r="G779" t="s">
        <v>839</v>
      </c>
      <c r="H779">
        <v>8</v>
      </c>
      <c r="I779" s="1">
        <v>7079.09</v>
      </c>
      <c r="J779" t="s">
        <v>17</v>
      </c>
      <c r="K779" t="s">
        <v>18</v>
      </c>
      <c r="L779" t="str" cm="1">
        <f t="array" ref="L779">_xlfn.IFS(B779&lt;30,"18-29",B779&lt;45,"30-44",B779&lt;60,"45-59",B779&lt;75,"60-74",B779&lt;=90,"75-90")</f>
        <v>60-74</v>
      </c>
      <c r="M779" t="str">
        <f>IF(Table1[[#This Row],[length_of_stay_days]]&gt;7,"Yes","No")</f>
        <v>Yes</v>
      </c>
    </row>
    <row r="780" spans="1:13" x14ac:dyDescent="0.3">
      <c r="A780" t="s">
        <v>1171</v>
      </c>
      <c r="B780">
        <v>79</v>
      </c>
      <c r="C780" t="s">
        <v>20</v>
      </c>
      <c r="D780" t="s">
        <v>13</v>
      </c>
      <c r="E780" t="s">
        <v>28</v>
      </c>
      <c r="F780" t="s">
        <v>433</v>
      </c>
      <c r="G780" t="s">
        <v>503</v>
      </c>
      <c r="H780">
        <v>6</v>
      </c>
      <c r="I780" s="1">
        <v>8347.2099999999991</v>
      </c>
      <c r="J780" t="s">
        <v>17</v>
      </c>
      <c r="K780" t="s">
        <v>18</v>
      </c>
      <c r="L780" t="str" cm="1">
        <f t="array" ref="L780">_xlfn.IFS(B780&lt;30,"18-29",B780&lt;45,"30-44",B780&lt;60,"45-59",B780&lt;75,"60-74",B780&lt;=90,"75-90")</f>
        <v>75-90</v>
      </c>
      <c r="M780" t="str">
        <f>IF(Table1[[#This Row],[length_of_stay_days]]&gt;7,"Yes","No")</f>
        <v>No</v>
      </c>
    </row>
    <row r="781" spans="1:13" x14ac:dyDescent="0.3">
      <c r="A781" t="s">
        <v>1172</v>
      </c>
      <c r="B781">
        <v>86</v>
      </c>
      <c r="C781" t="s">
        <v>12</v>
      </c>
      <c r="D781" t="s">
        <v>51</v>
      </c>
      <c r="E781" t="s">
        <v>28</v>
      </c>
      <c r="F781" t="s">
        <v>179</v>
      </c>
      <c r="G781" t="s">
        <v>966</v>
      </c>
      <c r="H781">
        <v>8</v>
      </c>
      <c r="I781" s="1">
        <v>14097.72</v>
      </c>
      <c r="J781" t="s">
        <v>17</v>
      </c>
      <c r="K781" t="s">
        <v>18</v>
      </c>
      <c r="L781" t="str" cm="1">
        <f t="array" ref="L781">_xlfn.IFS(B781&lt;30,"18-29",B781&lt;45,"30-44",B781&lt;60,"45-59",B781&lt;75,"60-74",B781&lt;=90,"75-90")</f>
        <v>75-90</v>
      </c>
      <c r="M781" t="str">
        <f>IF(Table1[[#This Row],[length_of_stay_days]]&gt;7,"Yes","No")</f>
        <v>Yes</v>
      </c>
    </row>
    <row r="782" spans="1:13" x14ac:dyDescent="0.3">
      <c r="A782" t="s">
        <v>1173</v>
      </c>
      <c r="B782">
        <v>69</v>
      </c>
      <c r="C782" t="s">
        <v>12</v>
      </c>
      <c r="D782" t="s">
        <v>32</v>
      </c>
      <c r="E782" t="s">
        <v>14</v>
      </c>
      <c r="F782" t="s">
        <v>565</v>
      </c>
      <c r="G782" t="s">
        <v>730</v>
      </c>
      <c r="H782">
        <v>8</v>
      </c>
      <c r="I782" s="1">
        <v>13686.78</v>
      </c>
      <c r="J782" t="s">
        <v>17</v>
      </c>
      <c r="K782" t="s">
        <v>18</v>
      </c>
      <c r="L782" t="str" cm="1">
        <f t="array" ref="L782">_xlfn.IFS(B782&lt;30,"18-29",B782&lt;45,"30-44",B782&lt;60,"45-59",B782&lt;75,"60-74",B782&lt;=90,"75-90")</f>
        <v>60-74</v>
      </c>
      <c r="M782" t="str">
        <f>IF(Table1[[#This Row],[length_of_stay_days]]&gt;7,"Yes","No")</f>
        <v>Yes</v>
      </c>
    </row>
    <row r="783" spans="1:13" x14ac:dyDescent="0.3">
      <c r="A783" t="s">
        <v>1174</v>
      </c>
      <c r="B783">
        <v>18</v>
      </c>
      <c r="C783" t="s">
        <v>12</v>
      </c>
      <c r="D783" t="s">
        <v>28</v>
      </c>
      <c r="E783" t="s">
        <v>28</v>
      </c>
      <c r="F783" t="s">
        <v>396</v>
      </c>
      <c r="G783" t="s">
        <v>895</v>
      </c>
      <c r="H783">
        <v>4</v>
      </c>
      <c r="I783" s="1">
        <v>5793.22</v>
      </c>
      <c r="J783" t="s">
        <v>17</v>
      </c>
      <c r="K783" t="s">
        <v>18</v>
      </c>
      <c r="L783" t="str" cm="1">
        <f t="array" ref="L783">_xlfn.IFS(B783&lt;30,"18-29",B783&lt;45,"30-44",B783&lt;60,"45-59",B783&lt;75,"60-74",B783&lt;=90,"75-90")</f>
        <v>18-29</v>
      </c>
      <c r="M783" t="str">
        <f>IF(Table1[[#This Row],[length_of_stay_days]]&gt;7,"Yes","No")</f>
        <v>No</v>
      </c>
    </row>
    <row r="784" spans="1:13" x14ac:dyDescent="0.3">
      <c r="A784" t="s">
        <v>1175</v>
      </c>
      <c r="B784">
        <v>80</v>
      </c>
      <c r="C784" t="s">
        <v>12</v>
      </c>
      <c r="D784" t="s">
        <v>13</v>
      </c>
      <c r="E784" t="s">
        <v>28</v>
      </c>
      <c r="F784" t="s">
        <v>39</v>
      </c>
      <c r="H784">
        <v>8</v>
      </c>
      <c r="I784" s="1">
        <v>11705.22</v>
      </c>
      <c r="J784" t="s">
        <v>49</v>
      </c>
      <c r="K784" t="s">
        <v>18</v>
      </c>
      <c r="L784" t="str" cm="1">
        <f t="array" ref="L784">_xlfn.IFS(B784&lt;30,"18-29",B784&lt;45,"30-44",B784&lt;60,"45-59",B784&lt;75,"60-74",B784&lt;=90,"75-90")</f>
        <v>75-90</v>
      </c>
      <c r="M784" t="str">
        <f>IF(Table1[[#This Row],[length_of_stay_days]]&gt;7,"Yes","No")</f>
        <v>Yes</v>
      </c>
    </row>
    <row r="785" spans="1:13" x14ac:dyDescent="0.3">
      <c r="A785" t="s">
        <v>1176</v>
      </c>
      <c r="B785">
        <v>34</v>
      </c>
      <c r="C785" t="s">
        <v>12</v>
      </c>
      <c r="D785" t="s">
        <v>32</v>
      </c>
      <c r="E785" t="s">
        <v>28</v>
      </c>
      <c r="F785" t="s">
        <v>371</v>
      </c>
      <c r="G785" t="s">
        <v>372</v>
      </c>
      <c r="H785">
        <v>5</v>
      </c>
      <c r="I785" s="1">
        <v>9018.08</v>
      </c>
      <c r="J785" t="s">
        <v>17</v>
      </c>
      <c r="K785" t="s">
        <v>18</v>
      </c>
      <c r="L785" t="str" cm="1">
        <f t="array" ref="L785">_xlfn.IFS(B785&lt;30,"18-29",B785&lt;45,"30-44",B785&lt;60,"45-59",B785&lt;75,"60-74",B785&lt;=90,"75-90")</f>
        <v>30-44</v>
      </c>
      <c r="M785" t="str">
        <f>IF(Table1[[#This Row],[length_of_stay_days]]&gt;7,"Yes","No")</f>
        <v>No</v>
      </c>
    </row>
    <row r="786" spans="1:13" x14ac:dyDescent="0.3">
      <c r="A786" t="s">
        <v>1177</v>
      </c>
      <c r="B786">
        <v>29</v>
      </c>
      <c r="C786" t="s">
        <v>20</v>
      </c>
      <c r="D786" t="s">
        <v>28</v>
      </c>
      <c r="E786" t="s">
        <v>28</v>
      </c>
      <c r="F786" t="s">
        <v>163</v>
      </c>
      <c r="G786" t="s">
        <v>323</v>
      </c>
      <c r="H786">
        <v>4</v>
      </c>
      <c r="I786" s="1">
        <v>6808.29</v>
      </c>
      <c r="J786" t="s">
        <v>17</v>
      </c>
      <c r="K786" t="s">
        <v>44</v>
      </c>
      <c r="L786" t="str" cm="1">
        <f t="array" ref="L786">_xlfn.IFS(B786&lt;30,"18-29",B786&lt;45,"30-44",B786&lt;60,"45-59",B786&lt;75,"60-74",B786&lt;=90,"75-90")</f>
        <v>18-29</v>
      </c>
      <c r="M786" t="str">
        <f>IF(Table1[[#This Row],[length_of_stay_days]]&gt;7,"Yes","No")</f>
        <v>No</v>
      </c>
    </row>
    <row r="787" spans="1:13" x14ac:dyDescent="0.3">
      <c r="A787" t="s">
        <v>1178</v>
      </c>
      <c r="B787">
        <v>72</v>
      </c>
      <c r="C787" t="s">
        <v>20</v>
      </c>
      <c r="D787" t="s">
        <v>32</v>
      </c>
      <c r="E787" t="s">
        <v>28</v>
      </c>
      <c r="F787" t="s">
        <v>555</v>
      </c>
      <c r="G787" t="s">
        <v>72</v>
      </c>
      <c r="H787">
        <v>8</v>
      </c>
      <c r="I787" s="1">
        <v>13346.3</v>
      </c>
      <c r="J787" t="s">
        <v>17</v>
      </c>
      <c r="K787" t="s">
        <v>18</v>
      </c>
      <c r="L787" t="str" cm="1">
        <f t="array" ref="L787">_xlfn.IFS(B787&lt;30,"18-29",B787&lt;45,"30-44",B787&lt;60,"45-59",B787&lt;75,"60-74",B787&lt;=90,"75-90")</f>
        <v>60-74</v>
      </c>
      <c r="M787" t="str">
        <f>IF(Table1[[#This Row],[length_of_stay_days]]&gt;7,"Yes","No")</f>
        <v>Yes</v>
      </c>
    </row>
    <row r="788" spans="1:13" x14ac:dyDescent="0.3">
      <c r="A788" t="s">
        <v>1179</v>
      </c>
      <c r="B788">
        <v>86</v>
      </c>
      <c r="C788" t="s">
        <v>20</v>
      </c>
      <c r="D788" t="s">
        <v>32</v>
      </c>
      <c r="E788" t="s">
        <v>14</v>
      </c>
      <c r="F788" t="s">
        <v>742</v>
      </c>
      <c r="G788" t="s">
        <v>246</v>
      </c>
      <c r="H788">
        <v>6</v>
      </c>
      <c r="I788" s="1">
        <v>12700.21</v>
      </c>
      <c r="J788" t="s">
        <v>17</v>
      </c>
      <c r="K788" t="s">
        <v>18</v>
      </c>
      <c r="L788" t="str" cm="1">
        <f t="array" ref="L788">_xlfn.IFS(B788&lt;30,"18-29",B788&lt;45,"30-44",B788&lt;60,"45-59",B788&lt;75,"60-74",B788&lt;=90,"75-90")</f>
        <v>75-90</v>
      </c>
      <c r="M788" t="str">
        <f>IF(Table1[[#This Row],[length_of_stay_days]]&gt;7,"Yes","No")</f>
        <v>No</v>
      </c>
    </row>
    <row r="789" spans="1:13" x14ac:dyDescent="0.3">
      <c r="A789" t="s">
        <v>1180</v>
      </c>
      <c r="B789">
        <v>80</v>
      </c>
      <c r="C789" t="s">
        <v>12</v>
      </c>
      <c r="D789" t="s">
        <v>28</v>
      </c>
      <c r="E789" t="s">
        <v>28</v>
      </c>
      <c r="F789" t="s">
        <v>1181</v>
      </c>
      <c r="G789" t="s">
        <v>77</v>
      </c>
      <c r="H789">
        <v>1</v>
      </c>
      <c r="I789" s="1">
        <v>4603.9399999999996</v>
      </c>
      <c r="J789" t="s">
        <v>17</v>
      </c>
      <c r="K789" t="s">
        <v>18</v>
      </c>
      <c r="L789" t="str" cm="1">
        <f t="array" ref="L789">_xlfn.IFS(B789&lt;30,"18-29",B789&lt;45,"30-44",B789&lt;60,"45-59",B789&lt;75,"60-74",B789&lt;=90,"75-90")</f>
        <v>75-90</v>
      </c>
      <c r="M789" t="str">
        <f>IF(Table1[[#This Row],[length_of_stay_days]]&gt;7,"Yes","No")</f>
        <v>No</v>
      </c>
    </row>
    <row r="790" spans="1:13" x14ac:dyDescent="0.3">
      <c r="A790" t="s">
        <v>1182</v>
      </c>
      <c r="B790">
        <v>68</v>
      </c>
      <c r="C790" t="s">
        <v>20</v>
      </c>
      <c r="D790" t="s">
        <v>51</v>
      </c>
      <c r="E790" t="s">
        <v>14</v>
      </c>
      <c r="F790" t="s">
        <v>478</v>
      </c>
      <c r="G790" t="s">
        <v>348</v>
      </c>
      <c r="H790">
        <v>8</v>
      </c>
      <c r="I790" s="1">
        <v>12013.56</v>
      </c>
      <c r="J790" t="s">
        <v>17</v>
      </c>
      <c r="K790" t="s">
        <v>18</v>
      </c>
      <c r="L790" t="str" cm="1">
        <f t="array" ref="L790">_xlfn.IFS(B790&lt;30,"18-29",B790&lt;45,"30-44",B790&lt;60,"45-59",B790&lt;75,"60-74",B790&lt;=90,"75-90")</f>
        <v>60-74</v>
      </c>
      <c r="M790" t="str">
        <f>IF(Table1[[#This Row],[length_of_stay_days]]&gt;7,"Yes","No")</f>
        <v>Yes</v>
      </c>
    </row>
    <row r="791" spans="1:13" x14ac:dyDescent="0.3">
      <c r="A791" t="s">
        <v>1183</v>
      </c>
      <c r="B791">
        <v>47</v>
      </c>
      <c r="C791" t="s">
        <v>12</v>
      </c>
      <c r="D791" t="s">
        <v>55</v>
      </c>
      <c r="E791" t="s">
        <v>28</v>
      </c>
      <c r="F791" t="s">
        <v>86</v>
      </c>
      <c r="G791" t="s">
        <v>536</v>
      </c>
      <c r="H791">
        <v>6</v>
      </c>
      <c r="I791" s="1">
        <v>9559.4500000000007</v>
      </c>
      <c r="J791" t="s">
        <v>17</v>
      </c>
      <c r="K791" t="s">
        <v>18</v>
      </c>
      <c r="L791" t="str" cm="1">
        <f t="array" ref="L791">_xlfn.IFS(B791&lt;30,"18-29",B791&lt;45,"30-44",B791&lt;60,"45-59",B791&lt;75,"60-74",B791&lt;=90,"75-90")</f>
        <v>45-59</v>
      </c>
      <c r="M791" t="str">
        <f>IF(Table1[[#This Row],[length_of_stay_days]]&gt;7,"Yes","No")</f>
        <v>No</v>
      </c>
    </row>
    <row r="792" spans="1:13" x14ac:dyDescent="0.3">
      <c r="A792" t="s">
        <v>1184</v>
      </c>
      <c r="B792">
        <v>18</v>
      </c>
      <c r="C792" t="s">
        <v>20</v>
      </c>
      <c r="D792" t="s">
        <v>51</v>
      </c>
      <c r="E792" t="s">
        <v>14</v>
      </c>
      <c r="F792" t="s">
        <v>506</v>
      </c>
      <c r="G792" t="s">
        <v>898</v>
      </c>
      <c r="H792">
        <v>7</v>
      </c>
      <c r="I792" s="1">
        <v>12526.4</v>
      </c>
      <c r="J792" t="s">
        <v>17</v>
      </c>
      <c r="K792" t="s">
        <v>18</v>
      </c>
      <c r="L792" t="str" cm="1">
        <f t="array" ref="L792">_xlfn.IFS(B792&lt;30,"18-29",B792&lt;45,"30-44",B792&lt;60,"45-59",B792&lt;75,"60-74",B792&lt;=90,"75-90")</f>
        <v>18-29</v>
      </c>
      <c r="M792" t="str">
        <f>IF(Table1[[#This Row],[length_of_stay_days]]&gt;7,"Yes","No")</f>
        <v>No</v>
      </c>
    </row>
    <row r="793" spans="1:13" x14ac:dyDescent="0.3">
      <c r="A793" t="s">
        <v>1185</v>
      </c>
      <c r="B793">
        <v>60</v>
      </c>
      <c r="C793" t="s">
        <v>12</v>
      </c>
      <c r="D793" t="s">
        <v>13</v>
      </c>
      <c r="E793" t="s">
        <v>21</v>
      </c>
      <c r="F793" t="s">
        <v>807</v>
      </c>
      <c r="G793" t="s">
        <v>33</v>
      </c>
      <c r="H793">
        <v>5</v>
      </c>
      <c r="I793" s="1">
        <v>8565.6200000000008</v>
      </c>
      <c r="J793" t="s">
        <v>17</v>
      </c>
      <c r="K793" t="s">
        <v>18</v>
      </c>
      <c r="L793" t="str" cm="1">
        <f t="array" ref="L793">_xlfn.IFS(B793&lt;30,"18-29",B793&lt;45,"30-44",B793&lt;60,"45-59",B793&lt;75,"60-74",B793&lt;=90,"75-90")</f>
        <v>60-74</v>
      </c>
      <c r="M793" t="str">
        <f>IF(Table1[[#This Row],[length_of_stay_days]]&gt;7,"Yes","No")</f>
        <v>No</v>
      </c>
    </row>
    <row r="794" spans="1:13" x14ac:dyDescent="0.3">
      <c r="A794" t="s">
        <v>1186</v>
      </c>
      <c r="B794">
        <v>30</v>
      </c>
      <c r="C794" t="s">
        <v>20</v>
      </c>
      <c r="D794" t="s">
        <v>28</v>
      </c>
      <c r="E794" t="s">
        <v>14</v>
      </c>
      <c r="F794" t="s">
        <v>180</v>
      </c>
      <c r="G794" t="s">
        <v>339</v>
      </c>
      <c r="H794">
        <v>4</v>
      </c>
      <c r="I794" s="1">
        <v>4742.7</v>
      </c>
      <c r="J794" t="s">
        <v>49</v>
      </c>
      <c r="K794" t="s">
        <v>18</v>
      </c>
      <c r="L794" t="str" cm="1">
        <f t="array" ref="L794">_xlfn.IFS(B794&lt;30,"18-29",B794&lt;45,"30-44",B794&lt;60,"45-59",B794&lt;75,"60-74",B794&lt;=90,"75-90")</f>
        <v>30-44</v>
      </c>
      <c r="M794" t="str">
        <f>IF(Table1[[#This Row],[length_of_stay_days]]&gt;7,"Yes","No")</f>
        <v>No</v>
      </c>
    </row>
    <row r="795" spans="1:13" x14ac:dyDescent="0.3">
      <c r="A795" t="s">
        <v>1187</v>
      </c>
      <c r="B795">
        <v>46</v>
      </c>
      <c r="C795" t="s">
        <v>20</v>
      </c>
      <c r="D795" t="s">
        <v>28</v>
      </c>
      <c r="E795" t="s">
        <v>21</v>
      </c>
      <c r="F795" t="s">
        <v>328</v>
      </c>
      <c r="G795" t="s">
        <v>112</v>
      </c>
      <c r="H795">
        <v>7</v>
      </c>
      <c r="I795" s="1">
        <v>6638.22</v>
      </c>
      <c r="J795" t="s">
        <v>49</v>
      </c>
      <c r="K795" t="s">
        <v>18</v>
      </c>
      <c r="L795" t="str" cm="1">
        <f t="array" ref="L795">_xlfn.IFS(B795&lt;30,"18-29",B795&lt;45,"30-44",B795&lt;60,"45-59",B795&lt;75,"60-74",B795&lt;=90,"75-90")</f>
        <v>45-59</v>
      </c>
      <c r="M795" t="str">
        <f>IF(Table1[[#This Row],[length_of_stay_days]]&gt;7,"Yes","No")</f>
        <v>No</v>
      </c>
    </row>
    <row r="796" spans="1:13" x14ac:dyDescent="0.3">
      <c r="A796" t="s">
        <v>1188</v>
      </c>
      <c r="B796">
        <v>22</v>
      </c>
      <c r="C796" t="s">
        <v>12</v>
      </c>
      <c r="D796" t="s">
        <v>13</v>
      </c>
      <c r="E796" t="s">
        <v>28</v>
      </c>
      <c r="F796" t="s">
        <v>124</v>
      </c>
      <c r="G796" t="s">
        <v>205</v>
      </c>
      <c r="H796">
        <v>3</v>
      </c>
      <c r="I796" s="1">
        <v>6014.57</v>
      </c>
      <c r="J796" t="s">
        <v>17</v>
      </c>
      <c r="K796" t="s">
        <v>18</v>
      </c>
      <c r="L796" t="str" cm="1">
        <f t="array" ref="L796">_xlfn.IFS(B796&lt;30,"18-29",B796&lt;45,"30-44",B796&lt;60,"45-59",B796&lt;75,"60-74",B796&lt;=90,"75-90")</f>
        <v>18-29</v>
      </c>
      <c r="M796" t="str">
        <f>IF(Table1[[#This Row],[length_of_stay_days]]&gt;7,"Yes","No")</f>
        <v>No</v>
      </c>
    </row>
    <row r="797" spans="1:13" x14ac:dyDescent="0.3">
      <c r="A797" t="s">
        <v>1189</v>
      </c>
      <c r="B797">
        <v>46</v>
      </c>
      <c r="C797" t="s">
        <v>20</v>
      </c>
      <c r="D797" t="s">
        <v>13</v>
      </c>
      <c r="E797" t="s">
        <v>21</v>
      </c>
      <c r="F797" t="s">
        <v>273</v>
      </c>
      <c r="G797" t="s">
        <v>335</v>
      </c>
      <c r="H797">
        <v>7</v>
      </c>
      <c r="I797" s="1">
        <v>7971.69</v>
      </c>
      <c r="J797" t="s">
        <v>17</v>
      </c>
      <c r="K797" t="s">
        <v>18</v>
      </c>
      <c r="L797" t="str" cm="1">
        <f t="array" ref="L797">_xlfn.IFS(B797&lt;30,"18-29",B797&lt;45,"30-44",B797&lt;60,"45-59",B797&lt;75,"60-74",B797&lt;=90,"75-90")</f>
        <v>45-59</v>
      </c>
      <c r="M797" t="str">
        <f>IF(Table1[[#This Row],[length_of_stay_days]]&gt;7,"Yes","No")</f>
        <v>No</v>
      </c>
    </row>
    <row r="798" spans="1:13" x14ac:dyDescent="0.3">
      <c r="A798" t="s">
        <v>1190</v>
      </c>
      <c r="B798">
        <v>44</v>
      </c>
      <c r="C798" t="s">
        <v>12</v>
      </c>
      <c r="D798" t="s">
        <v>55</v>
      </c>
      <c r="E798" t="s">
        <v>28</v>
      </c>
      <c r="F798" t="s">
        <v>266</v>
      </c>
      <c r="G798" t="s">
        <v>405</v>
      </c>
      <c r="H798">
        <v>9</v>
      </c>
      <c r="I798" s="1">
        <v>14035.1</v>
      </c>
      <c r="J798" t="s">
        <v>17</v>
      </c>
      <c r="K798" t="s">
        <v>18</v>
      </c>
      <c r="L798" t="str" cm="1">
        <f t="array" ref="L798">_xlfn.IFS(B798&lt;30,"18-29",B798&lt;45,"30-44",B798&lt;60,"45-59",B798&lt;75,"60-74",B798&lt;=90,"75-90")</f>
        <v>30-44</v>
      </c>
      <c r="M798" t="str">
        <f>IF(Table1[[#This Row],[length_of_stay_days]]&gt;7,"Yes","No")</f>
        <v>Yes</v>
      </c>
    </row>
    <row r="799" spans="1:13" x14ac:dyDescent="0.3">
      <c r="A799" t="s">
        <v>1191</v>
      </c>
      <c r="B799">
        <v>58</v>
      </c>
      <c r="C799" t="s">
        <v>20</v>
      </c>
      <c r="D799" t="s">
        <v>28</v>
      </c>
      <c r="E799" t="s">
        <v>28</v>
      </c>
      <c r="F799" t="s">
        <v>376</v>
      </c>
      <c r="G799" t="s">
        <v>807</v>
      </c>
      <c r="H799">
        <v>7</v>
      </c>
      <c r="I799" s="1">
        <v>6592.67</v>
      </c>
      <c r="J799" t="s">
        <v>49</v>
      </c>
      <c r="K799" t="s">
        <v>18</v>
      </c>
      <c r="L799" t="str" cm="1">
        <f t="array" ref="L799">_xlfn.IFS(B799&lt;30,"18-29",B799&lt;45,"30-44",B799&lt;60,"45-59",B799&lt;75,"60-74",B799&lt;=90,"75-90")</f>
        <v>45-59</v>
      </c>
      <c r="M799" t="str">
        <f>IF(Table1[[#This Row],[length_of_stay_days]]&gt;7,"Yes","No")</f>
        <v>No</v>
      </c>
    </row>
    <row r="800" spans="1:13" x14ac:dyDescent="0.3">
      <c r="A800" t="s">
        <v>1192</v>
      </c>
      <c r="B800">
        <v>42</v>
      </c>
      <c r="C800" t="s">
        <v>20</v>
      </c>
      <c r="D800" t="s">
        <v>46</v>
      </c>
      <c r="E800" t="s">
        <v>28</v>
      </c>
      <c r="F800" t="s">
        <v>90</v>
      </c>
      <c r="G800" t="s">
        <v>99</v>
      </c>
      <c r="H800">
        <v>8</v>
      </c>
      <c r="I800" s="1">
        <v>14437.97</v>
      </c>
      <c r="J800" t="s">
        <v>49</v>
      </c>
      <c r="K800" t="s">
        <v>18</v>
      </c>
      <c r="L800" t="str" cm="1">
        <f t="array" ref="L800">_xlfn.IFS(B800&lt;30,"18-29",B800&lt;45,"30-44",B800&lt;60,"45-59",B800&lt;75,"60-74",B800&lt;=90,"75-90")</f>
        <v>30-44</v>
      </c>
      <c r="M800" t="str">
        <f>IF(Table1[[#This Row],[length_of_stay_days]]&gt;7,"Yes","No")</f>
        <v>Yes</v>
      </c>
    </row>
    <row r="801" spans="1:13" x14ac:dyDescent="0.3">
      <c r="A801" t="s">
        <v>1193</v>
      </c>
      <c r="B801">
        <v>69</v>
      </c>
      <c r="C801" t="s">
        <v>12</v>
      </c>
      <c r="D801" t="s">
        <v>28</v>
      </c>
      <c r="E801" t="s">
        <v>21</v>
      </c>
      <c r="F801" t="s">
        <v>74</v>
      </c>
      <c r="G801" t="s">
        <v>75</v>
      </c>
      <c r="H801">
        <v>4</v>
      </c>
      <c r="I801" s="1">
        <v>5113.93</v>
      </c>
      <c r="J801" t="s">
        <v>17</v>
      </c>
      <c r="K801" t="s">
        <v>44</v>
      </c>
      <c r="L801" t="str" cm="1">
        <f t="array" ref="L801">_xlfn.IFS(B801&lt;30,"18-29",B801&lt;45,"30-44",B801&lt;60,"45-59",B801&lt;75,"60-74",B801&lt;=90,"75-90")</f>
        <v>60-74</v>
      </c>
      <c r="M801" t="str">
        <f>IF(Table1[[#This Row],[length_of_stay_days]]&gt;7,"Yes","No")</f>
        <v>No</v>
      </c>
    </row>
    <row r="802" spans="1:13" x14ac:dyDescent="0.3">
      <c r="A802" t="s">
        <v>1194</v>
      </c>
      <c r="B802">
        <v>76</v>
      </c>
      <c r="C802" t="s">
        <v>20</v>
      </c>
      <c r="D802" t="s">
        <v>28</v>
      </c>
      <c r="E802" t="s">
        <v>21</v>
      </c>
      <c r="F802" t="s">
        <v>355</v>
      </c>
      <c r="G802" t="s">
        <v>489</v>
      </c>
      <c r="H802">
        <v>7</v>
      </c>
      <c r="I802" s="1">
        <v>7345.76</v>
      </c>
      <c r="J802" t="s">
        <v>17</v>
      </c>
      <c r="K802" t="s">
        <v>18</v>
      </c>
      <c r="L802" t="str" cm="1">
        <f t="array" ref="L802">_xlfn.IFS(B802&lt;30,"18-29",B802&lt;45,"30-44",B802&lt;60,"45-59",B802&lt;75,"60-74",B802&lt;=90,"75-90")</f>
        <v>75-90</v>
      </c>
      <c r="M802" t="str">
        <f>IF(Table1[[#This Row],[length_of_stay_days]]&gt;7,"Yes","No")</f>
        <v>No</v>
      </c>
    </row>
    <row r="803" spans="1:13" x14ac:dyDescent="0.3">
      <c r="A803" t="s">
        <v>1195</v>
      </c>
      <c r="B803">
        <v>26</v>
      </c>
      <c r="C803" t="s">
        <v>70</v>
      </c>
      <c r="D803" t="s">
        <v>13</v>
      </c>
      <c r="E803" t="s">
        <v>28</v>
      </c>
      <c r="F803" t="s">
        <v>575</v>
      </c>
      <c r="G803" t="s">
        <v>415</v>
      </c>
      <c r="H803">
        <v>8</v>
      </c>
      <c r="I803" s="1">
        <v>10301.65</v>
      </c>
      <c r="J803" t="s">
        <v>17</v>
      </c>
      <c r="K803" t="s">
        <v>18</v>
      </c>
      <c r="L803" t="str" cm="1">
        <f t="array" ref="L803">_xlfn.IFS(B803&lt;30,"18-29",B803&lt;45,"30-44",B803&lt;60,"45-59",B803&lt;75,"60-74",B803&lt;=90,"75-90")</f>
        <v>18-29</v>
      </c>
      <c r="M803" t="str">
        <f>IF(Table1[[#This Row],[length_of_stay_days]]&gt;7,"Yes","No")</f>
        <v>Yes</v>
      </c>
    </row>
    <row r="804" spans="1:13" x14ac:dyDescent="0.3">
      <c r="A804" t="s">
        <v>1196</v>
      </c>
      <c r="B804">
        <v>20</v>
      </c>
      <c r="C804" t="s">
        <v>20</v>
      </c>
      <c r="D804" t="s">
        <v>55</v>
      </c>
      <c r="E804" t="s">
        <v>28</v>
      </c>
      <c r="F804" t="s">
        <v>140</v>
      </c>
      <c r="G804" t="s">
        <v>388</v>
      </c>
      <c r="H804">
        <v>6</v>
      </c>
      <c r="I804" s="1">
        <v>8984.18</v>
      </c>
      <c r="J804" t="s">
        <v>17</v>
      </c>
      <c r="K804" t="s">
        <v>18</v>
      </c>
      <c r="L804" t="str" cm="1">
        <f t="array" ref="L804">_xlfn.IFS(B804&lt;30,"18-29",B804&lt;45,"30-44",B804&lt;60,"45-59",B804&lt;75,"60-74",B804&lt;=90,"75-90")</f>
        <v>18-29</v>
      </c>
      <c r="M804" t="str">
        <f>IF(Table1[[#This Row],[length_of_stay_days]]&gt;7,"Yes","No")</f>
        <v>No</v>
      </c>
    </row>
    <row r="805" spans="1:13" x14ac:dyDescent="0.3">
      <c r="A805" t="s">
        <v>1197</v>
      </c>
      <c r="B805">
        <v>85</v>
      </c>
      <c r="C805" t="s">
        <v>12</v>
      </c>
      <c r="D805" t="s">
        <v>32</v>
      </c>
      <c r="E805" t="s">
        <v>28</v>
      </c>
      <c r="F805" t="s">
        <v>381</v>
      </c>
      <c r="G805" t="s">
        <v>33</v>
      </c>
      <c r="H805">
        <v>7</v>
      </c>
      <c r="I805" s="1">
        <v>9100.16</v>
      </c>
      <c r="J805" t="s">
        <v>17</v>
      </c>
      <c r="K805" t="s">
        <v>18</v>
      </c>
      <c r="L805" t="str" cm="1">
        <f t="array" ref="L805">_xlfn.IFS(B805&lt;30,"18-29",B805&lt;45,"30-44",B805&lt;60,"45-59",B805&lt;75,"60-74",B805&lt;=90,"75-90")</f>
        <v>75-90</v>
      </c>
      <c r="M805" t="str">
        <f>IF(Table1[[#This Row],[length_of_stay_days]]&gt;7,"Yes","No")</f>
        <v>No</v>
      </c>
    </row>
    <row r="806" spans="1:13" x14ac:dyDescent="0.3">
      <c r="A806" t="s">
        <v>1198</v>
      </c>
      <c r="B806">
        <v>63</v>
      </c>
      <c r="C806" t="s">
        <v>12</v>
      </c>
      <c r="D806" t="s">
        <v>32</v>
      </c>
      <c r="E806" t="s">
        <v>14</v>
      </c>
      <c r="F806" t="s">
        <v>363</v>
      </c>
      <c r="G806" t="s">
        <v>364</v>
      </c>
      <c r="H806">
        <v>5</v>
      </c>
      <c r="I806" s="1">
        <v>10163.68</v>
      </c>
      <c r="J806" t="s">
        <v>17</v>
      </c>
      <c r="K806" t="s">
        <v>18</v>
      </c>
      <c r="L806" t="str" cm="1">
        <f t="array" ref="L806">_xlfn.IFS(B806&lt;30,"18-29",B806&lt;45,"30-44",B806&lt;60,"45-59",B806&lt;75,"60-74",B806&lt;=90,"75-90")</f>
        <v>60-74</v>
      </c>
      <c r="M806" t="str">
        <f>IF(Table1[[#This Row],[length_of_stay_days]]&gt;7,"Yes","No")</f>
        <v>No</v>
      </c>
    </row>
    <row r="807" spans="1:13" x14ac:dyDescent="0.3">
      <c r="A807" t="s">
        <v>1199</v>
      </c>
      <c r="B807">
        <v>57</v>
      </c>
      <c r="C807" t="s">
        <v>12</v>
      </c>
      <c r="D807" t="s">
        <v>46</v>
      </c>
      <c r="E807" t="s">
        <v>21</v>
      </c>
      <c r="F807" t="s">
        <v>497</v>
      </c>
      <c r="G807" t="s">
        <v>132</v>
      </c>
      <c r="H807">
        <v>2</v>
      </c>
      <c r="I807" s="1">
        <v>8676.93</v>
      </c>
      <c r="J807" t="s">
        <v>17</v>
      </c>
      <c r="K807" t="s">
        <v>223</v>
      </c>
      <c r="L807" t="str" cm="1">
        <f t="array" ref="L807">_xlfn.IFS(B807&lt;30,"18-29",B807&lt;45,"30-44",B807&lt;60,"45-59",B807&lt;75,"60-74",B807&lt;=90,"75-90")</f>
        <v>45-59</v>
      </c>
      <c r="M807" t="str">
        <f>IF(Table1[[#This Row],[length_of_stay_days]]&gt;7,"Yes","No")</f>
        <v>No</v>
      </c>
    </row>
    <row r="808" spans="1:13" x14ac:dyDescent="0.3">
      <c r="A808" t="s">
        <v>1200</v>
      </c>
      <c r="B808">
        <v>37</v>
      </c>
      <c r="C808" t="s">
        <v>12</v>
      </c>
      <c r="D808" t="s">
        <v>51</v>
      </c>
      <c r="E808" t="s">
        <v>21</v>
      </c>
      <c r="F808" t="s">
        <v>765</v>
      </c>
      <c r="G808" t="s">
        <v>234</v>
      </c>
      <c r="H808">
        <v>5</v>
      </c>
      <c r="I808" s="1">
        <v>10171.73</v>
      </c>
      <c r="J808" t="s">
        <v>17</v>
      </c>
      <c r="K808" t="s">
        <v>44</v>
      </c>
      <c r="L808" t="str" cm="1">
        <f t="array" ref="L808">_xlfn.IFS(B808&lt;30,"18-29",B808&lt;45,"30-44",B808&lt;60,"45-59",B808&lt;75,"60-74",B808&lt;=90,"75-90")</f>
        <v>30-44</v>
      </c>
      <c r="M808" t="str">
        <f>IF(Table1[[#This Row],[length_of_stay_days]]&gt;7,"Yes","No")</f>
        <v>No</v>
      </c>
    </row>
    <row r="809" spans="1:13" x14ac:dyDescent="0.3">
      <c r="A809" t="s">
        <v>1201</v>
      </c>
      <c r="B809">
        <v>77</v>
      </c>
      <c r="C809" t="s">
        <v>20</v>
      </c>
      <c r="D809" t="s">
        <v>46</v>
      </c>
      <c r="E809" t="s">
        <v>28</v>
      </c>
      <c r="F809" t="s">
        <v>190</v>
      </c>
      <c r="G809" t="s">
        <v>163</v>
      </c>
      <c r="H809">
        <v>13</v>
      </c>
      <c r="I809" s="1">
        <v>17859.05</v>
      </c>
      <c r="J809" t="s">
        <v>17</v>
      </c>
      <c r="K809" t="s">
        <v>18</v>
      </c>
      <c r="L809" t="str" cm="1">
        <f t="array" ref="L809">_xlfn.IFS(B809&lt;30,"18-29",B809&lt;45,"30-44",B809&lt;60,"45-59",B809&lt;75,"60-74",B809&lt;=90,"75-90")</f>
        <v>75-90</v>
      </c>
      <c r="M809" t="str">
        <f>IF(Table1[[#This Row],[length_of_stay_days]]&gt;7,"Yes","No")</f>
        <v>Yes</v>
      </c>
    </row>
    <row r="810" spans="1:13" x14ac:dyDescent="0.3">
      <c r="A810" t="s">
        <v>1202</v>
      </c>
      <c r="B810">
        <v>77</v>
      </c>
      <c r="C810" t="s">
        <v>12</v>
      </c>
      <c r="D810" t="s">
        <v>28</v>
      </c>
      <c r="E810" t="s">
        <v>28</v>
      </c>
      <c r="F810" t="s">
        <v>266</v>
      </c>
      <c r="G810" t="s">
        <v>295</v>
      </c>
      <c r="H810">
        <v>5</v>
      </c>
      <c r="I810" s="1">
        <v>6203.95</v>
      </c>
      <c r="J810" t="s">
        <v>17</v>
      </c>
      <c r="K810" t="s">
        <v>18</v>
      </c>
      <c r="L810" t="str" cm="1">
        <f t="array" ref="L810">_xlfn.IFS(B810&lt;30,"18-29",B810&lt;45,"30-44",B810&lt;60,"45-59",B810&lt;75,"60-74",B810&lt;=90,"75-90")</f>
        <v>75-90</v>
      </c>
      <c r="M810" t="str">
        <f>IF(Table1[[#This Row],[length_of_stay_days]]&gt;7,"Yes","No")</f>
        <v>No</v>
      </c>
    </row>
    <row r="811" spans="1:13" x14ac:dyDescent="0.3">
      <c r="A811" t="s">
        <v>1203</v>
      </c>
      <c r="B811">
        <v>24</v>
      </c>
      <c r="C811" t="s">
        <v>12</v>
      </c>
      <c r="D811" t="s">
        <v>55</v>
      </c>
      <c r="E811" t="s">
        <v>14</v>
      </c>
      <c r="F811" t="s">
        <v>1160</v>
      </c>
      <c r="G811" t="s">
        <v>574</v>
      </c>
      <c r="H811">
        <v>2</v>
      </c>
      <c r="I811" s="1">
        <v>6245.02</v>
      </c>
      <c r="J811" t="s">
        <v>17</v>
      </c>
      <c r="K811" t="s">
        <v>18</v>
      </c>
      <c r="L811" t="str" cm="1">
        <f t="array" ref="L811">_xlfn.IFS(B811&lt;30,"18-29",B811&lt;45,"30-44",B811&lt;60,"45-59",B811&lt;75,"60-74",B811&lt;=90,"75-90")</f>
        <v>18-29</v>
      </c>
      <c r="M811" t="str">
        <f>IF(Table1[[#This Row],[length_of_stay_days]]&gt;7,"Yes","No")</f>
        <v>No</v>
      </c>
    </row>
    <row r="812" spans="1:13" x14ac:dyDescent="0.3">
      <c r="A812" t="s">
        <v>1204</v>
      </c>
      <c r="B812">
        <v>47</v>
      </c>
      <c r="C812" t="s">
        <v>20</v>
      </c>
      <c r="D812" t="s">
        <v>28</v>
      </c>
      <c r="E812" t="s">
        <v>28</v>
      </c>
      <c r="F812" t="s">
        <v>65</v>
      </c>
      <c r="G812" t="s">
        <v>165</v>
      </c>
      <c r="H812">
        <v>3</v>
      </c>
      <c r="I812" s="1">
        <v>5760.35</v>
      </c>
      <c r="J812" t="s">
        <v>17</v>
      </c>
      <c r="K812" t="s">
        <v>18</v>
      </c>
      <c r="L812" t="str" cm="1">
        <f t="array" ref="L812">_xlfn.IFS(B812&lt;30,"18-29",B812&lt;45,"30-44",B812&lt;60,"45-59",B812&lt;75,"60-74",B812&lt;=90,"75-90")</f>
        <v>45-59</v>
      </c>
      <c r="M812" t="str">
        <f>IF(Table1[[#This Row],[length_of_stay_days]]&gt;7,"Yes","No")</f>
        <v>No</v>
      </c>
    </row>
    <row r="813" spans="1:13" x14ac:dyDescent="0.3">
      <c r="A813" t="s">
        <v>1205</v>
      </c>
      <c r="B813">
        <v>50</v>
      </c>
      <c r="C813" t="s">
        <v>12</v>
      </c>
      <c r="D813" t="s">
        <v>28</v>
      </c>
      <c r="E813" t="s">
        <v>14</v>
      </c>
      <c r="F813" t="s">
        <v>299</v>
      </c>
      <c r="G813" t="s">
        <v>92</v>
      </c>
      <c r="H813">
        <v>2</v>
      </c>
      <c r="I813" s="1">
        <v>1721.5</v>
      </c>
      <c r="J813" t="s">
        <v>17</v>
      </c>
      <c r="K813" t="s">
        <v>18</v>
      </c>
      <c r="L813" t="str" cm="1">
        <f t="array" ref="L813">_xlfn.IFS(B813&lt;30,"18-29",B813&lt;45,"30-44",B813&lt;60,"45-59",B813&lt;75,"60-74",B813&lt;=90,"75-90")</f>
        <v>45-59</v>
      </c>
      <c r="M813" t="str">
        <f>IF(Table1[[#This Row],[length_of_stay_days]]&gt;7,"Yes","No")</f>
        <v>No</v>
      </c>
    </row>
    <row r="814" spans="1:13" x14ac:dyDescent="0.3">
      <c r="A814" t="s">
        <v>1206</v>
      </c>
      <c r="B814">
        <v>40</v>
      </c>
      <c r="C814" t="s">
        <v>20</v>
      </c>
      <c r="D814" t="s">
        <v>55</v>
      </c>
      <c r="E814" t="s">
        <v>21</v>
      </c>
      <c r="F814" t="s">
        <v>1207</v>
      </c>
      <c r="G814" t="s">
        <v>67</v>
      </c>
      <c r="H814">
        <v>5</v>
      </c>
      <c r="I814" s="1">
        <v>9482.36</v>
      </c>
      <c r="J814" t="s">
        <v>17</v>
      </c>
      <c r="K814" t="s">
        <v>18</v>
      </c>
      <c r="L814" t="str" cm="1">
        <f t="array" ref="L814">_xlfn.IFS(B814&lt;30,"18-29",B814&lt;45,"30-44",B814&lt;60,"45-59",B814&lt;75,"60-74",B814&lt;=90,"75-90")</f>
        <v>30-44</v>
      </c>
      <c r="M814" t="str">
        <f>IF(Table1[[#This Row],[length_of_stay_days]]&gt;7,"Yes","No")</f>
        <v>No</v>
      </c>
    </row>
    <row r="815" spans="1:13" x14ac:dyDescent="0.3">
      <c r="A815" t="s">
        <v>1208</v>
      </c>
      <c r="B815">
        <v>27</v>
      </c>
      <c r="C815" t="s">
        <v>20</v>
      </c>
      <c r="D815" t="s">
        <v>55</v>
      </c>
      <c r="E815" t="s">
        <v>21</v>
      </c>
      <c r="F815" t="s">
        <v>163</v>
      </c>
      <c r="G815" t="s">
        <v>298</v>
      </c>
      <c r="H815">
        <v>7</v>
      </c>
      <c r="I815" s="1">
        <v>10272.43</v>
      </c>
      <c r="J815" t="s">
        <v>49</v>
      </c>
      <c r="K815" t="s">
        <v>18</v>
      </c>
      <c r="L815" t="str" cm="1">
        <f t="array" ref="L815">_xlfn.IFS(B815&lt;30,"18-29",B815&lt;45,"30-44",B815&lt;60,"45-59",B815&lt;75,"60-74",B815&lt;=90,"75-90")</f>
        <v>18-29</v>
      </c>
      <c r="M815" t="str">
        <f>IF(Table1[[#This Row],[length_of_stay_days]]&gt;7,"Yes","No")</f>
        <v>No</v>
      </c>
    </row>
    <row r="816" spans="1:13" x14ac:dyDescent="0.3">
      <c r="A816" t="s">
        <v>1209</v>
      </c>
      <c r="B816">
        <v>61</v>
      </c>
      <c r="C816" t="s">
        <v>12</v>
      </c>
      <c r="D816" t="s">
        <v>13</v>
      </c>
      <c r="E816" t="s">
        <v>14</v>
      </c>
      <c r="F816" t="s">
        <v>108</v>
      </c>
      <c r="G816" t="s">
        <v>109</v>
      </c>
      <c r="H816">
        <v>6</v>
      </c>
      <c r="I816" s="1">
        <v>8645.2999999999993</v>
      </c>
      <c r="J816" t="s">
        <v>49</v>
      </c>
      <c r="K816" t="s">
        <v>18</v>
      </c>
      <c r="L816" t="str" cm="1">
        <f t="array" ref="L816">_xlfn.IFS(B816&lt;30,"18-29",B816&lt;45,"30-44",B816&lt;60,"45-59",B816&lt;75,"60-74",B816&lt;=90,"75-90")</f>
        <v>60-74</v>
      </c>
      <c r="M816" t="str">
        <f>IF(Table1[[#This Row],[length_of_stay_days]]&gt;7,"Yes","No")</f>
        <v>No</v>
      </c>
    </row>
    <row r="817" spans="1:13" x14ac:dyDescent="0.3">
      <c r="A817" t="s">
        <v>1210</v>
      </c>
      <c r="B817">
        <v>30</v>
      </c>
      <c r="C817" t="s">
        <v>12</v>
      </c>
      <c r="D817" t="s">
        <v>28</v>
      </c>
      <c r="E817" t="s">
        <v>28</v>
      </c>
      <c r="F817" t="s">
        <v>1160</v>
      </c>
      <c r="G817" t="s">
        <v>1207</v>
      </c>
      <c r="H817">
        <v>7</v>
      </c>
      <c r="I817" s="1">
        <v>9172.94</v>
      </c>
      <c r="J817" t="s">
        <v>49</v>
      </c>
      <c r="K817" t="s">
        <v>18</v>
      </c>
      <c r="L817" t="str" cm="1">
        <f t="array" ref="L817">_xlfn.IFS(B817&lt;30,"18-29",B817&lt;45,"30-44",B817&lt;60,"45-59",B817&lt;75,"60-74",B817&lt;=90,"75-90")</f>
        <v>30-44</v>
      </c>
      <c r="M817" t="str">
        <f>IF(Table1[[#This Row],[length_of_stay_days]]&gt;7,"Yes","No")</f>
        <v>No</v>
      </c>
    </row>
    <row r="818" spans="1:13" x14ac:dyDescent="0.3">
      <c r="A818" t="s">
        <v>1211</v>
      </c>
      <c r="B818">
        <v>19</v>
      </c>
      <c r="C818" t="s">
        <v>12</v>
      </c>
      <c r="D818" t="s">
        <v>28</v>
      </c>
      <c r="E818" t="s">
        <v>28</v>
      </c>
      <c r="F818" t="s">
        <v>449</v>
      </c>
      <c r="G818" t="s">
        <v>791</v>
      </c>
      <c r="H818">
        <v>11</v>
      </c>
      <c r="I818" s="1">
        <v>8598.59</v>
      </c>
      <c r="J818" t="s">
        <v>49</v>
      </c>
      <c r="K818" t="s">
        <v>44</v>
      </c>
      <c r="L818" t="str" cm="1">
        <f t="array" ref="L818">_xlfn.IFS(B818&lt;30,"18-29",B818&lt;45,"30-44",B818&lt;60,"45-59",B818&lt;75,"60-74",B818&lt;=90,"75-90")</f>
        <v>18-29</v>
      </c>
      <c r="M818" t="str">
        <f>IF(Table1[[#This Row],[length_of_stay_days]]&gt;7,"Yes","No")</f>
        <v>Yes</v>
      </c>
    </row>
    <row r="819" spans="1:13" x14ac:dyDescent="0.3">
      <c r="A819" t="s">
        <v>1212</v>
      </c>
      <c r="B819">
        <v>72</v>
      </c>
      <c r="C819" t="s">
        <v>20</v>
      </c>
      <c r="D819" t="s">
        <v>28</v>
      </c>
      <c r="E819" t="s">
        <v>21</v>
      </c>
      <c r="F819" t="s">
        <v>339</v>
      </c>
      <c r="G819" t="s">
        <v>263</v>
      </c>
      <c r="H819">
        <v>6</v>
      </c>
      <c r="I819" s="1">
        <v>7042</v>
      </c>
      <c r="J819" t="s">
        <v>17</v>
      </c>
      <c r="K819" t="s">
        <v>18</v>
      </c>
      <c r="L819" t="str" cm="1">
        <f t="array" ref="L819">_xlfn.IFS(B819&lt;30,"18-29",B819&lt;45,"30-44",B819&lt;60,"45-59",B819&lt;75,"60-74",B819&lt;=90,"75-90")</f>
        <v>60-74</v>
      </c>
      <c r="M819" t="str">
        <f>IF(Table1[[#This Row],[length_of_stay_days]]&gt;7,"Yes","No")</f>
        <v>No</v>
      </c>
    </row>
    <row r="820" spans="1:13" x14ac:dyDescent="0.3">
      <c r="A820" t="s">
        <v>1213</v>
      </c>
      <c r="B820">
        <v>34</v>
      </c>
      <c r="C820" t="s">
        <v>12</v>
      </c>
      <c r="D820" t="s">
        <v>32</v>
      </c>
      <c r="E820" t="s">
        <v>14</v>
      </c>
      <c r="F820" t="s">
        <v>168</v>
      </c>
      <c r="G820" t="s">
        <v>499</v>
      </c>
      <c r="H820">
        <v>5</v>
      </c>
      <c r="I820" s="1">
        <v>11703.04</v>
      </c>
      <c r="J820" t="s">
        <v>49</v>
      </c>
      <c r="K820" t="s">
        <v>18</v>
      </c>
      <c r="L820" t="str" cm="1">
        <f t="array" ref="L820">_xlfn.IFS(B820&lt;30,"18-29",B820&lt;45,"30-44",B820&lt;60,"45-59",B820&lt;75,"60-74",B820&lt;=90,"75-90")</f>
        <v>30-44</v>
      </c>
      <c r="M820" t="str">
        <f>IF(Table1[[#This Row],[length_of_stay_days]]&gt;7,"Yes","No")</f>
        <v>No</v>
      </c>
    </row>
    <row r="821" spans="1:13" x14ac:dyDescent="0.3">
      <c r="A821" t="s">
        <v>1214</v>
      </c>
      <c r="B821">
        <v>46</v>
      </c>
      <c r="C821" t="s">
        <v>20</v>
      </c>
      <c r="D821" t="s">
        <v>28</v>
      </c>
      <c r="E821" t="s">
        <v>28</v>
      </c>
      <c r="F821" t="s">
        <v>837</v>
      </c>
      <c r="G821" t="s">
        <v>245</v>
      </c>
      <c r="H821">
        <v>3</v>
      </c>
      <c r="I821" s="1">
        <v>6899.97</v>
      </c>
      <c r="J821" t="s">
        <v>17</v>
      </c>
      <c r="K821" t="s">
        <v>18</v>
      </c>
      <c r="L821" t="str" cm="1">
        <f t="array" ref="L821">_xlfn.IFS(B821&lt;30,"18-29",B821&lt;45,"30-44",B821&lt;60,"45-59",B821&lt;75,"60-74",B821&lt;=90,"75-90")</f>
        <v>45-59</v>
      </c>
      <c r="M821" t="str">
        <f>IF(Table1[[#This Row],[length_of_stay_days]]&gt;7,"Yes","No")</f>
        <v>No</v>
      </c>
    </row>
    <row r="822" spans="1:13" x14ac:dyDescent="0.3">
      <c r="A822" t="s">
        <v>1215</v>
      </c>
      <c r="B822">
        <v>41</v>
      </c>
      <c r="C822" t="s">
        <v>12</v>
      </c>
      <c r="D822" t="s">
        <v>28</v>
      </c>
      <c r="E822" t="s">
        <v>28</v>
      </c>
      <c r="F822" t="s">
        <v>381</v>
      </c>
      <c r="G822" t="s">
        <v>879</v>
      </c>
      <c r="H822">
        <v>6</v>
      </c>
      <c r="I822" s="1">
        <v>6057.46</v>
      </c>
      <c r="J822" t="s">
        <v>17</v>
      </c>
      <c r="K822" t="s">
        <v>18</v>
      </c>
      <c r="L822" t="str" cm="1">
        <f t="array" ref="L822">_xlfn.IFS(B822&lt;30,"18-29",B822&lt;45,"30-44",B822&lt;60,"45-59",B822&lt;75,"60-74",B822&lt;=90,"75-90")</f>
        <v>30-44</v>
      </c>
      <c r="M822" t="str">
        <f>IF(Table1[[#This Row],[length_of_stay_days]]&gt;7,"Yes","No")</f>
        <v>No</v>
      </c>
    </row>
    <row r="823" spans="1:13" x14ac:dyDescent="0.3">
      <c r="A823" t="s">
        <v>1216</v>
      </c>
      <c r="B823">
        <v>78</v>
      </c>
      <c r="C823" t="s">
        <v>20</v>
      </c>
      <c r="D823" t="s">
        <v>51</v>
      </c>
      <c r="E823" t="s">
        <v>14</v>
      </c>
      <c r="F823" t="s">
        <v>456</v>
      </c>
      <c r="G823" t="s">
        <v>523</v>
      </c>
      <c r="H823">
        <v>6</v>
      </c>
      <c r="I823" s="1">
        <v>11115.55</v>
      </c>
      <c r="J823" t="s">
        <v>17</v>
      </c>
      <c r="K823" t="s">
        <v>18</v>
      </c>
      <c r="L823" t="str" cm="1">
        <f t="array" ref="L823">_xlfn.IFS(B823&lt;30,"18-29",B823&lt;45,"30-44",B823&lt;60,"45-59",B823&lt;75,"60-74",B823&lt;=90,"75-90")</f>
        <v>75-90</v>
      </c>
      <c r="M823" t="str">
        <f>IF(Table1[[#This Row],[length_of_stay_days]]&gt;7,"Yes","No")</f>
        <v>No</v>
      </c>
    </row>
    <row r="824" spans="1:13" x14ac:dyDescent="0.3">
      <c r="A824" t="s">
        <v>1217</v>
      </c>
      <c r="B824">
        <v>66</v>
      </c>
      <c r="C824" t="s">
        <v>20</v>
      </c>
      <c r="D824" t="s">
        <v>55</v>
      </c>
      <c r="E824" t="s">
        <v>28</v>
      </c>
      <c r="F824" t="s">
        <v>148</v>
      </c>
      <c r="G824" t="s">
        <v>149</v>
      </c>
      <c r="H824">
        <v>7</v>
      </c>
      <c r="I824" s="1">
        <v>11082.17</v>
      </c>
      <c r="J824" t="s">
        <v>17</v>
      </c>
      <c r="K824" t="s">
        <v>18</v>
      </c>
      <c r="L824" t="str" cm="1">
        <f t="array" ref="L824">_xlfn.IFS(B824&lt;30,"18-29",B824&lt;45,"30-44",B824&lt;60,"45-59",B824&lt;75,"60-74",B824&lt;=90,"75-90")</f>
        <v>60-74</v>
      </c>
      <c r="M824" t="str">
        <f>IF(Table1[[#This Row],[length_of_stay_days]]&gt;7,"Yes","No")</f>
        <v>No</v>
      </c>
    </row>
    <row r="825" spans="1:13" x14ac:dyDescent="0.3">
      <c r="A825" t="s">
        <v>1218</v>
      </c>
      <c r="B825">
        <v>71</v>
      </c>
      <c r="C825" t="s">
        <v>20</v>
      </c>
      <c r="D825" t="s">
        <v>28</v>
      </c>
      <c r="E825" t="s">
        <v>21</v>
      </c>
      <c r="F825" t="s">
        <v>928</v>
      </c>
      <c r="G825" t="s">
        <v>299</v>
      </c>
      <c r="H825">
        <v>6</v>
      </c>
      <c r="I825" s="1">
        <v>4182.1499999999996</v>
      </c>
      <c r="J825" t="s">
        <v>17</v>
      </c>
      <c r="K825" t="s">
        <v>18</v>
      </c>
      <c r="L825" t="str" cm="1">
        <f t="array" ref="L825">_xlfn.IFS(B825&lt;30,"18-29",B825&lt;45,"30-44",B825&lt;60,"45-59",B825&lt;75,"60-74",B825&lt;=90,"75-90")</f>
        <v>60-74</v>
      </c>
      <c r="M825" t="str">
        <f>IF(Table1[[#This Row],[length_of_stay_days]]&gt;7,"Yes","No")</f>
        <v>No</v>
      </c>
    </row>
    <row r="826" spans="1:13" x14ac:dyDescent="0.3">
      <c r="A826" t="s">
        <v>1219</v>
      </c>
      <c r="B826">
        <v>39</v>
      </c>
      <c r="C826" t="s">
        <v>12</v>
      </c>
      <c r="D826" t="s">
        <v>28</v>
      </c>
      <c r="E826" t="s">
        <v>14</v>
      </c>
      <c r="F826" t="s">
        <v>166</v>
      </c>
      <c r="G826" t="s">
        <v>81</v>
      </c>
      <c r="H826">
        <v>3</v>
      </c>
      <c r="I826" s="1">
        <v>3399.71</v>
      </c>
      <c r="J826" t="s">
        <v>17</v>
      </c>
      <c r="K826" t="s">
        <v>18</v>
      </c>
      <c r="L826" t="str" cm="1">
        <f t="array" ref="L826">_xlfn.IFS(B826&lt;30,"18-29",B826&lt;45,"30-44",B826&lt;60,"45-59",B826&lt;75,"60-74",B826&lt;=90,"75-90")</f>
        <v>30-44</v>
      </c>
      <c r="M826" t="str">
        <f>IF(Table1[[#This Row],[length_of_stay_days]]&gt;7,"Yes","No")</f>
        <v>No</v>
      </c>
    </row>
    <row r="827" spans="1:13" x14ac:dyDescent="0.3">
      <c r="A827" t="s">
        <v>1220</v>
      </c>
      <c r="B827">
        <v>35</v>
      </c>
      <c r="C827" t="s">
        <v>20</v>
      </c>
      <c r="D827" t="s">
        <v>28</v>
      </c>
      <c r="E827" t="s">
        <v>28</v>
      </c>
      <c r="F827" t="s">
        <v>469</v>
      </c>
      <c r="G827" t="s">
        <v>825</v>
      </c>
      <c r="H827">
        <v>4</v>
      </c>
      <c r="I827" s="1">
        <v>5454.4</v>
      </c>
      <c r="J827" t="s">
        <v>17</v>
      </c>
      <c r="K827" t="s">
        <v>18</v>
      </c>
      <c r="L827" t="str" cm="1">
        <f t="array" ref="L827">_xlfn.IFS(B827&lt;30,"18-29",B827&lt;45,"30-44",B827&lt;60,"45-59",B827&lt;75,"60-74",B827&lt;=90,"75-90")</f>
        <v>30-44</v>
      </c>
      <c r="M827" t="str">
        <f>IF(Table1[[#This Row],[length_of_stay_days]]&gt;7,"Yes","No")</f>
        <v>No</v>
      </c>
    </row>
    <row r="828" spans="1:13" x14ac:dyDescent="0.3">
      <c r="A828" t="s">
        <v>1221</v>
      </c>
      <c r="B828">
        <v>70</v>
      </c>
      <c r="C828" t="s">
        <v>12</v>
      </c>
      <c r="D828" t="s">
        <v>28</v>
      </c>
      <c r="E828" t="s">
        <v>28</v>
      </c>
      <c r="F828" t="s">
        <v>530</v>
      </c>
      <c r="G828" t="s">
        <v>676</v>
      </c>
      <c r="H828">
        <v>6</v>
      </c>
      <c r="I828" s="1">
        <v>6084.18</v>
      </c>
      <c r="J828" t="s">
        <v>17</v>
      </c>
      <c r="K828" t="s">
        <v>44</v>
      </c>
      <c r="L828" t="str" cm="1">
        <f t="array" ref="L828">_xlfn.IFS(B828&lt;30,"18-29",B828&lt;45,"30-44",B828&lt;60,"45-59",B828&lt;75,"60-74",B828&lt;=90,"75-90")</f>
        <v>60-74</v>
      </c>
      <c r="M828" t="str">
        <f>IF(Table1[[#This Row],[length_of_stay_days]]&gt;7,"Yes","No")</f>
        <v>No</v>
      </c>
    </row>
    <row r="829" spans="1:13" x14ac:dyDescent="0.3">
      <c r="A829" t="s">
        <v>1222</v>
      </c>
      <c r="B829">
        <v>30</v>
      </c>
      <c r="C829" t="s">
        <v>12</v>
      </c>
      <c r="D829" t="s">
        <v>46</v>
      </c>
      <c r="E829" t="s">
        <v>28</v>
      </c>
      <c r="F829" t="s">
        <v>103</v>
      </c>
      <c r="G829" t="s">
        <v>574</v>
      </c>
      <c r="H829">
        <v>8</v>
      </c>
      <c r="I829" s="1">
        <v>13432.03</v>
      </c>
      <c r="J829" t="s">
        <v>17</v>
      </c>
      <c r="K829" t="s">
        <v>18</v>
      </c>
      <c r="L829" t="str" cm="1">
        <f t="array" ref="L829">_xlfn.IFS(B829&lt;30,"18-29",B829&lt;45,"30-44",B829&lt;60,"45-59",B829&lt;75,"60-74",B829&lt;=90,"75-90")</f>
        <v>30-44</v>
      </c>
      <c r="M829" t="str">
        <f>IF(Table1[[#This Row],[length_of_stay_days]]&gt;7,"Yes","No")</f>
        <v>Yes</v>
      </c>
    </row>
    <row r="830" spans="1:13" x14ac:dyDescent="0.3">
      <c r="A830" t="s">
        <v>1223</v>
      </c>
      <c r="B830">
        <v>22</v>
      </c>
      <c r="C830" t="s">
        <v>12</v>
      </c>
      <c r="D830" t="s">
        <v>32</v>
      </c>
      <c r="E830" t="s">
        <v>28</v>
      </c>
      <c r="F830" t="s">
        <v>322</v>
      </c>
      <c r="G830" t="s">
        <v>22</v>
      </c>
      <c r="H830">
        <v>8</v>
      </c>
      <c r="I830" s="1">
        <v>12620.98</v>
      </c>
      <c r="J830" t="s">
        <v>17</v>
      </c>
      <c r="K830" t="s">
        <v>18</v>
      </c>
      <c r="L830" t="str" cm="1">
        <f t="array" ref="L830">_xlfn.IFS(B830&lt;30,"18-29",B830&lt;45,"30-44",B830&lt;60,"45-59",B830&lt;75,"60-74",B830&lt;=90,"75-90")</f>
        <v>18-29</v>
      </c>
      <c r="M830" t="str">
        <f>IF(Table1[[#This Row],[length_of_stay_days]]&gt;7,"Yes","No")</f>
        <v>Yes</v>
      </c>
    </row>
    <row r="831" spans="1:13" x14ac:dyDescent="0.3">
      <c r="A831" t="s">
        <v>1224</v>
      </c>
      <c r="B831">
        <v>63</v>
      </c>
      <c r="C831" t="s">
        <v>20</v>
      </c>
      <c r="D831" t="s">
        <v>13</v>
      </c>
      <c r="E831" t="s">
        <v>21</v>
      </c>
      <c r="F831" t="s">
        <v>317</v>
      </c>
      <c r="G831" t="s">
        <v>275</v>
      </c>
      <c r="H831">
        <v>5</v>
      </c>
      <c r="I831" s="1">
        <v>8689.5300000000007</v>
      </c>
      <c r="J831" t="s">
        <v>17</v>
      </c>
      <c r="K831" t="s">
        <v>18</v>
      </c>
      <c r="L831" t="str" cm="1">
        <f t="array" ref="L831">_xlfn.IFS(B831&lt;30,"18-29",B831&lt;45,"30-44",B831&lt;60,"45-59",B831&lt;75,"60-74",B831&lt;=90,"75-90")</f>
        <v>60-74</v>
      </c>
      <c r="M831" t="str">
        <f>IF(Table1[[#This Row],[length_of_stay_days]]&gt;7,"Yes","No")</f>
        <v>No</v>
      </c>
    </row>
    <row r="832" spans="1:13" x14ac:dyDescent="0.3">
      <c r="A832" t="s">
        <v>1225</v>
      </c>
      <c r="B832">
        <v>55</v>
      </c>
      <c r="C832" t="s">
        <v>12</v>
      </c>
      <c r="D832" t="s">
        <v>55</v>
      </c>
      <c r="E832" t="s">
        <v>14</v>
      </c>
      <c r="F832" t="s">
        <v>434</v>
      </c>
      <c r="G832" t="s">
        <v>72</v>
      </c>
      <c r="H832">
        <v>4</v>
      </c>
      <c r="I832" s="1">
        <v>11762.32</v>
      </c>
      <c r="J832" t="s">
        <v>17</v>
      </c>
      <c r="K832" t="s">
        <v>18</v>
      </c>
      <c r="L832" t="str" cm="1">
        <f t="array" ref="L832">_xlfn.IFS(B832&lt;30,"18-29",B832&lt;45,"30-44",B832&lt;60,"45-59",B832&lt;75,"60-74",B832&lt;=90,"75-90")</f>
        <v>45-59</v>
      </c>
      <c r="M832" t="str">
        <f>IF(Table1[[#This Row],[length_of_stay_days]]&gt;7,"Yes","No")</f>
        <v>No</v>
      </c>
    </row>
    <row r="833" spans="1:13" x14ac:dyDescent="0.3">
      <c r="A833" t="s">
        <v>1226</v>
      </c>
      <c r="B833">
        <v>68</v>
      </c>
      <c r="C833" t="s">
        <v>20</v>
      </c>
      <c r="D833" t="s">
        <v>28</v>
      </c>
      <c r="E833" t="s">
        <v>14</v>
      </c>
      <c r="F833" t="s">
        <v>132</v>
      </c>
      <c r="G833" t="s">
        <v>689</v>
      </c>
      <c r="H833">
        <v>1</v>
      </c>
      <c r="I833" s="1">
        <v>3372.38</v>
      </c>
      <c r="J833" t="s">
        <v>17</v>
      </c>
      <c r="K833" t="s">
        <v>18</v>
      </c>
      <c r="L833" t="str" cm="1">
        <f t="array" ref="L833">_xlfn.IFS(B833&lt;30,"18-29",B833&lt;45,"30-44",B833&lt;60,"45-59",B833&lt;75,"60-74",B833&lt;=90,"75-90")</f>
        <v>60-74</v>
      </c>
      <c r="M833" t="str">
        <f>IF(Table1[[#This Row],[length_of_stay_days]]&gt;7,"Yes","No")</f>
        <v>No</v>
      </c>
    </row>
    <row r="834" spans="1:13" x14ac:dyDescent="0.3">
      <c r="A834" t="s">
        <v>1227</v>
      </c>
      <c r="B834">
        <v>31</v>
      </c>
      <c r="C834" t="s">
        <v>12</v>
      </c>
      <c r="D834" t="s">
        <v>55</v>
      </c>
      <c r="E834" t="s">
        <v>28</v>
      </c>
      <c r="F834" t="s">
        <v>421</v>
      </c>
      <c r="G834" t="s">
        <v>485</v>
      </c>
      <c r="H834">
        <v>8</v>
      </c>
      <c r="I834" s="1">
        <v>10929.66</v>
      </c>
      <c r="J834" t="s">
        <v>17</v>
      </c>
      <c r="K834" t="s">
        <v>18</v>
      </c>
      <c r="L834" t="str" cm="1">
        <f t="array" ref="L834">_xlfn.IFS(B834&lt;30,"18-29",B834&lt;45,"30-44",B834&lt;60,"45-59",B834&lt;75,"60-74",B834&lt;=90,"75-90")</f>
        <v>30-44</v>
      </c>
      <c r="M834" t="str">
        <f>IF(Table1[[#This Row],[length_of_stay_days]]&gt;7,"Yes","No")</f>
        <v>Yes</v>
      </c>
    </row>
    <row r="835" spans="1:13" x14ac:dyDescent="0.3">
      <c r="A835" t="s">
        <v>1228</v>
      </c>
      <c r="B835">
        <v>22</v>
      </c>
      <c r="C835" t="s">
        <v>20</v>
      </c>
      <c r="D835" t="s">
        <v>32</v>
      </c>
      <c r="E835" t="s">
        <v>28</v>
      </c>
      <c r="F835" t="s">
        <v>201</v>
      </c>
      <c r="G835" t="s">
        <v>1229</v>
      </c>
      <c r="H835">
        <v>9</v>
      </c>
      <c r="I835" s="1">
        <v>13077.9</v>
      </c>
      <c r="J835" t="s">
        <v>17</v>
      </c>
      <c r="K835" t="s">
        <v>18</v>
      </c>
      <c r="L835" t="str" cm="1">
        <f t="array" ref="L835">_xlfn.IFS(B835&lt;30,"18-29",B835&lt;45,"30-44",B835&lt;60,"45-59",B835&lt;75,"60-74",B835&lt;=90,"75-90")</f>
        <v>18-29</v>
      </c>
      <c r="M835" t="str">
        <f>IF(Table1[[#This Row],[length_of_stay_days]]&gt;7,"Yes","No")</f>
        <v>Yes</v>
      </c>
    </row>
    <row r="836" spans="1:13" x14ac:dyDescent="0.3">
      <c r="A836" t="s">
        <v>1230</v>
      </c>
      <c r="B836">
        <v>57</v>
      </c>
      <c r="C836" t="s">
        <v>20</v>
      </c>
      <c r="D836" t="s">
        <v>13</v>
      </c>
      <c r="E836" t="s">
        <v>21</v>
      </c>
      <c r="F836" t="s">
        <v>849</v>
      </c>
      <c r="G836" t="s">
        <v>895</v>
      </c>
      <c r="H836">
        <v>8</v>
      </c>
      <c r="I836" s="1">
        <v>8992.58</v>
      </c>
      <c r="J836" t="s">
        <v>17</v>
      </c>
      <c r="K836" t="s">
        <v>18</v>
      </c>
      <c r="L836" t="str" cm="1">
        <f t="array" ref="L836">_xlfn.IFS(B836&lt;30,"18-29",B836&lt;45,"30-44",B836&lt;60,"45-59",B836&lt;75,"60-74",B836&lt;=90,"75-90")</f>
        <v>45-59</v>
      </c>
      <c r="M836" t="str">
        <f>IF(Table1[[#This Row],[length_of_stay_days]]&gt;7,"Yes","No")</f>
        <v>Yes</v>
      </c>
    </row>
    <row r="837" spans="1:13" x14ac:dyDescent="0.3">
      <c r="A837" t="s">
        <v>1231</v>
      </c>
      <c r="B837">
        <v>50</v>
      </c>
      <c r="C837" t="s">
        <v>20</v>
      </c>
      <c r="D837" t="s">
        <v>32</v>
      </c>
      <c r="E837" t="s">
        <v>21</v>
      </c>
      <c r="F837" t="s">
        <v>855</v>
      </c>
      <c r="G837" t="s">
        <v>839</v>
      </c>
      <c r="H837">
        <v>8</v>
      </c>
      <c r="I837" s="1">
        <v>10400.209999999999</v>
      </c>
      <c r="J837" t="s">
        <v>17</v>
      </c>
      <c r="K837" t="s">
        <v>18</v>
      </c>
      <c r="L837" t="str" cm="1">
        <f t="array" ref="L837">_xlfn.IFS(B837&lt;30,"18-29",B837&lt;45,"30-44",B837&lt;60,"45-59",B837&lt;75,"60-74",B837&lt;=90,"75-90")</f>
        <v>45-59</v>
      </c>
      <c r="M837" t="str">
        <f>IF(Table1[[#This Row],[length_of_stay_days]]&gt;7,"Yes","No")</f>
        <v>Yes</v>
      </c>
    </row>
    <row r="838" spans="1:13" x14ac:dyDescent="0.3">
      <c r="A838" t="s">
        <v>1232</v>
      </c>
      <c r="B838">
        <v>80</v>
      </c>
      <c r="C838" t="s">
        <v>20</v>
      </c>
      <c r="D838" t="s">
        <v>13</v>
      </c>
      <c r="E838" t="s">
        <v>28</v>
      </c>
      <c r="F838" t="s">
        <v>217</v>
      </c>
      <c r="G838" t="s">
        <v>399</v>
      </c>
      <c r="H838">
        <v>6</v>
      </c>
      <c r="I838" s="1">
        <v>5944.68</v>
      </c>
      <c r="J838" t="s">
        <v>17</v>
      </c>
      <c r="K838" t="s">
        <v>18</v>
      </c>
      <c r="L838" t="str" cm="1">
        <f t="array" ref="L838">_xlfn.IFS(B838&lt;30,"18-29",B838&lt;45,"30-44",B838&lt;60,"45-59",B838&lt;75,"60-74",B838&lt;=90,"75-90")</f>
        <v>75-90</v>
      </c>
      <c r="M838" t="str">
        <f>IF(Table1[[#This Row],[length_of_stay_days]]&gt;7,"Yes","No")</f>
        <v>No</v>
      </c>
    </row>
    <row r="839" spans="1:13" x14ac:dyDescent="0.3">
      <c r="A839" t="s">
        <v>1233</v>
      </c>
      <c r="B839">
        <v>83</v>
      </c>
      <c r="C839" t="s">
        <v>12</v>
      </c>
      <c r="D839" t="s">
        <v>55</v>
      </c>
      <c r="E839" t="s">
        <v>14</v>
      </c>
      <c r="F839" t="s">
        <v>463</v>
      </c>
      <c r="G839" t="s">
        <v>105</v>
      </c>
      <c r="H839">
        <v>3</v>
      </c>
      <c r="I839" s="1">
        <v>7588.88</v>
      </c>
      <c r="J839" t="s">
        <v>17</v>
      </c>
      <c r="K839" t="s">
        <v>18</v>
      </c>
      <c r="L839" t="str" cm="1">
        <f t="array" ref="L839">_xlfn.IFS(B839&lt;30,"18-29",B839&lt;45,"30-44",B839&lt;60,"45-59",B839&lt;75,"60-74",B839&lt;=90,"75-90")</f>
        <v>75-90</v>
      </c>
      <c r="M839" t="str">
        <f>IF(Table1[[#This Row],[length_of_stay_days]]&gt;7,"Yes","No")</f>
        <v>No</v>
      </c>
    </row>
    <row r="840" spans="1:13" x14ac:dyDescent="0.3">
      <c r="A840" t="s">
        <v>1234</v>
      </c>
      <c r="B840">
        <v>47</v>
      </c>
      <c r="C840" t="s">
        <v>70</v>
      </c>
      <c r="D840" t="s">
        <v>32</v>
      </c>
      <c r="E840" t="s">
        <v>28</v>
      </c>
      <c r="F840" t="s">
        <v>200</v>
      </c>
      <c r="G840" t="s">
        <v>532</v>
      </c>
      <c r="H840">
        <v>10</v>
      </c>
      <c r="I840" s="1">
        <v>11469.3</v>
      </c>
      <c r="J840" t="s">
        <v>17</v>
      </c>
      <c r="K840" t="s">
        <v>18</v>
      </c>
      <c r="L840" t="str" cm="1">
        <f t="array" ref="L840">_xlfn.IFS(B840&lt;30,"18-29",B840&lt;45,"30-44",B840&lt;60,"45-59",B840&lt;75,"60-74",B840&lt;=90,"75-90")</f>
        <v>45-59</v>
      </c>
      <c r="M840" t="str">
        <f>IF(Table1[[#This Row],[length_of_stay_days]]&gt;7,"Yes","No")</f>
        <v>Yes</v>
      </c>
    </row>
    <row r="841" spans="1:13" x14ac:dyDescent="0.3">
      <c r="A841" t="s">
        <v>1235</v>
      </c>
      <c r="B841">
        <v>71</v>
      </c>
      <c r="C841" t="s">
        <v>12</v>
      </c>
      <c r="D841" t="s">
        <v>46</v>
      </c>
      <c r="E841" t="s">
        <v>28</v>
      </c>
      <c r="F841" t="s">
        <v>152</v>
      </c>
      <c r="G841" t="s">
        <v>751</v>
      </c>
      <c r="H841">
        <v>7</v>
      </c>
      <c r="I841" s="1">
        <v>15432.42</v>
      </c>
      <c r="J841" t="s">
        <v>49</v>
      </c>
      <c r="K841" t="s">
        <v>18</v>
      </c>
      <c r="L841" t="str" cm="1">
        <f t="array" ref="L841">_xlfn.IFS(B841&lt;30,"18-29",B841&lt;45,"30-44",B841&lt;60,"45-59",B841&lt;75,"60-74",B841&lt;=90,"75-90")</f>
        <v>60-74</v>
      </c>
      <c r="M841" t="str">
        <f>IF(Table1[[#This Row],[length_of_stay_days]]&gt;7,"Yes","No")</f>
        <v>No</v>
      </c>
    </row>
    <row r="842" spans="1:13" x14ac:dyDescent="0.3">
      <c r="A842" t="s">
        <v>1236</v>
      </c>
      <c r="B842">
        <v>20</v>
      </c>
      <c r="C842" t="s">
        <v>12</v>
      </c>
      <c r="D842" t="s">
        <v>51</v>
      </c>
      <c r="E842" t="s">
        <v>28</v>
      </c>
      <c r="F842" t="s">
        <v>399</v>
      </c>
      <c r="G842" t="s">
        <v>177</v>
      </c>
      <c r="H842">
        <v>8</v>
      </c>
      <c r="I842" s="1">
        <v>12790.2</v>
      </c>
      <c r="J842" t="s">
        <v>17</v>
      </c>
      <c r="K842" t="s">
        <v>44</v>
      </c>
      <c r="L842" t="str" cm="1">
        <f t="array" ref="L842">_xlfn.IFS(B842&lt;30,"18-29",B842&lt;45,"30-44",B842&lt;60,"45-59",B842&lt;75,"60-74",B842&lt;=90,"75-90")</f>
        <v>18-29</v>
      </c>
      <c r="M842" t="str">
        <f>IF(Table1[[#This Row],[length_of_stay_days]]&gt;7,"Yes","No")</f>
        <v>Yes</v>
      </c>
    </row>
    <row r="843" spans="1:13" x14ac:dyDescent="0.3">
      <c r="A843" t="s">
        <v>1237</v>
      </c>
      <c r="B843">
        <v>75</v>
      </c>
      <c r="C843" t="s">
        <v>20</v>
      </c>
      <c r="D843" t="s">
        <v>51</v>
      </c>
      <c r="E843" t="s">
        <v>28</v>
      </c>
      <c r="F843" t="s">
        <v>68</v>
      </c>
      <c r="G843" t="s">
        <v>821</v>
      </c>
      <c r="H843">
        <v>10</v>
      </c>
      <c r="I843" s="1">
        <v>13062.24</v>
      </c>
      <c r="J843" t="s">
        <v>17</v>
      </c>
      <c r="K843" t="s">
        <v>18</v>
      </c>
      <c r="L843" t="str" cm="1">
        <f t="array" ref="L843">_xlfn.IFS(B843&lt;30,"18-29",B843&lt;45,"30-44",B843&lt;60,"45-59",B843&lt;75,"60-74",B843&lt;=90,"75-90")</f>
        <v>75-90</v>
      </c>
      <c r="M843" t="str">
        <f>IF(Table1[[#This Row],[length_of_stay_days]]&gt;7,"Yes","No")</f>
        <v>Yes</v>
      </c>
    </row>
    <row r="844" spans="1:13" x14ac:dyDescent="0.3">
      <c r="A844" t="s">
        <v>1238</v>
      </c>
      <c r="B844">
        <v>58</v>
      </c>
      <c r="C844" t="s">
        <v>12</v>
      </c>
      <c r="D844" t="s">
        <v>55</v>
      </c>
      <c r="E844" t="s">
        <v>21</v>
      </c>
      <c r="F844" t="s">
        <v>92</v>
      </c>
      <c r="G844" t="s">
        <v>280</v>
      </c>
      <c r="H844">
        <v>3</v>
      </c>
      <c r="I844" s="1">
        <v>9675.5499999999993</v>
      </c>
      <c r="J844" t="s">
        <v>17</v>
      </c>
      <c r="K844" t="s">
        <v>18</v>
      </c>
      <c r="L844" t="str" cm="1">
        <f t="array" ref="L844">_xlfn.IFS(B844&lt;30,"18-29",B844&lt;45,"30-44",B844&lt;60,"45-59",B844&lt;75,"60-74",B844&lt;=90,"75-90")</f>
        <v>45-59</v>
      </c>
      <c r="M844" t="str">
        <f>IF(Table1[[#This Row],[length_of_stay_days]]&gt;7,"Yes","No")</f>
        <v>No</v>
      </c>
    </row>
    <row r="845" spans="1:13" x14ac:dyDescent="0.3">
      <c r="A845" t="s">
        <v>1239</v>
      </c>
      <c r="B845">
        <v>31</v>
      </c>
      <c r="C845" t="s">
        <v>20</v>
      </c>
      <c r="D845" t="s">
        <v>46</v>
      </c>
      <c r="E845" t="s">
        <v>14</v>
      </c>
      <c r="F845" t="s">
        <v>39</v>
      </c>
      <c r="G845" t="s">
        <v>296</v>
      </c>
      <c r="H845">
        <v>6</v>
      </c>
      <c r="I845" s="1">
        <v>15067.41</v>
      </c>
      <c r="J845" t="s">
        <v>17</v>
      </c>
      <c r="K845" t="s">
        <v>18</v>
      </c>
      <c r="L845" t="str" cm="1">
        <f t="array" ref="L845">_xlfn.IFS(B845&lt;30,"18-29",B845&lt;45,"30-44",B845&lt;60,"45-59",B845&lt;75,"60-74",B845&lt;=90,"75-90")</f>
        <v>30-44</v>
      </c>
      <c r="M845" t="str">
        <f>IF(Table1[[#This Row],[length_of_stay_days]]&gt;7,"Yes","No")</f>
        <v>No</v>
      </c>
    </row>
    <row r="846" spans="1:13" x14ac:dyDescent="0.3">
      <c r="A846" t="s">
        <v>1240</v>
      </c>
      <c r="B846">
        <v>41</v>
      </c>
      <c r="C846" t="s">
        <v>12</v>
      </c>
      <c r="D846" t="s">
        <v>13</v>
      </c>
      <c r="E846" t="s">
        <v>21</v>
      </c>
      <c r="F846" t="s">
        <v>148</v>
      </c>
      <c r="G846" t="s">
        <v>549</v>
      </c>
      <c r="H846">
        <v>4</v>
      </c>
      <c r="I846" s="1">
        <v>7386.03</v>
      </c>
      <c r="J846" t="s">
        <v>17</v>
      </c>
      <c r="K846" t="s">
        <v>18</v>
      </c>
      <c r="L846" t="str" cm="1">
        <f t="array" ref="L846">_xlfn.IFS(B846&lt;30,"18-29",B846&lt;45,"30-44",B846&lt;60,"45-59",B846&lt;75,"60-74",B846&lt;=90,"75-90")</f>
        <v>30-44</v>
      </c>
      <c r="M846" t="str">
        <f>IF(Table1[[#This Row],[length_of_stay_days]]&gt;7,"Yes","No")</f>
        <v>No</v>
      </c>
    </row>
    <row r="847" spans="1:13" x14ac:dyDescent="0.3">
      <c r="A847" t="s">
        <v>1241</v>
      </c>
      <c r="B847">
        <v>63</v>
      </c>
      <c r="C847" t="s">
        <v>20</v>
      </c>
      <c r="D847" t="s">
        <v>28</v>
      </c>
      <c r="E847" t="s">
        <v>21</v>
      </c>
      <c r="F847" t="s">
        <v>852</v>
      </c>
      <c r="G847" t="s">
        <v>29</v>
      </c>
      <c r="H847">
        <v>4</v>
      </c>
      <c r="I847" s="1">
        <v>3589.43</v>
      </c>
      <c r="J847" t="s">
        <v>17</v>
      </c>
      <c r="K847" t="s">
        <v>18</v>
      </c>
      <c r="L847" t="str" cm="1">
        <f t="array" ref="L847">_xlfn.IFS(B847&lt;30,"18-29",B847&lt;45,"30-44",B847&lt;60,"45-59",B847&lt;75,"60-74",B847&lt;=90,"75-90")</f>
        <v>60-74</v>
      </c>
      <c r="M847" t="str">
        <f>IF(Table1[[#This Row],[length_of_stay_days]]&gt;7,"Yes","No")</f>
        <v>No</v>
      </c>
    </row>
    <row r="848" spans="1:13" x14ac:dyDescent="0.3">
      <c r="A848" t="s">
        <v>1242</v>
      </c>
      <c r="B848">
        <v>18</v>
      </c>
      <c r="C848" t="s">
        <v>12</v>
      </c>
      <c r="D848" t="s">
        <v>13</v>
      </c>
      <c r="E848" t="s">
        <v>21</v>
      </c>
      <c r="F848" t="s">
        <v>96</v>
      </c>
      <c r="G848" t="s">
        <v>807</v>
      </c>
      <c r="H848">
        <v>6</v>
      </c>
      <c r="I848" s="1">
        <v>3507.52</v>
      </c>
      <c r="J848" t="s">
        <v>17</v>
      </c>
      <c r="K848" t="s">
        <v>18</v>
      </c>
      <c r="L848" t="str" cm="1">
        <f t="array" ref="L848">_xlfn.IFS(B848&lt;30,"18-29",B848&lt;45,"30-44",B848&lt;60,"45-59",B848&lt;75,"60-74",B848&lt;=90,"75-90")</f>
        <v>18-29</v>
      </c>
      <c r="M848" t="str">
        <f>IF(Table1[[#This Row],[length_of_stay_days]]&gt;7,"Yes","No")</f>
        <v>No</v>
      </c>
    </row>
    <row r="849" spans="1:13" x14ac:dyDescent="0.3">
      <c r="A849" t="s">
        <v>1243</v>
      </c>
      <c r="B849">
        <v>31</v>
      </c>
      <c r="C849" t="s">
        <v>20</v>
      </c>
      <c r="D849" t="s">
        <v>46</v>
      </c>
      <c r="E849" t="s">
        <v>28</v>
      </c>
      <c r="F849" t="s">
        <v>1135</v>
      </c>
      <c r="G849" t="s">
        <v>221</v>
      </c>
      <c r="H849">
        <v>8</v>
      </c>
      <c r="I849" s="1">
        <v>13639.75</v>
      </c>
      <c r="J849" t="s">
        <v>17</v>
      </c>
      <c r="K849" t="s">
        <v>18</v>
      </c>
      <c r="L849" t="str" cm="1">
        <f t="array" ref="L849">_xlfn.IFS(B849&lt;30,"18-29",B849&lt;45,"30-44",B849&lt;60,"45-59",B849&lt;75,"60-74",B849&lt;=90,"75-90")</f>
        <v>30-44</v>
      </c>
      <c r="M849" t="str">
        <f>IF(Table1[[#This Row],[length_of_stay_days]]&gt;7,"Yes","No")</f>
        <v>Yes</v>
      </c>
    </row>
    <row r="850" spans="1:13" x14ac:dyDescent="0.3">
      <c r="A850" t="s">
        <v>1244</v>
      </c>
      <c r="B850">
        <v>31</v>
      </c>
      <c r="C850" t="s">
        <v>12</v>
      </c>
      <c r="D850" t="s">
        <v>46</v>
      </c>
      <c r="E850" t="s">
        <v>28</v>
      </c>
      <c r="F850" t="s">
        <v>355</v>
      </c>
      <c r="G850" t="s">
        <v>646</v>
      </c>
      <c r="H850">
        <v>5</v>
      </c>
      <c r="I850" s="1">
        <v>12044.01</v>
      </c>
      <c r="J850" t="s">
        <v>49</v>
      </c>
      <c r="K850" t="s">
        <v>18</v>
      </c>
      <c r="L850" t="str" cm="1">
        <f t="array" ref="L850">_xlfn.IFS(B850&lt;30,"18-29",B850&lt;45,"30-44",B850&lt;60,"45-59",B850&lt;75,"60-74",B850&lt;=90,"75-90")</f>
        <v>30-44</v>
      </c>
      <c r="M850" t="str">
        <f>IF(Table1[[#This Row],[length_of_stay_days]]&gt;7,"Yes","No")</f>
        <v>No</v>
      </c>
    </row>
    <row r="851" spans="1:13" x14ac:dyDescent="0.3">
      <c r="A851" t="s">
        <v>1245</v>
      </c>
      <c r="B851">
        <v>26</v>
      </c>
      <c r="C851" t="s">
        <v>20</v>
      </c>
      <c r="D851" t="s">
        <v>28</v>
      </c>
      <c r="E851" t="s">
        <v>28</v>
      </c>
      <c r="F851" t="s">
        <v>74</v>
      </c>
      <c r="G851" t="s">
        <v>514</v>
      </c>
      <c r="H851">
        <v>7</v>
      </c>
      <c r="I851" s="1">
        <v>7299.36</v>
      </c>
      <c r="J851" t="s">
        <v>17</v>
      </c>
      <c r="K851" t="s">
        <v>18</v>
      </c>
      <c r="L851" t="str" cm="1">
        <f t="array" ref="L851">_xlfn.IFS(B851&lt;30,"18-29",B851&lt;45,"30-44",B851&lt;60,"45-59",B851&lt;75,"60-74",B851&lt;=90,"75-90")</f>
        <v>18-29</v>
      </c>
      <c r="M851" t="str">
        <f>IF(Table1[[#This Row],[length_of_stay_days]]&gt;7,"Yes","No")</f>
        <v>No</v>
      </c>
    </row>
    <row r="852" spans="1:13" x14ac:dyDescent="0.3">
      <c r="A852" t="s">
        <v>1246</v>
      </c>
      <c r="B852">
        <v>19</v>
      </c>
      <c r="C852" t="s">
        <v>12</v>
      </c>
      <c r="D852" t="s">
        <v>13</v>
      </c>
      <c r="E852" t="s">
        <v>28</v>
      </c>
      <c r="F852" t="s">
        <v>140</v>
      </c>
      <c r="G852" t="s">
        <v>388</v>
      </c>
      <c r="H852">
        <v>6</v>
      </c>
      <c r="I852" s="1">
        <v>7744.53</v>
      </c>
      <c r="J852" t="s">
        <v>17</v>
      </c>
      <c r="K852" t="s">
        <v>18</v>
      </c>
      <c r="L852" t="str" cm="1">
        <f t="array" ref="L852">_xlfn.IFS(B852&lt;30,"18-29",B852&lt;45,"30-44",B852&lt;60,"45-59",B852&lt;75,"60-74",B852&lt;=90,"75-90")</f>
        <v>18-29</v>
      </c>
      <c r="M852" t="str">
        <f>IF(Table1[[#This Row],[length_of_stay_days]]&gt;7,"Yes","No")</f>
        <v>No</v>
      </c>
    </row>
    <row r="853" spans="1:13" x14ac:dyDescent="0.3">
      <c r="A853" t="s">
        <v>1247</v>
      </c>
      <c r="B853">
        <v>82</v>
      </c>
      <c r="C853" t="s">
        <v>20</v>
      </c>
      <c r="D853" t="s">
        <v>28</v>
      </c>
      <c r="E853" t="s">
        <v>28</v>
      </c>
      <c r="F853" t="s">
        <v>1248</v>
      </c>
      <c r="G853" t="s">
        <v>512</v>
      </c>
      <c r="H853">
        <v>6</v>
      </c>
      <c r="I853" s="1">
        <v>5729.73</v>
      </c>
      <c r="J853" t="s">
        <v>17</v>
      </c>
      <c r="K853" t="s">
        <v>18</v>
      </c>
      <c r="L853" t="str" cm="1">
        <f t="array" ref="L853">_xlfn.IFS(B853&lt;30,"18-29",B853&lt;45,"30-44",B853&lt;60,"45-59",B853&lt;75,"60-74",B853&lt;=90,"75-90")</f>
        <v>75-90</v>
      </c>
      <c r="M853" t="str">
        <f>IF(Table1[[#This Row],[length_of_stay_days]]&gt;7,"Yes","No")</f>
        <v>No</v>
      </c>
    </row>
    <row r="854" spans="1:13" x14ac:dyDescent="0.3">
      <c r="A854" t="s">
        <v>1249</v>
      </c>
      <c r="B854">
        <v>74</v>
      </c>
      <c r="C854" t="s">
        <v>20</v>
      </c>
      <c r="D854" t="s">
        <v>13</v>
      </c>
      <c r="E854" t="s">
        <v>28</v>
      </c>
      <c r="F854" t="s">
        <v>352</v>
      </c>
      <c r="G854" t="s">
        <v>591</v>
      </c>
      <c r="H854">
        <v>8</v>
      </c>
      <c r="I854" s="1">
        <v>10945.7</v>
      </c>
      <c r="J854" t="s">
        <v>17</v>
      </c>
      <c r="K854" t="s">
        <v>18</v>
      </c>
      <c r="L854" t="str" cm="1">
        <f t="array" ref="L854">_xlfn.IFS(B854&lt;30,"18-29",B854&lt;45,"30-44",B854&lt;60,"45-59",B854&lt;75,"60-74",B854&lt;=90,"75-90")</f>
        <v>60-74</v>
      </c>
      <c r="M854" t="str">
        <f>IF(Table1[[#This Row],[length_of_stay_days]]&gt;7,"Yes","No")</f>
        <v>Yes</v>
      </c>
    </row>
    <row r="855" spans="1:13" x14ac:dyDescent="0.3">
      <c r="A855" t="s">
        <v>1250</v>
      </c>
      <c r="B855">
        <v>38</v>
      </c>
      <c r="C855" t="s">
        <v>12</v>
      </c>
      <c r="D855" t="s">
        <v>13</v>
      </c>
      <c r="E855" t="s">
        <v>21</v>
      </c>
      <c r="F855" t="s">
        <v>239</v>
      </c>
      <c r="G855" t="s">
        <v>33</v>
      </c>
      <c r="H855">
        <v>3</v>
      </c>
      <c r="I855" s="1">
        <v>6493.71</v>
      </c>
      <c r="J855" t="s">
        <v>17</v>
      </c>
      <c r="K855" t="s">
        <v>18</v>
      </c>
      <c r="L855" t="str" cm="1">
        <f t="array" ref="L855">_xlfn.IFS(B855&lt;30,"18-29",B855&lt;45,"30-44",B855&lt;60,"45-59",B855&lt;75,"60-74",B855&lt;=90,"75-90")</f>
        <v>30-44</v>
      </c>
      <c r="M855" t="str">
        <f>IF(Table1[[#This Row],[length_of_stay_days]]&gt;7,"Yes","No")</f>
        <v>No</v>
      </c>
    </row>
    <row r="856" spans="1:13" x14ac:dyDescent="0.3">
      <c r="A856" t="s">
        <v>1251</v>
      </c>
      <c r="B856">
        <v>60</v>
      </c>
      <c r="C856" t="s">
        <v>12</v>
      </c>
      <c r="D856" t="s">
        <v>28</v>
      </c>
      <c r="E856" t="s">
        <v>14</v>
      </c>
      <c r="F856" t="s">
        <v>98</v>
      </c>
      <c r="G856" t="s">
        <v>975</v>
      </c>
      <c r="H856">
        <v>3</v>
      </c>
      <c r="I856" s="1">
        <v>4706.24</v>
      </c>
      <c r="J856" t="s">
        <v>17</v>
      </c>
      <c r="K856" t="s">
        <v>18</v>
      </c>
      <c r="L856" t="str" cm="1">
        <f t="array" ref="L856">_xlfn.IFS(B856&lt;30,"18-29",B856&lt;45,"30-44",B856&lt;60,"45-59",B856&lt;75,"60-74",B856&lt;=90,"75-90")</f>
        <v>60-74</v>
      </c>
      <c r="M856" t="str">
        <f>IF(Table1[[#This Row],[length_of_stay_days]]&gt;7,"Yes","No")</f>
        <v>No</v>
      </c>
    </row>
    <row r="857" spans="1:13" x14ac:dyDescent="0.3">
      <c r="A857" t="s">
        <v>1252</v>
      </c>
      <c r="B857">
        <v>67</v>
      </c>
      <c r="C857" t="s">
        <v>12</v>
      </c>
      <c r="D857" t="s">
        <v>32</v>
      </c>
      <c r="E857" t="s">
        <v>14</v>
      </c>
      <c r="F857" t="s">
        <v>328</v>
      </c>
      <c r="G857" t="s">
        <v>390</v>
      </c>
      <c r="H857">
        <v>9</v>
      </c>
      <c r="I857" s="1">
        <v>14148.54</v>
      </c>
      <c r="J857" t="s">
        <v>17</v>
      </c>
      <c r="K857" t="s">
        <v>18</v>
      </c>
      <c r="L857" t="str" cm="1">
        <f t="array" ref="L857">_xlfn.IFS(B857&lt;30,"18-29",B857&lt;45,"30-44",B857&lt;60,"45-59",B857&lt;75,"60-74",B857&lt;=90,"75-90")</f>
        <v>60-74</v>
      </c>
      <c r="M857" t="str">
        <f>IF(Table1[[#This Row],[length_of_stay_days]]&gt;7,"Yes","No")</f>
        <v>Yes</v>
      </c>
    </row>
    <row r="858" spans="1:13" x14ac:dyDescent="0.3">
      <c r="A858" t="s">
        <v>1253</v>
      </c>
      <c r="B858">
        <v>26</v>
      </c>
      <c r="C858" t="s">
        <v>20</v>
      </c>
      <c r="D858" t="s">
        <v>13</v>
      </c>
      <c r="E858" t="s">
        <v>14</v>
      </c>
      <c r="F858" t="s">
        <v>395</v>
      </c>
      <c r="G858" t="s">
        <v>829</v>
      </c>
      <c r="H858">
        <v>6</v>
      </c>
      <c r="I858" s="1">
        <v>8877.56</v>
      </c>
      <c r="J858" t="s">
        <v>17</v>
      </c>
      <c r="K858" t="s">
        <v>18</v>
      </c>
      <c r="L858" t="str" cm="1">
        <f t="array" ref="L858">_xlfn.IFS(B858&lt;30,"18-29",B858&lt;45,"30-44",B858&lt;60,"45-59",B858&lt;75,"60-74",B858&lt;=90,"75-90")</f>
        <v>18-29</v>
      </c>
      <c r="M858" t="str">
        <f>IF(Table1[[#This Row],[length_of_stay_days]]&gt;7,"Yes","No")</f>
        <v>No</v>
      </c>
    </row>
    <row r="859" spans="1:13" x14ac:dyDescent="0.3">
      <c r="A859" t="s">
        <v>1254</v>
      </c>
      <c r="B859">
        <v>29</v>
      </c>
      <c r="C859" t="s">
        <v>12</v>
      </c>
      <c r="D859" t="s">
        <v>55</v>
      </c>
      <c r="E859" t="s">
        <v>28</v>
      </c>
      <c r="F859" t="s">
        <v>195</v>
      </c>
      <c r="G859" t="s">
        <v>137</v>
      </c>
      <c r="H859">
        <v>3</v>
      </c>
      <c r="I859" s="1">
        <v>10124.540000000001</v>
      </c>
      <c r="J859" t="s">
        <v>17</v>
      </c>
      <c r="K859" t="s">
        <v>18</v>
      </c>
      <c r="L859" t="str" cm="1">
        <f t="array" ref="L859">_xlfn.IFS(B859&lt;30,"18-29",B859&lt;45,"30-44",B859&lt;60,"45-59",B859&lt;75,"60-74",B859&lt;=90,"75-90")</f>
        <v>18-29</v>
      </c>
      <c r="M859" t="str">
        <f>IF(Table1[[#This Row],[length_of_stay_days]]&gt;7,"Yes","No")</f>
        <v>No</v>
      </c>
    </row>
    <row r="860" spans="1:13" x14ac:dyDescent="0.3">
      <c r="A860" t="s">
        <v>1255</v>
      </c>
      <c r="B860">
        <v>18</v>
      </c>
      <c r="C860" t="s">
        <v>12</v>
      </c>
      <c r="D860" t="s">
        <v>13</v>
      </c>
      <c r="E860" t="s">
        <v>28</v>
      </c>
      <c r="F860" t="s">
        <v>1207</v>
      </c>
      <c r="G860" t="s">
        <v>67</v>
      </c>
      <c r="H860">
        <v>5</v>
      </c>
      <c r="I860" s="1">
        <v>6325.25</v>
      </c>
      <c r="J860" t="s">
        <v>17</v>
      </c>
      <c r="K860" t="s">
        <v>44</v>
      </c>
      <c r="L860" t="str" cm="1">
        <f t="array" ref="L860">_xlfn.IFS(B860&lt;30,"18-29",B860&lt;45,"30-44",B860&lt;60,"45-59",B860&lt;75,"60-74",B860&lt;=90,"75-90")</f>
        <v>18-29</v>
      </c>
      <c r="M860" t="str">
        <f>IF(Table1[[#This Row],[length_of_stay_days]]&gt;7,"Yes","No")</f>
        <v>No</v>
      </c>
    </row>
    <row r="861" spans="1:13" x14ac:dyDescent="0.3">
      <c r="A861" t="s">
        <v>1256</v>
      </c>
      <c r="B861">
        <v>58</v>
      </c>
      <c r="C861" t="s">
        <v>12</v>
      </c>
      <c r="D861" t="s">
        <v>13</v>
      </c>
      <c r="E861" t="s">
        <v>28</v>
      </c>
      <c r="F861" t="s">
        <v>563</v>
      </c>
      <c r="G861" t="s">
        <v>325</v>
      </c>
      <c r="H861">
        <v>4</v>
      </c>
      <c r="I861" s="1">
        <v>6972.5</v>
      </c>
      <c r="J861" t="s">
        <v>17</v>
      </c>
      <c r="K861" t="s">
        <v>18</v>
      </c>
      <c r="L861" t="str" cm="1">
        <f t="array" ref="L861">_xlfn.IFS(B861&lt;30,"18-29",B861&lt;45,"30-44",B861&lt;60,"45-59",B861&lt;75,"60-74",B861&lt;=90,"75-90")</f>
        <v>45-59</v>
      </c>
      <c r="M861" t="str">
        <f>IF(Table1[[#This Row],[length_of_stay_days]]&gt;7,"Yes","No")</f>
        <v>No</v>
      </c>
    </row>
    <row r="862" spans="1:13" x14ac:dyDescent="0.3">
      <c r="A862" t="s">
        <v>1257</v>
      </c>
      <c r="B862">
        <v>77</v>
      </c>
      <c r="C862" t="s">
        <v>12</v>
      </c>
      <c r="D862" t="s">
        <v>46</v>
      </c>
      <c r="E862" t="s">
        <v>21</v>
      </c>
      <c r="F862" t="s">
        <v>39</v>
      </c>
      <c r="G862" t="s">
        <v>467</v>
      </c>
      <c r="H862">
        <v>7</v>
      </c>
      <c r="I862" s="1">
        <v>14199.31</v>
      </c>
      <c r="J862" t="s">
        <v>17</v>
      </c>
      <c r="K862" t="s">
        <v>18</v>
      </c>
      <c r="L862" t="str" cm="1">
        <f t="array" ref="L862">_xlfn.IFS(B862&lt;30,"18-29",B862&lt;45,"30-44",B862&lt;60,"45-59",B862&lt;75,"60-74",B862&lt;=90,"75-90")</f>
        <v>75-90</v>
      </c>
      <c r="M862" t="str">
        <f>IF(Table1[[#This Row],[length_of_stay_days]]&gt;7,"Yes","No")</f>
        <v>No</v>
      </c>
    </row>
    <row r="863" spans="1:13" x14ac:dyDescent="0.3">
      <c r="A863" t="s">
        <v>1258</v>
      </c>
      <c r="B863">
        <v>68</v>
      </c>
      <c r="C863" t="s">
        <v>20</v>
      </c>
      <c r="D863" t="s">
        <v>55</v>
      </c>
      <c r="E863" t="s">
        <v>28</v>
      </c>
      <c r="F863" t="s">
        <v>341</v>
      </c>
      <c r="G863" t="s">
        <v>174</v>
      </c>
      <c r="H863">
        <v>9</v>
      </c>
      <c r="I863" s="1">
        <v>12977.45</v>
      </c>
      <c r="J863" t="s">
        <v>17</v>
      </c>
      <c r="K863" t="s">
        <v>18</v>
      </c>
      <c r="L863" t="str" cm="1">
        <f t="array" ref="L863">_xlfn.IFS(B863&lt;30,"18-29",B863&lt;45,"30-44",B863&lt;60,"45-59",B863&lt;75,"60-74",B863&lt;=90,"75-90")</f>
        <v>60-74</v>
      </c>
      <c r="M863" t="str">
        <f>IF(Table1[[#This Row],[length_of_stay_days]]&gt;7,"Yes","No")</f>
        <v>Yes</v>
      </c>
    </row>
    <row r="864" spans="1:13" x14ac:dyDescent="0.3">
      <c r="A864" t="s">
        <v>1259</v>
      </c>
      <c r="B864">
        <v>56</v>
      </c>
      <c r="C864" t="s">
        <v>12</v>
      </c>
      <c r="D864" t="s">
        <v>13</v>
      </c>
      <c r="E864" t="s">
        <v>14</v>
      </c>
      <c r="F864" t="s">
        <v>807</v>
      </c>
      <c r="G864" t="s">
        <v>239</v>
      </c>
      <c r="H864">
        <v>2</v>
      </c>
      <c r="I864" s="1">
        <v>4132.38</v>
      </c>
      <c r="J864" t="s">
        <v>17</v>
      </c>
      <c r="K864" t="s">
        <v>18</v>
      </c>
      <c r="L864" t="str" cm="1">
        <f t="array" ref="L864">_xlfn.IFS(B864&lt;30,"18-29",B864&lt;45,"30-44",B864&lt;60,"45-59",B864&lt;75,"60-74",B864&lt;=90,"75-90")</f>
        <v>45-59</v>
      </c>
      <c r="M864" t="str">
        <f>IF(Table1[[#This Row],[length_of_stay_days]]&gt;7,"Yes","No")</f>
        <v>No</v>
      </c>
    </row>
    <row r="865" spans="1:13" x14ac:dyDescent="0.3">
      <c r="A865" t="s">
        <v>1260</v>
      </c>
      <c r="B865">
        <v>54</v>
      </c>
      <c r="C865" t="s">
        <v>20</v>
      </c>
      <c r="D865" t="s">
        <v>32</v>
      </c>
      <c r="E865" t="s">
        <v>21</v>
      </c>
      <c r="F865" t="s">
        <v>87</v>
      </c>
      <c r="G865" t="s">
        <v>26</v>
      </c>
      <c r="H865">
        <v>3</v>
      </c>
      <c r="I865" s="1">
        <v>7146.39</v>
      </c>
      <c r="J865" t="s">
        <v>17</v>
      </c>
      <c r="K865" t="s">
        <v>18</v>
      </c>
      <c r="L865" t="str" cm="1">
        <f t="array" ref="L865">_xlfn.IFS(B865&lt;30,"18-29",B865&lt;45,"30-44",B865&lt;60,"45-59",B865&lt;75,"60-74",B865&lt;=90,"75-90")</f>
        <v>45-59</v>
      </c>
      <c r="M865" t="str">
        <f>IF(Table1[[#This Row],[length_of_stay_days]]&gt;7,"Yes","No")</f>
        <v>No</v>
      </c>
    </row>
    <row r="866" spans="1:13" x14ac:dyDescent="0.3">
      <c r="A866" t="s">
        <v>1261</v>
      </c>
      <c r="B866">
        <v>84</v>
      </c>
      <c r="C866" t="s">
        <v>12</v>
      </c>
      <c r="D866" t="s">
        <v>32</v>
      </c>
      <c r="E866" t="s">
        <v>28</v>
      </c>
      <c r="F866" t="s">
        <v>829</v>
      </c>
      <c r="G866" t="s">
        <v>895</v>
      </c>
      <c r="H866">
        <v>6</v>
      </c>
      <c r="I866" s="1">
        <v>10358.61</v>
      </c>
      <c r="J866" t="s">
        <v>17</v>
      </c>
      <c r="K866" t="s">
        <v>18</v>
      </c>
      <c r="L866" t="str" cm="1">
        <f t="array" ref="L866">_xlfn.IFS(B866&lt;30,"18-29",B866&lt;45,"30-44",B866&lt;60,"45-59",B866&lt;75,"60-74",B866&lt;=90,"75-90")</f>
        <v>75-90</v>
      </c>
      <c r="M866" t="str">
        <f>IF(Table1[[#This Row],[length_of_stay_days]]&gt;7,"Yes","No")</f>
        <v>No</v>
      </c>
    </row>
    <row r="867" spans="1:13" x14ac:dyDescent="0.3">
      <c r="A867" t="s">
        <v>1262</v>
      </c>
      <c r="B867">
        <v>43</v>
      </c>
      <c r="C867" t="s">
        <v>20</v>
      </c>
      <c r="D867" t="s">
        <v>28</v>
      </c>
      <c r="E867" t="s">
        <v>14</v>
      </c>
      <c r="F867" t="s">
        <v>358</v>
      </c>
      <c r="G867" t="s">
        <v>116</v>
      </c>
      <c r="H867">
        <v>6</v>
      </c>
      <c r="I867" s="1">
        <v>5743.75</v>
      </c>
      <c r="J867" t="s">
        <v>17</v>
      </c>
      <c r="K867" t="s">
        <v>18</v>
      </c>
      <c r="L867" t="str" cm="1">
        <f t="array" ref="L867">_xlfn.IFS(B867&lt;30,"18-29",B867&lt;45,"30-44",B867&lt;60,"45-59",B867&lt;75,"60-74",B867&lt;=90,"75-90")</f>
        <v>30-44</v>
      </c>
      <c r="M867" t="str">
        <f>IF(Table1[[#This Row],[length_of_stay_days]]&gt;7,"Yes","No")</f>
        <v>No</v>
      </c>
    </row>
    <row r="868" spans="1:13" x14ac:dyDescent="0.3">
      <c r="A868" t="s">
        <v>1263</v>
      </c>
      <c r="B868">
        <v>29</v>
      </c>
      <c r="C868" t="s">
        <v>12</v>
      </c>
      <c r="D868" t="s">
        <v>32</v>
      </c>
      <c r="E868" t="s">
        <v>28</v>
      </c>
      <c r="F868" t="s">
        <v>341</v>
      </c>
      <c r="G868" t="s">
        <v>342</v>
      </c>
      <c r="H868">
        <v>5</v>
      </c>
      <c r="I868" s="1">
        <v>9929.82</v>
      </c>
      <c r="J868" t="s">
        <v>17</v>
      </c>
      <c r="K868" t="s">
        <v>18</v>
      </c>
      <c r="L868" t="str" cm="1">
        <f t="array" ref="L868">_xlfn.IFS(B868&lt;30,"18-29",B868&lt;45,"30-44",B868&lt;60,"45-59",B868&lt;75,"60-74",B868&lt;=90,"75-90")</f>
        <v>18-29</v>
      </c>
      <c r="M868" t="str">
        <f>IF(Table1[[#This Row],[length_of_stay_days]]&gt;7,"Yes","No")</f>
        <v>No</v>
      </c>
    </row>
    <row r="869" spans="1:13" x14ac:dyDescent="0.3">
      <c r="A869" t="s">
        <v>1264</v>
      </c>
      <c r="B869">
        <v>89</v>
      </c>
      <c r="C869" t="s">
        <v>12</v>
      </c>
      <c r="D869" t="s">
        <v>28</v>
      </c>
      <c r="E869" t="s">
        <v>14</v>
      </c>
      <c r="F869" t="s">
        <v>71</v>
      </c>
      <c r="G869" t="s">
        <v>304</v>
      </c>
      <c r="H869">
        <v>5</v>
      </c>
      <c r="I869" s="1">
        <v>7783.78</v>
      </c>
      <c r="J869" t="s">
        <v>49</v>
      </c>
      <c r="K869" t="s">
        <v>18</v>
      </c>
      <c r="L869" t="str" cm="1">
        <f t="array" ref="L869">_xlfn.IFS(B869&lt;30,"18-29",B869&lt;45,"30-44",B869&lt;60,"45-59",B869&lt;75,"60-74",B869&lt;=90,"75-90")</f>
        <v>75-90</v>
      </c>
      <c r="M869" t="str">
        <f>IF(Table1[[#This Row],[length_of_stay_days]]&gt;7,"Yes","No")</f>
        <v>No</v>
      </c>
    </row>
    <row r="870" spans="1:13" x14ac:dyDescent="0.3">
      <c r="A870" t="s">
        <v>1265</v>
      </c>
      <c r="B870">
        <v>52</v>
      </c>
      <c r="C870" t="s">
        <v>12</v>
      </c>
      <c r="D870" t="s">
        <v>55</v>
      </c>
      <c r="E870" t="s">
        <v>14</v>
      </c>
      <c r="F870" t="s">
        <v>163</v>
      </c>
      <c r="G870" t="s">
        <v>232</v>
      </c>
      <c r="H870">
        <v>5</v>
      </c>
      <c r="I870" s="1">
        <v>7606.95</v>
      </c>
      <c r="J870" t="s">
        <v>49</v>
      </c>
      <c r="K870" t="s">
        <v>18</v>
      </c>
      <c r="L870" t="str" cm="1">
        <f t="array" ref="L870">_xlfn.IFS(B870&lt;30,"18-29",B870&lt;45,"30-44",B870&lt;60,"45-59",B870&lt;75,"60-74",B870&lt;=90,"75-90")</f>
        <v>45-59</v>
      </c>
      <c r="M870" t="str">
        <f>IF(Table1[[#This Row],[length_of_stay_days]]&gt;7,"Yes","No")</f>
        <v>No</v>
      </c>
    </row>
    <row r="871" spans="1:13" x14ac:dyDescent="0.3">
      <c r="A871" t="s">
        <v>1266</v>
      </c>
      <c r="B871">
        <v>58</v>
      </c>
      <c r="C871" t="s">
        <v>12</v>
      </c>
      <c r="D871" t="s">
        <v>51</v>
      </c>
      <c r="E871" t="s">
        <v>28</v>
      </c>
      <c r="F871" t="s">
        <v>77</v>
      </c>
      <c r="G871" t="s">
        <v>52</v>
      </c>
      <c r="H871">
        <v>8</v>
      </c>
      <c r="I871" s="1">
        <v>13123.85</v>
      </c>
      <c r="J871" t="s">
        <v>17</v>
      </c>
      <c r="K871" t="s">
        <v>18</v>
      </c>
      <c r="L871" t="str" cm="1">
        <f t="array" ref="L871">_xlfn.IFS(B871&lt;30,"18-29",B871&lt;45,"30-44",B871&lt;60,"45-59",B871&lt;75,"60-74",B871&lt;=90,"75-90")</f>
        <v>45-59</v>
      </c>
      <c r="M871" t="str">
        <f>IF(Table1[[#This Row],[length_of_stay_days]]&gt;7,"Yes","No")</f>
        <v>Yes</v>
      </c>
    </row>
    <row r="872" spans="1:13" x14ac:dyDescent="0.3">
      <c r="A872" t="s">
        <v>1267</v>
      </c>
      <c r="B872">
        <v>50</v>
      </c>
      <c r="C872" t="s">
        <v>12</v>
      </c>
      <c r="D872" t="s">
        <v>55</v>
      </c>
      <c r="E872" t="s">
        <v>14</v>
      </c>
      <c r="F872" t="s">
        <v>680</v>
      </c>
      <c r="G872" t="s">
        <v>501</v>
      </c>
      <c r="H872">
        <v>4</v>
      </c>
      <c r="I872" s="1">
        <v>8711.18</v>
      </c>
      <c r="J872" t="s">
        <v>17</v>
      </c>
      <c r="K872" t="s">
        <v>18</v>
      </c>
      <c r="L872" t="str" cm="1">
        <f t="array" ref="L872">_xlfn.IFS(B872&lt;30,"18-29",B872&lt;45,"30-44",B872&lt;60,"45-59",B872&lt;75,"60-74",B872&lt;=90,"75-90")</f>
        <v>45-59</v>
      </c>
      <c r="M872" t="str">
        <f>IF(Table1[[#This Row],[length_of_stay_days]]&gt;7,"Yes","No")</f>
        <v>No</v>
      </c>
    </row>
    <row r="873" spans="1:13" x14ac:dyDescent="0.3">
      <c r="A873" t="s">
        <v>1268</v>
      </c>
      <c r="B873">
        <v>32</v>
      </c>
      <c r="C873" t="s">
        <v>20</v>
      </c>
      <c r="D873" t="s">
        <v>28</v>
      </c>
      <c r="E873" t="s">
        <v>21</v>
      </c>
      <c r="F873" t="s">
        <v>148</v>
      </c>
      <c r="G873" t="s">
        <v>149</v>
      </c>
      <c r="H873">
        <v>7</v>
      </c>
      <c r="I873" s="1">
        <v>6514.9</v>
      </c>
      <c r="J873" t="s">
        <v>49</v>
      </c>
      <c r="K873" t="s">
        <v>18</v>
      </c>
      <c r="L873" t="str" cm="1">
        <f t="array" ref="L873">_xlfn.IFS(B873&lt;30,"18-29",B873&lt;45,"30-44",B873&lt;60,"45-59",B873&lt;75,"60-74",B873&lt;=90,"75-90")</f>
        <v>30-44</v>
      </c>
      <c r="M873" t="str">
        <f>IF(Table1[[#This Row],[length_of_stay_days]]&gt;7,"Yes","No")</f>
        <v>No</v>
      </c>
    </row>
    <row r="874" spans="1:13" x14ac:dyDescent="0.3">
      <c r="A874" t="s">
        <v>1269</v>
      </c>
      <c r="B874">
        <v>64</v>
      </c>
      <c r="C874" t="s">
        <v>20</v>
      </c>
      <c r="D874" t="s">
        <v>55</v>
      </c>
      <c r="E874" t="s">
        <v>28</v>
      </c>
      <c r="F874" t="s">
        <v>827</v>
      </c>
      <c r="G874" t="s">
        <v>341</v>
      </c>
      <c r="H874">
        <v>8</v>
      </c>
      <c r="I874" s="1">
        <v>10292.209999999999</v>
      </c>
      <c r="J874" t="s">
        <v>17</v>
      </c>
      <c r="K874" t="s">
        <v>18</v>
      </c>
      <c r="L874" t="str" cm="1">
        <f t="array" ref="L874">_xlfn.IFS(B874&lt;30,"18-29",B874&lt;45,"30-44",B874&lt;60,"45-59",B874&lt;75,"60-74",B874&lt;=90,"75-90")</f>
        <v>60-74</v>
      </c>
      <c r="M874" t="str">
        <f>IF(Table1[[#This Row],[length_of_stay_days]]&gt;7,"Yes","No")</f>
        <v>Yes</v>
      </c>
    </row>
    <row r="875" spans="1:13" x14ac:dyDescent="0.3">
      <c r="A875" t="s">
        <v>1270</v>
      </c>
      <c r="B875">
        <v>78</v>
      </c>
      <c r="C875" t="s">
        <v>20</v>
      </c>
      <c r="D875" t="s">
        <v>32</v>
      </c>
      <c r="E875" t="s">
        <v>14</v>
      </c>
      <c r="F875" t="s">
        <v>194</v>
      </c>
      <c r="G875" t="s">
        <v>138</v>
      </c>
      <c r="H875">
        <v>8</v>
      </c>
      <c r="I875" s="1">
        <v>11094.4</v>
      </c>
      <c r="J875" t="s">
        <v>17</v>
      </c>
      <c r="K875" t="s">
        <v>18</v>
      </c>
      <c r="L875" t="str" cm="1">
        <f t="array" ref="L875">_xlfn.IFS(B875&lt;30,"18-29",B875&lt;45,"30-44",B875&lt;60,"45-59",B875&lt;75,"60-74",B875&lt;=90,"75-90")</f>
        <v>75-90</v>
      </c>
      <c r="M875" t="str">
        <f>IF(Table1[[#This Row],[length_of_stay_days]]&gt;7,"Yes","No")</f>
        <v>Yes</v>
      </c>
    </row>
    <row r="876" spans="1:13" x14ac:dyDescent="0.3">
      <c r="A876" t="s">
        <v>1271</v>
      </c>
      <c r="B876">
        <v>85</v>
      </c>
      <c r="C876" t="s">
        <v>12</v>
      </c>
      <c r="D876" t="s">
        <v>13</v>
      </c>
      <c r="E876" t="s">
        <v>21</v>
      </c>
      <c r="F876" t="s">
        <v>171</v>
      </c>
      <c r="G876" t="s">
        <v>395</v>
      </c>
      <c r="H876">
        <v>5</v>
      </c>
      <c r="I876" s="1">
        <v>10723.26</v>
      </c>
      <c r="J876" t="s">
        <v>17</v>
      </c>
      <c r="K876" t="s">
        <v>223</v>
      </c>
      <c r="L876" t="str" cm="1">
        <f t="array" ref="L876">_xlfn.IFS(B876&lt;30,"18-29",B876&lt;45,"30-44",B876&lt;60,"45-59",B876&lt;75,"60-74",B876&lt;=90,"75-90")</f>
        <v>75-90</v>
      </c>
      <c r="M876" t="str">
        <f>IF(Table1[[#This Row],[length_of_stay_days]]&gt;7,"Yes","No")</f>
        <v>No</v>
      </c>
    </row>
    <row r="877" spans="1:13" x14ac:dyDescent="0.3">
      <c r="A877" t="s">
        <v>1272</v>
      </c>
      <c r="B877">
        <v>71</v>
      </c>
      <c r="C877" t="s">
        <v>12</v>
      </c>
      <c r="D877" t="s">
        <v>13</v>
      </c>
      <c r="E877" t="s">
        <v>28</v>
      </c>
      <c r="F877" t="s">
        <v>390</v>
      </c>
      <c r="G877" t="s">
        <v>849</v>
      </c>
      <c r="H877">
        <v>8</v>
      </c>
      <c r="I877" s="1">
        <v>9714.2900000000009</v>
      </c>
      <c r="J877" t="s">
        <v>49</v>
      </c>
      <c r="K877" t="s">
        <v>18</v>
      </c>
      <c r="L877" t="str" cm="1">
        <f t="array" ref="L877">_xlfn.IFS(B877&lt;30,"18-29",B877&lt;45,"30-44",B877&lt;60,"45-59",B877&lt;75,"60-74",B877&lt;=90,"75-90")</f>
        <v>60-74</v>
      </c>
      <c r="M877" t="str">
        <f>IF(Table1[[#This Row],[length_of_stay_days]]&gt;7,"Yes","No")</f>
        <v>Yes</v>
      </c>
    </row>
    <row r="878" spans="1:13" x14ac:dyDescent="0.3">
      <c r="A878" t="s">
        <v>1273</v>
      </c>
      <c r="B878">
        <v>88</v>
      </c>
      <c r="C878" t="s">
        <v>20</v>
      </c>
      <c r="D878" t="s">
        <v>13</v>
      </c>
      <c r="E878" t="s">
        <v>28</v>
      </c>
      <c r="F878" t="s">
        <v>563</v>
      </c>
      <c r="G878" t="s">
        <v>325</v>
      </c>
      <c r="H878">
        <v>4</v>
      </c>
      <c r="I878" s="1">
        <v>6503.87</v>
      </c>
      <c r="J878" t="s">
        <v>17</v>
      </c>
      <c r="K878" t="s">
        <v>18</v>
      </c>
      <c r="L878" t="str" cm="1">
        <f t="array" ref="L878">_xlfn.IFS(B878&lt;30,"18-29",B878&lt;45,"30-44",B878&lt;60,"45-59",B878&lt;75,"60-74",B878&lt;=90,"75-90")</f>
        <v>75-90</v>
      </c>
      <c r="M878" t="str">
        <f>IF(Table1[[#This Row],[length_of_stay_days]]&gt;7,"Yes","No")</f>
        <v>No</v>
      </c>
    </row>
    <row r="879" spans="1:13" x14ac:dyDescent="0.3">
      <c r="A879" t="s">
        <v>1274</v>
      </c>
      <c r="B879">
        <v>64</v>
      </c>
      <c r="C879" t="s">
        <v>20</v>
      </c>
      <c r="D879" t="s">
        <v>28</v>
      </c>
      <c r="E879" t="s">
        <v>14</v>
      </c>
      <c r="F879" t="s">
        <v>118</v>
      </c>
      <c r="G879" t="s">
        <v>137</v>
      </c>
      <c r="H879">
        <v>1</v>
      </c>
      <c r="I879" s="1">
        <v>4558.62</v>
      </c>
      <c r="J879" t="s">
        <v>17</v>
      </c>
      <c r="K879" t="s">
        <v>18</v>
      </c>
      <c r="L879" t="str" cm="1">
        <f t="array" ref="L879">_xlfn.IFS(B879&lt;30,"18-29",B879&lt;45,"30-44",B879&lt;60,"45-59",B879&lt;75,"60-74",B879&lt;=90,"75-90")</f>
        <v>60-74</v>
      </c>
      <c r="M879" t="str">
        <f>IF(Table1[[#This Row],[length_of_stay_days]]&gt;7,"Yes","No")</f>
        <v>No</v>
      </c>
    </row>
    <row r="880" spans="1:13" x14ac:dyDescent="0.3">
      <c r="A880" t="s">
        <v>1275</v>
      </c>
      <c r="B880">
        <v>84</v>
      </c>
      <c r="C880" t="s">
        <v>20</v>
      </c>
      <c r="D880" t="s">
        <v>13</v>
      </c>
      <c r="E880" t="s">
        <v>14</v>
      </c>
      <c r="F880" t="s">
        <v>47</v>
      </c>
      <c r="G880" t="s">
        <v>141</v>
      </c>
      <c r="H880">
        <v>10</v>
      </c>
      <c r="I880" s="1">
        <v>11833.2</v>
      </c>
      <c r="J880" t="s">
        <v>17</v>
      </c>
      <c r="K880" t="s">
        <v>18</v>
      </c>
      <c r="L880" t="str" cm="1">
        <f t="array" ref="L880">_xlfn.IFS(B880&lt;30,"18-29",B880&lt;45,"30-44",B880&lt;60,"45-59",B880&lt;75,"60-74",B880&lt;=90,"75-90")</f>
        <v>75-90</v>
      </c>
      <c r="M880" t="str">
        <f>IF(Table1[[#This Row],[length_of_stay_days]]&gt;7,"Yes","No")</f>
        <v>Yes</v>
      </c>
    </row>
    <row r="881" spans="1:13" x14ac:dyDescent="0.3">
      <c r="A881" t="s">
        <v>1276</v>
      </c>
      <c r="B881">
        <v>70</v>
      </c>
      <c r="C881" t="s">
        <v>20</v>
      </c>
      <c r="D881" t="s">
        <v>28</v>
      </c>
      <c r="E881" t="s">
        <v>28</v>
      </c>
      <c r="F881" t="s">
        <v>322</v>
      </c>
      <c r="G881" t="s">
        <v>308</v>
      </c>
      <c r="H881">
        <v>5</v>
      </c>
      <c r="I881" s="1">
        <v>6631.3</v>
      </c>
      <c r="J881" t="s">
        <v>17</v>
      </c>
      <c r="K881" t="s">
        <v>18</v>
      </c>
      <c r="L881" t="str" cm="1">
        <f t="array" ref="L881">_xlfn.IFS(B881&lt;30,"18-29",B881&lt;45,"30-44",B881&lt;60,"45-59",B881&lt;75,"60-74",B881&lt;=90,"75-90")</f>
        <v>60-74</v>
      </c>
      <c r="M881" t="str">
        <f>IF(Table1[[#This Row],[length_of_stay_days]]&gt;7,"Yes","No")</f>
        <v>No</v>
      </c>
    </row>
    <row r="882" spans="1:13" x14ac:dyDescent="0.3">
      <c r="A882" t="s">
        <v>1277</v>
      </c>
      <c r="B882">
        <v>21</v>
      </c>
      <c r="C882" t="s">
        <v>12</v>
      </c>
      <c r="D882" t="s">
        <v>13</v>
      </c>
      <c r="E882" t="s">
        <v>14</v>
      </c>
      <c r="F882" t="s">
        <v>348</v>
      </c>
      <c r="G882" t="s">
        <v>190</v>
      </c>
      <c r="H882">
        <v>4</v>
      </c>
      <c r="I882" s="1">
        <v>8026.72</v>
      </c>
      <c r="J882" t="s">
        <v>17</v>
      </c>
      <c r="K882" t="s">
        <v>18</v>
      </c>
      <c r="L882" t="str" cm="1">
        <f t="array" ref="L882">_xlfn.IFS(B882&lt;30,"18-29",B882&lt;45,"30-44",B882&lt;60,"45-59",B882&lt;75,"60-74",B882&lt;=90,"75-90")</f>
        <v>18-29</v>
      </c>
      <c r="M882" t="str">
        <f>IF(Table1[[#This Row],[length_of_stay_days]]&gt;7,"Yes","No")</f>
        <v>No</v>
      </c>
    </row>
    <row r="883" spans="1:13" x14ac:dyDescent="0.3">
      <c r="A883" t="s">
        <v>1278</v>
      </c>
      <c r="B883">
        <v>89</v>
      </c>
      <c r="C883" t="s">
        <v>20</v>
      </c>
      <c r="D883" t="s">
        <v>28</v>
      </c>
      <c r="E883" t="s">
        <v>28</v>
      </c>
      <c r="F883" t="s">
        <v>384</v>
      </c>
      <c r="G883" t="s">
        <v>33</v>
      </c>
      <c r="H883">
        <v>9</v>
      </c>
      <c r="I883" s="1">
        <v>8875.7800000000007</v>
      </c>
      <c r="J883" t="s">
        <v>17</v>
      </c>
      <c r="K883" t="s">
        <v>18</v>
      </c>
      <c r="L883" t="str" cm="1">
        <f t="array" ref="L883">_xlfn.IFS(B883&lt;30,"18-29",B883&lt;45,"30-44",B883&lt;60,"45-59",B883&lt;75,"60-74",B883&lt;=90,"75-90")</f>
        <v>75-90</v>
      </c>
      <c r="M883" t="str">
        <f>IF(Table1[[#This Row],[length_of_stay_days]]&gt;7,"Yes","No")</f>
        <v>Yes</v>
      </c>
    </row>
    <row r="884" spans="1:13" x14ac:dyDescent="0.3">
      <c r="A884" t="s">
        <v>1279</v>
      </c>
      <c r="B884">
        <v>86</v>
      </c>
      <c r="C884" t="s">
        <v>20</v>
      </c>
      <c r="D884" t="s">
        <v>28</v>
      </c>
      <c r="E884" t="s">
        <v>21</v>
      </c>
      <c r="F884" t="s">
        <v>239</v>
      </c>
      <c r="G884" t="s">
        <v>33</v>
      </c>
      <c r="H884">
        <v>3</v>
      </c>
      <c r="I884" s="1">
        <v>5861.64</v>
      </c>
      <c r="J884" t="s">
        <v>17</v>
      </c>
      <c r="K884" t="s">
        <v>18</v>
      </c>
      <c r="L884" t="str" cm="1">
        <f t="array" ref="L884">_xlfn.IFS(B884&lt;30,"18-29",B884&lt;45,"30-44",B884&lt;60,"45-59",B884&lt;75,"60-74",B884&lt;=90,"75-90")</f>
        <v>75-90</v>
      </c>
      <c r="M884" t="str">
        <f>IF(Table1[[#This Row],[length_of_stay_days]]&gt;7,"Yes","No")</f>
        <v>No</v>
      </c>
    </row>
    <row r="885" spans="1:13" x14ac:dyDescent="0.3">
      <c r="A885" t="s">
        <v>1280</v>
      </c>
      <c r="B885">
        <v>85</v>
      </c>
      <c r="C885" t="s">
        <v>20</v>
      </c>
      <c r="D885" t="s">
        <v>28</v>
      </c>
      <c r="E885" t="s">
        <v>14</v>
      </c>
      <c r="F885" t="s">
        <v>126</v>
      </c>
      <c r="G885" t="s">
        <v>205</v>
      </c>
      <c r="H885">
        <v>4</v>
      </c>
      <c r="I885" s="1">
        <v>3777.99</v>
      </c>
      <c r="J885" t="s">
        <v>17</v>
      </c>
      <c r="K885" t="s">
        <v>44</v>
      </c>
      <c r="L885" t="str" cm="1">
        <f t="array" ref="L885">_xlfn.IFS(B885&lt;30,"18-29",B885&lt;45,"30-44",B885&lt;60,"45-59",B885&lt;75,"60-74",B885&lt;=90,"75-90")</f>
        <v>75-90</v>
      </c>
      <c r="M885" t="str">
        <f>IF(Table1[[#This Row],[length_of_stay_days]]&gt;7,"Yes","No")</f>
        <v>No</v>
      </c>
    </row>
    <row r="886" spans="1:13" x14ac:dyDescent="0.3">
      <c r="A886" t="s">
        <v>1281</v>
      </c>
      <c r="B886">
        <v>86</v>
      </c>
      <c r="C886" t="s">
        <v>20</v>
      </c>
      <c r="D886" t="s">
        <v>28</v>
      </c>
      <c r="E886" t="s">
        <v>28</v>
      </c>
      <c r="F886" t="s">
        <v>36</v>
      </c>
      <c r="G886" t="s">
        <v>116</v>
      </c>
      <c r="H886">
        <v>7</v>
      </c>
      <c r="I886" s="1">
        <v>9057.1299999999992</v>
      </c>
      <c r="J886" t="s">
        <v>17</v>
      </c>
      <c r="K886" t="s">
        <v>18</v>
      </c>
      <c r="L886" t="str" cm="1">
        <f t="array" ref="L886">_xlfn.IFS(B886&lt;30,"18-29",B886&lt;45,"30-44",B886&lt;60,"45-59",B886&lt;75,"60-74",B886&lt;=90,"75-90")</f>
        <v>75-90</v>
      </c>
      <c r="M886" t="str">
        <f>IF(Table1[[#This Row],[length_of_stay_days]]&gt;7,"Yes","No")</f>
        <v>No</v>
      </c>
    </row>
    <row r="887" spans="1:13" x14ac:dyDescent="0.3">
      <c r="A887" t="s">
        <v>1282</v>
      </c>
      <c r="B887">
        <v>79</v>
      </c>
      <c r="C887" t="s">
        <v>12</v>
      </c>
      <c r="D887" t="s">
        <v>13</v>
      </c>
      <c r="E887" t="s">
        <v>14</v>
      </c>
      <c r="F887" t="s">
        <v>165</v>
      </c>
      <c r="G887" t="s">
        <v>1283</v>
      </c>
      <c r="H887">
        <v>6</v>
      </c>
      <c r="I887" s="1">
        <v>7198.49</v>
      </c>
      <c r="J887" t="s">
        <v>17</v>
      </c>
      <c r="K887" t="s">
        <v>18</v>
      </c>
      <c r="L887" t="str" cm="1">
        <f t="array" ref="L887">_xlfn.IFS(B887&lt;30,"18-29",B887&lt;45,"30-44",B887&lt;60,"45-59",B887&lt;75,"60-74",B887&lt;=90,"75-90")</f>
        <v>75-90</v>
      </c>
      <c r="M887" t="str">
        <f>IF(Table1[[#This Row],[length_of_stay_days]]&gt;7,"Yes","No")</f>
        <v>No</v>
      </c>
    </row>
    <row r="888" spans="1:13" x14ac:dyDescent="0.3">
      <c r="A888" t="s">
        <v>1284</v>
      </c>
      <c r="B888">
        <v>57</v>
      </c>
      <c r="C888" t="s">
        <v>20</v>
      </c>
      <c r="D888" t="s">
        <v>28</v>
      </c>
      <c r="E888" t="s">
        <v>14</v>
      </c>
      <c r="F888" t="s">
        <v>29</v>
      </c>
      <c r="G888" t="s">
        <v>408</v>
      </c>
      <c r="H888">
        <v>6</v>
      </c>
      <c r="I888" s="1">
        <v>8535.83</v>
      </c>
      <c r="J888" t="s">
        <v>17</v>
      </c>
      <c r="K888" t="s">
        <v>18</v>
      </c>
      <c r="L888" t="str" cm="1">
        <f t="array" ref="L888">_xlfn.IFS(B888&lt;30,"18-29",B888&lt;45,"30-44",B888&lt;60,"45-59",B888&lt;75,"60-74",B888&lt;=90,"75-90")</f>
        <v>45-59</v>
      </c>
      <c r="M888" t="str">
        <f>IF(Table1[[#This Row],[length_of_stay_days]]&gt;7,"Yes","No")</f>
        <v>No</v>
      </c>
    </row>
    <row r="889" spans="1:13" x14ac:dyDescent="0.3">
      <c r="A889" t="s">
        <v>1285</v>
      </c>
      <c r="B889">
        <v>29</v>
      </c>
      <c r="C889" t="s">
        <v>20</v>
      </c>
      <c r="D889" t="s">
        <v>55</v>
      </c>
      <c r="E889" t="s">
        <v>28</v>
      </c>
      <c r="F889" t="s">
        <v>1054</v>
      </c>
      <c r="G889" t="s">
        <v>454</v>
      </c>
      <c r="H889">
        <v>5</v>
      </c>
      <c r="I889" s="1">
        <v>7855.24</v>
      </c>
      <c r="J889" t="s">
        <v>17</v>
      </c>
      <c r="K889" t="s">
        <v>18</v>
      </c>
      <c r="L889" t="str" cm="1">
        <f t="array" ref="L889">_xlfn.IFS(B889&lt;30,"18-29",B889&lt;45,"30-44",B889&lt;60,"45-59",B889&lt;75,"60-74",B889&lt;=90,"75-90")</f>
        <v>18-29</v>
      </c>
      <c r="M889" t="str">
        <f>IF(Table1[[#This Row],[length_of_stay_days]]&gt;7,"Yes","No")</f>
        <v>No</v>
      </c>
    </row>
    <row r="890" spans="1:13" x14ac:dyDescent="0.3">
      <c r="A890" t="s">
        <v>1286</v>
      </c>
      <c r="B890">
        <v>83</v>
      </c>
      <c r="C890" t="s">
        <v>20</v>
      </c>
      <c r="D890" t="s">
        <v>51</v>
      </c>
      <c r="E890" t="s">
        <v>14</v>
      </c>
      <c r="F890" t="s">
        <v>171</v>
      </c>
      <c r="G890" t="s">
        <v>205</v>
      </c>
      <c r="H890">
        <v>6</v>
      </c>
      <c r="I890" s="1">
        <v>10863.51</v>
      </c>
      <c r="J890" t="s">
        <v>17</v>
      </c>
      <c r="K890" t="s">
        <v>18</v>
      </c>
      <c r="L890" t="str" cm="1">
        <f t="array" ref="L890">_xlfn.IFS(B890&lt;30,"18-29",B890&lt;45,"30-44",B890&lt;60,"45-59",B890&lt;75,"60-74",B890&lt;=90,"75-90")</f>
        <v>75-90</v>
      </c>
      <c r="M890" t="str">
        <f>IF(Table1[[#This Row],[length_of_stay_days]]&gt;7,"Yes","No")</f>
        <v>No</v>
      </c>
    </row>
    <row r="891" spans="1:13" x14ac:dyDescent="0.3">
      <c r="A891" t="s">
        <v>1287</v>
      </c>
      <c r="B891">
        <v>87</v>
      </c>
      <c r="C891" t="s">
        <v>20</v>
      </c>
      <c r="D891" t="s">
        <v>28</v>
      </c>
      <c r="E891" t="s">
        <v>28</v>
      </c>
      <c r="F891" t="s">
        <v>58</v>
      </c>
      <c r="G891" t="s">
        <v>328</v>
      </c>
      <c r="H891">
        <v>4</v>
      </c>
      <c r="I891" s="1">
        <v>3844.01</v>
      </c>
      <c r="J891" t="s">
        <v>17</v>
      </c>
      <c r="K891" t="s">
        <v>18</v>
      </c>
      <c r="L891" t="str" cm="1">
        <f t="array" ref="L891">_xlfn.IFS(B891&lt;30,"18-29",B891&lt;45,"30-44",B891&lt;60,"45-59",B891&lt;75,"60-74",B891&lt;=90,"75-90")</f>
        <v>75-90</v>
      </c>
      <c r="M891" t="str">
        <f>IF(Table1[[#This Row],[length_of_stay_days]]&gt;7,"Yes","No")</f>
        <v>No</v>
      </c>
    </row>
    <row r="892" spans="1:13" x14ac:dyDescent="0.3">
      <c r="A892" t="s">
        <v>1288</v>
      </c>
      <c r="B892">
        <v>82</v>
      </c>
      <c r="C892" t="s">
        <v>12</v>
      </c>
      <c r="D892" t="s">
        <v>28</v>
      </c>
      <c r="E892" t="s">
        <v>14</v>
      </c>
      <c r="F892" t="s">
        <v>327</v>
      </c>
      <c r="G892" t="s">
        <v>58</v>
      </c>
      <c r="H892">
        <v>1</v>
      </c>
      <c r="I892" s="1">
        <v>3053.44</v>
      </c>
      <c r="J892" t="s">
        <v>17</v>
      </c>
      <c r="K892" t="s">
        <v>18</v>
      </c>
      <c r="L892" t="str" cm="1">
        <f t="array" ref="L892">_xlfn.IFS(B892&lt;30,"18-29",B892&lt;45,"30-44",B892&lt;60,"45-59",B892&lt;75,"60-74",B892&lt;=90,"75-90")</f>
        <v>75-90</v>
      </c>
      <c r="M892" t="str">
        <f>IF(Table1[[#This Row],[length_of_stay_days]]&gt;7,"Yes","No")</f>
        <v>No</v>
      </c>
    </row>
    <row r="893" spans="1:13" x14ac:dyDescent="0.3">
      <c r="A893" t="s">
        <v>1289</v>
      </c>
      <c r="B893">
        <v>43</v>
      </c>
      <c r="C893" t="s">
        <v>12</v>
      </c>
      <c r="D893" t="s">
        <v>28</v>
      </c>
      <c r="E893" t="s">
        <v>28</v>
      </c>
      <c r="F893" t="s">
        <v>765</v>
      </c>
      <c r="G893" t="s">
        <v>354</v>
      </c>
      <c r="H893">
        <v>6</v>
      </c>
      <c r="I893" s="1">
        <v>6643.44</v>
      </c>
      <c r="J893" t="s">
        <v>17</v>
      </c>
      <c r="K893" t="s">
        <v>18</v>
      </c>
      <c r="L893" t="str" cm="1">
        <f t="array" ref="L893">_xlfn.IFS(B893&lt;30,"18-29",B893&lt;45,"30-44",B893&lt;60,"45-59",B893&lt;75,"60-74",B893&lt;=90,"75-90")</f>
        <v>30-44</v>
      </c>
      <c r="M893" t="str">
        <f>IF(Table1[[#This Row],[length_of_stay_days]]&gt;7,"Yes","No")</f>
        <v>No</v>
      </c>
    </row>
    <row r="894" spans="1:13" x14ac:dyDescent="0.3">
      <c r="A894" t="s">
        <v>1290</v>
      </c>
      <c r="B894">
        <v>70</v>
      </c>
      <c r="C894" t="s">
        <v>12</v>
      </c>
      <c r="D894" t="s">
        <v>28</v>
      </c>
      <c r="E894" t="s">
        <v>28</v>
      </c>
      <c r="F894" t="s">
        <v>34</v>
      </c>
      <c r="G894" t="s">
        <v>425</v>
      </c>
      <c r="H894">
        <v>5</v>
      </c>
      <c r="I894" s="1">
        <v>5826.7</v>
      </c>
      <c r="J894" t="s">
        <v>17</v>
      </c>
      <c r="K894" t="s">
        <v>18</v>
      </c>
      <c r="L894" t="str" cm="1">
        <f t="array" ref="L894">_xlfn.IFS(B894&lt;30,"18-29",B894&lt;45,"30-44",B894&lt;60,"45-59",B894&lt;75,"60-74",B894&lt;=90,"75-90")</f>
        <v>60-74</v>
      </c>
      <c r="M894" t="str">
        <f>IF(Table1[[#This Row],[length_of_stay_days]]&gt;7,"Yes","No")</f>
        <v>No</v>
      </c>
    </row>
    <row r="895" spans="1:13" x14ac:dyDescent="0.3">
      <c r="A895" t="s">
        <v>1291</v>
      </c>
      <c r="B895">
        <v>52</v>
      </c>
      <c r="C895" t="s">
        <v>70</v>
      </c>
      <c r="D895" t="s">
        <v>13</v>
      </c>
      <c r="E895" t="s">
        <v>14</v>
      </c>
      <c r="F895" t="s">
        <v>195</v>
      </c>
      <c r="G895" t="s">
        <v>333</v>
      </c>
      <c r="H895">
        <v>6</v>
      </c>
      <c r="I895" s="1">
        <v>7398.22</v>
      </c>
      <c r="J895" t="s">
        <v>17</v>
      </c>
      <c r="K895" t="s">
        <v>18</v>
      </c>
      <c r="L895" t="str" cm="1">
        <f t="array" ref="L895">_xlfn.IFS(B895&lt;30,"18-29",B895&lt;45,"30-44",B895&lt;60,"45-59",B895&lt;75,"60-74",B895&lt;=90,"75-90")</f>
        <v>45-59</v>
      </c>
      <c r="M895" t="str">
        <f>IF(Table1[[#This Row],[length_of_stay_days]]&gt;7,"Yes","No")</f>
        <v>No</v>
      </c>
    </row>
    <row r="896" spans="1:13" x14ac:dyDescent="0.3">
      <c r="A896" t="s">
        <v>1292</v>
      </c>
      <c r="B896">
        <v>35</v>
      </c>
      <c r="C896" t="s">
        <v>20</v>
      </c>
      <c r="D896" t="s">
        <v>32</v>
      </c>
      <c r="E896" t="s">
        <v>28</v>
      </c>
      <c r="F896" t="s">
        <v>42</v>
      </c>
      <c r="G896" t="s">
        <v>472</v>
      </c>
      <c r="H896">
        <v>7</v>
      </c>
      <c r="I896" s="1">
        <v>14010.63</v>
      </c>
      <c r="J896" t="s">
        <v>17</v>
      </c>
      <c r="K896" t="s">
        <v>18</v>
      </c>
      <c r="L896" t="str" cm="1">
        <f t="array" ref="L896">_xlfn.IFS(B896&lt;30,"18-29",B896&lt;45,"30-44",B896&lt;60,"45-59",B896&lt;75,"60-74",B896&lt;=90,"75-90")</f>
        <v>30-44</v>
      </c>
      <c r="M896" t="str">
        <f>IF(Table1[[#This Row],[length_of_stay_days]]&gt;7,"Yes","No")</f>
        <v>No</v>
      </c>
    </row>
    <row r="897" spans="1:13" x14ac:dyDescent="0.3">
      <c r="A897" t="s">
        <v>1293</v>
      </c>
      <c r="B897">
        <v>67</v>
      </c>
      <c r="C897" t="s">
        <v>12</v>
      </c>
      <c r="D897" t="s">
        <v>51</v>
      </c>
      <c r="E897" t="s">
        <v>28</v>
      </c>
      <c r="F897" t="s">
        <v>411</v>
      </c>
      <c r="G897" t="s">
        <v>168</v>
      </c>
      <c r="H897">
        <v>9</v>
      </c>
      <c r="I897" s="1">
        <v>13034.71</v>
      </c>
      <c r="J897" t="s">
        <v>17</v>
      </c>
      <c r="K897" t="s">
        <v>223</v>
      </c>
      <c r="L897" t="str" cm="1">
        <f t="array" ref="L897">_xlfn.IFS(B897&lt;30,"18-29",B897&lt;45,"30-44",B897&lt;60,"45-59",B897&lt;75,"60-74",B897&lt;=90,"75-90")</f>
        <v>60-74</v>
      </c>
      <c r="M897" t="str">
        <f>IF(Table1[[#This Row],[length_of_stay_days]]&gt;7,"Yes","No")</f>
        <v>Yes</v>
      </c>
    </row>
    <row r="898" spans="1:13" x14ac:dyDescent="0.3">
      <c r="A898" t="s">
        <v>1294</v>
      </c>
      <c r="B898">
        <v>44</v>
      </c>
      <c r="C898" t="s">
        <v>20</v>
      </c>
      <c r="D898" t="s">
        <v>13</v>
      </c>
      <c r="E898" t="s">
        <v>28</v>
      </c>
      <c r="F898" t="s">
        <v>288</v>
      </c>
      <c r="G898" t="s">
        <v>751</v>
      </c>
      <c r="H898">
        <v>6</v>
      </c>
      <c r="I898" s="1">
        <v>10103.19</v>
      </c>
      <c r="J898" t="s">
        <v>17</v>
      </c>
      <c r="K898" t="s">
        <v>18</v>
      </c>
      <c r="L898" t="str" cm="1">
        <f t="array" ref="L898">_xlfn.IFS(B898&lt;30,"18-29",B898&lt;45,"30-44",B898&lt;60,"45-59",B898&lt;75,"60-74",B898&lt;=90,"75-90")</f>
        <v>30-44</v>
      </c>
      <c r="M898" t="str">
        <f>IF(Table1[[#This Row],[length_of_stay_days]]&gt;7,"Yes","No")</f>
        <v>No</v>
      </c>
    </row>
    <row r="899" spans="1:13" x14ac:dyDescent="0.3">
      <c r="A899" t="s">
        <v>1295</v>
      </c>
      <c r="B899">
        <v>77</v>
      </c>
      <c r="C899" t="s">
        <v>20</v>
      </c>
      <c r="D899" t="s">
        <v>32</v>
      </c>
      <c r="E899" t="s">
        <v>14</v>
      </c>
      <c r="F899" t="s">
        <v>436</v>
      </c>
      <c r="G899" t="s">
        <v>214</v>
      </c>
      <c r="H899">
        <v>6</v>
      </c>
      <c r="I899" s="1">
        <v>11228.23</v>
      </c>
      <c r="J899" t="s">
        <v>17</v>
      </c>
      <c r="K899" t="s">
        <v>18</v>
      </c>
      <c r="L899" t="str" cm="1">
        <f t="array" ref="L899">_xlfn.IFS(B899&lt;30,"18-29",B899&lt;45,"30-44",B899&lt;60,"45-59",B899&lt;75,"60-74",B899&lt;=90,"75-90")</f>
        <v>75-90</v>
      </c>
      <c r="M899" t="str">
        <f>IF(Table1[[#This Row],[length_of_stay_days]]&gt;7,"Yes","No")</f>
        <v>No</v>
      </c>
    </row>
    <row r="900" spans="1:13" x14ac:dyDescent="0.3">
      <c r="A900" t="s">
        <v>1296</v>
      </c>
      <c r="B900">
        <v>53</v>
      </c>
      <c r="C900" t="s">
        <v>12</v>
      </c>
      <c r="D900" t="s">
        <v>28</v>
      </c>
      <c r="E900" t="s">
        <v>28</v>
      </c>
      <c r="F900" t="s">
        <v>849</v>
      </c>
      <c r="G900" t="s">
        <v>852</v>
      </c>
      <c r="H900">
        <v>7</v>
      </c>
      <c r="I900" s="1">
        <v>8821.68</v>
      </c>
      <c r="J900" t="s">
        <v>17</v>
      </c>
      <c r="K900" t="s">
        <v>18</v>
      </c>
      <c r="L900" t="str" cm="1">
        <f t="array" ref="L900">_xlfn.IFS(B900&lt;30,"18-29",B900&lt;45,"30-44",B900&lt;60,"45-59",B900&lt;75,"60-74",B900&lt;=90,"75-90")</f>
        <v>45-59</v>
      </c>
      <c r="M900" t="str">
        <f>IF(Table1[[#This Row],[length_of_stay_days]]&gt;7,"Yes","No")</f>
        <v>No</v>
      </c>
    </row>
    <row r="901" spans="1:13" x14ac:dyDescent="0.3">
      <c r="A901" t="s">
        <v>1297</v>
      </c>
      <c r="B901">
        <v>55</v>
      </c>
      <c r="C901" t="s">
        <v>20</v>
      </c>
      <c r="D901" t="s">
        <v>55</v>
      </c>
      <c r="E901" t="s">
        <v>28</v>
      </c>
      <c r="F901" t="s">
        <v>283</v>
      </c>
      <c r="G901" t="s">
        <v>140</v>
      </c>
      <c r="H901">
        <v>8</v>
      </c>
      <c r="I901" s="1">
        <v>10194.879999999999</v>
      </c>
      <c r="J901" t="s">
        <v>17</v>
      </c>
      <c r="K901" t="s">
        <v>18</v>
      </c>
      <c r="L901" t="str" cm="1">
        <f t="array" ref="L901">_xlfn.IFS(B901&lt;30,"18-29",B901&lt;45,"30-44",B901&lt;60,"45-59",B901&lt;75,"60-74",B901&lt;=90,"75-90")</f>
        <v>45-59</v>
      </c>
      <c r="M901" t="str">
        <f>IF(Table1[[#This Row],[length_of_stay_days]]&gt;7,"Yes","No")</f>
        <v>Yes</v>
      </c>
    </row>
    <row r="902" spans="1:13" x14ac:dyDescent="0.3">
      <c r="A902" t="s">
        <v>1298</v>
      </c>
      <c r="B902">
        <v>74</v>
      </c>
      <c r="C902" t="s">
        <v>12</v>
      </c>
      <c r="D902" t="s">
        <v>28</v>
      </c>
      <c r="E902" t="s">
        <v>28</v>
      </c>
      <c r="F902" t="s">
        <v>186</v>
      </c>
      <c r="G902" t="s">
        <v>26</v>
      </c>
      <c r="H902">
        <v>8</v>
      </c>
      <c r="I902" s="1">
        <v>8035.1</v>
      </c>
      <c r="J902" t="s">
        <v>17</v>
      </c>
      <c r="K902" t="s">
        <v>18</v>
      </c>
      <c r="L902" t="str" cm="1">
        <f t="array" ref="L902">_xlfn.IFS(B902&lt;30,"18-29",B902&lt;45,"30-44",B902&lt;60,"45-59",B902&lt;75,"60-74",B902&lt;=90,"75-90")</f>
        <v>60-74</v>
      </c>
      <c r="M902" t="str">
        <f>IF(Table1[[#This Row],[length_of_stay_days]]&gt;7,"Yes","No")</f>
        <v>Yes</v>
      </c>
    </row>
    <row r="903" spans="1:13" x14ac:dyDescent="0.3">
      <c r="A903" t="s">
        <v>1299</v>
      </c>
      <c r="B903">
        <v>19</v>
      </c>
      <c r="C903" t="s">
        <v>12</v>
      </c>
      <c r="D903" t="s">
        <v>32</v>
      </c>
      <c r="E903" t="s">
        <v>28</v>
      </c>
      <c r="F903" t="s">
        <v>231</v>
      </c>
      <c r="G903" t="s">
        <v>323</v>
      </c>
      <c r="H903">
        <v>8</v>
      </c>
      <c r="I903" s="1">
        <v>14278.33</v>
      </c>
      <c r="J903" t="s">
        <v>17</v>
      </c>
      <c r="K903" t="s">
        <v>18</v>
      </c>
      <c r="L903" t="str" cm="1">
        <f t="array" ref="L903">_xlfn.IFS(B903&lt;30,"18-29",B903&lt;45,"30-44",B903&lt;60,"45-59",B903&lt;75,"60-74",B903&lt;=90,"75-90")</f>
        <v>18-29</v>
      </c>
      <c r="M903" t="str">
        <f>IF(Table1[[#This Row],[length_of_stay_days]]&gt;7,"Yes","No")</f>
        <v>Yes</v>
      </c>
    </row>
    <row r="904" spans="1:13" x14ac:dyDescent="0.3">
      <c r="A904" t="s">
        <v>1300</v>
      </c>
      <c r="B904">
        <v>80</v>
      </c>
      <c r="C904" t="s">
        <v>12</v>
      </c>
      <c r="D904" t="s">
        <v>46</v>
      </c>
      <c r="E904" t="s">
        <v>14</v>
      </c>
      <c r="F904" t="s">
        <v>320</v>
      </c>
      <c r="G904" t="s">
        <v>1054</v>
      </c>
      <c r="H904">
        <v>8</v>
      </c>
      <c r="I904" s="1">
        <v>14465.92</v>
      </c>
      <c r="J904" t="s">
        <v>17</v>
      </c>
      <c r="K904" t="s">
        <v>18</v>
      </c>
      <c r="L904" t="str" cm="1">
        <f t="array" ref="L904">_xlfn.IFS(B904&lt;30,"18-29",B904&lt;45,"30-44",B904&lt;60,"45-59",B904&lt;75,"60-74",B904&lt;=90,"75-90")</f>
        <v>75-90</v>
      </c>
      <c r="M904" t="str">
        <f>IF(Table1[[#This Row],[length_of_stay_days]]&gt;7,"Yes","No")</f>
        <v>Yes</v>
      </c>
    </row>
    <row r="905" spans="1:13" x14ac:dyDescent="0.3">
      <c r="A905" t="s">
        <v>1301</v>
      </c>
      <c r="B905">
        <v>41</v>
      </c>
      <c r="C905" t="s">
        <v>20</v>
      </c>
      <c r="D905" t="s">
        <v>13</v>
      </c>
      <c r="E905" t="s">
        <v>21</v>
      </c>
      <c r="F905" t="s">
        <v>173</v>
      </c>
      <c r="G905" t="s">
        <v>342</v>
      </c>
      <c r="H905">
        <v>3</v>
      </c>
      <c r="I905" s="1">
        <v>6659.28</v>
      </c>
      <c r="J905" t="s">
        <v>17</v>
      </c>
      <c r="K905" t="s">
        <v>18</v>
      </c>
      <c r="L905" t="str" cm="1">
        <f t="array" ref="L905">_xlfn.IFS(B905&lt;30,"18-29",B905&lt;45,"30-44",B905&lt;60,"45-59",B905&lt;75,"60-74",B905&lt;=90,"75-90")</f>
        <v>30-44</v>
      </c>
      <c r="M905" t="str">
        <f>IF(Table1[[#This Row],[length_of_stay_days]]&gt;7,"Yes","No")</f>
        <v>No</v>
      </c>
    </row>
    <row r="906" spans="1:13" x14ac:dyDescent="0.3">
      <c r="A906" t="s">
        <v>1302</v>
      </c>
      <c r="B906">
        <v>65</v>
      </c>
      <c r="C906" t="s">
        <v>20</v>
      </c>
      <c r="D906" t="s">
        <v>28</v>
      </c>
      <c r="E906" t="s">
        <v>21</v>
      </c>
      <c r="F906" t="s">
        <v>497</v>
      </c>
      <c r="G906" t="s">
        <v>217</v>
      </c>
      <c r="H906">
        <v>4</v>
      </c>
      <c r="I906" s="1">
        <v>6272.44</v>
      </c>
      <c r="J906" t="s">
        <v>49</v>
      </c>
      <c r="K906" t="s">
        <v>18</v>
      </c>
      <c r="L906" t="str" cm="1">
        <f t="array" ref="L906">_xlfn.IFS(B906&lt;30,"18-29",B906&lt;45,"30-44",B906&lt;60,"45-59",B906&lt;75,"60-74",B906&lt;=90,"75-90")</f>
        <v>60-74</v>
      </c>
      <c r="M906" t="str">
        <f>IF(Table1[[#This Row],[length_of_stay_days]]&gt;7,"Yes","No")</f>
        <v>No</v>
      </c>
    </row>
    <row r="907" spans="1:13" x14ac:dyDescent="0.3">
      <c r="A907" t="s">
        <v>1303</v>
      </c>
      <c r="B907">
        <v>19</v>
      </c>
      <c r="C907" t="s">
        <v>12</v>
      </c>
      <c r="D907" t="s">
        <v>28</v>
      </c>
      <c r="E907" t="s">
        <v>28</v>
      </c>
      <c r="F907" t="s">
        <v>328</v>
      </c>
      <c r="G907" t="s">
        <v>123</v>
      </c>
      <c r="H907">
        <v>4</v>
      </c>
      <c r="I907" s="1">
        <v>4744.29</v>
      </c>
      <c r="J907" t="s">
        <v>17</v>
      </c>
      <c r="K907" t="s">
        <v>18</v>
      </c>
      <c r="L907" t="str" cm="1">
        <f t="array" ref="L907">_xlfn.IFS(B907&lt;30,"18-29",B907&lt;45,"30-44",B907&lt;60,"45-59",B907&lt;75,"60-74",B907&lt;=90,"75-90")</f>
        <v>18-29</v>
      </c>
      <c r="M907" t="str">
        <f>IF(Table1[[#This Row],[length_of_stay_days]]&gt;7,"Yes","No")</f>
        <v>No</v>
      </c>
    </row>
    <row r="908" spans="1:13" x14ac:dyDescent="0.3">
      <c r="A908" t="s">
        <v>1304</v>
      </c>
      <c r="B908">
        <v>78</v>
      </c>
      <c r="C908" t="s">
        <v>20</v>
      </c>
      <c r="D908" t="s">
        <v>46</v>
      </c>
      <c r="E908" t="s">
        <v>28</v>
      </c>
      <c r="F908" t="s">
        <v>106</v>
      </c>
      <c r="G908" t="s">
        <v>491</v>
      </c>
      <c r="H908">
        <v>6</v>
      </c>
      <c r="I908" s="1">
        <v>11165.5</v>
      </c>
      <c r="J908" t="s">
        <v>17</v>
      </c>
      <c r="K908" t="s">
        <v>18</v>
      </c>
      <c r="L908" t="str" cm="1">
        <f t="array" ref="L908">_xlfn.IFS(B908&lt;30,"18-29",B908&lt;45,"30-44",B908&lt;60,"45-59",B908&lt;75,"60-74",B908&lt;=90,"75-90")</f>
        <v>75-90</v>
      </c>
      <c r="M908" t="str">
        <f>IF(Table1[[#This Row],[length_of_stay_days]]&gt;7,"Yes","No")</f>
        <v>No</v>
      </c>
    </row>
    <row r="909" spans="1:13" x14ac:dyDescent="0.3">
      <c r="A909" t="s">
        <v>1305</v>
      </c>
      <c r="B909">
        <v>45</v>
      </c>
      <c r="C909" t="s">
        <v>12</v>
      </c>
      <c r="D909" t="s">
        <v>28</v>
      </c>
      <c r="E909" t="s">
        <v>28</v>
      </c>
      <c r="F909" t="s">
        <v>975</v>
      </c>
      <c r="G909" t="s">
        <v>604</v>
      </c>
      <c r="H909">
        <v>6</v>
      </c>
      <c r="I909" s="1">
        <v>6816.01</v>
      </c>
      <c r="J909" t="s">
        <v>17</v>
      </c>
      <c r="K909" t="s">
        <v>18</v>
      </c>
      <c r="L909" t="str" cm="1">
        <f t="array" ref="L909">_xlfn.IFS(B909&lt;30,"18-29",B909&lt;45,"30-44",B909&lt;60,"45-59",B909&lt;75,"60-74",B909&lt;=90,"75-90")</f>
        <v>45-59</v>
      </c>
      <c r="M909" t="str">
        <f>IF(Table1[[#This Row],[length_of_stay_days]]&gt;7,"Yes","No")</f>
        <v>No</v>
      </c>
    </row>
    <row r="910" spans="1:13" x14ac:dyDescent="0.3">
      <c r="A910" t="s">
        <v>1306</v>
      </c>
      <c r="B910">
        <v>73</v>
      </c>
      <c r="C910" t="s">
        <v>12</v>
      </c>
      <c r="D910" t="s">
        <v>32</v>
      </c>
      <c r="E910" t="s">
        <v>14</v>
      </c>
      <c r="F910" t="s">
        <v>93</v>
      </c>
      <c r="G910" t="s">
        <v>767</v>
      </c>
      <c r="H910">
        <v>3</v>
      </c>
      <c r="I910" s="1">
        <v>11295.39</v>
      </c>
      <c r="J910" t="s">
        <v>17</v>
      </c>
      <c r="K910" t="s">
        <v>44</v>
      </c>
      <c r="L910" t="str" cm="1">
        <f t="array" ref="L910">_xlfn.IFS(B910&lt;30,"18-29",B910&lt;45,"30-44",B910&lt;60,"45-59",B910&lt;75,"60-74",B910&lt;=90,"75-90")</f>
        <v>60-74</v>
      </c>
      <c r="M910" t="str">
        <f>IF(Table1[[#This Row],[length_of_stay_days]]&gt;7,"Yes","No")</f>
        <v>No</v>
      </c>
    </row>
    <row r="911" spans="1:13" x14ac:dyDescent="0.3">
      <c r="A911" t="s">
        <v>1307</v>
      </c>
      <c r="B911">
        <v>85</v>
      </c>
      <c r="C911" t="s">
        <v>20</v>
      </c>
      <c r="D911" t="s">
        <v>32</v>
      </c>
      <c r="E911" t="s">
        <v>14</v>
      </c>
      <c r="F911" t="s">
        <v>273</v>
      </c>
      <c r="G911" t="s">
        <v>335</v>
      </c>
      <c r="H911">
        <v>7</v>
      </c>
      <c r="I911" s="1">
        <v>8977.17</v>
      </c>
      <c r="J911" t="s">
        <v>49</v>
      </c>
      <c r="K911" t="s">
        <v>18</v>
      </c>
      <c r="L911" t="str" cm="1">
        <f t="array" ref="L911">_xlfn.IFS(B911&lt;30,"18-29",B911&lt;45,"30-44",B911&lt;60,"45-59",B911&lt;75,"60-74",B911&lt;=90,"75-90")</f>
        <v>75-90</v>
      </c>
      <c r="M911" t="str">
        <f>IF(Table1[[#This Row],[length_of_stay_days]]&gt;7,"Yes","No")</f>
        <v>No</v>
      </c>
    </row>
    <row r="912" spans="1:13" x14ac:dyDescent="0.3">
      <c r="A912" t="s">
        <v>1308</v>
      </c>
      <c r="B912">
        <v>54</v>
      </c>
      <c r="C912" t="s">
        <v>20</v>
      </c>
      <c r="D912" t="s">
        <v>32</v>
      </c>
      <c r="E912" t="s">
        <v>28</v>
      </c>
      <c r="F912" t="s">
        <v>306</v>
      </c>
      <c r="G912" t="s">
        <v>292</v>
      </c>
      <c r="H912">
        <v>4</v>
      </c>
      <c r="I912" s="1">
        <v>9637.9599999999991</v>
      </c>
      <c r="J912" t="s">
        <v>17</v>
      </c>
      <c r="K912" t="s">
        <v>18</v>
      </c>
      <c r="L912" t="str" cm="1">
        <f t="array" ref="L912">_xlfn.IFS(B912&lt;30,"18-29",B912&lt;45,"30-44",B912&lt;60,"45-59",B912&lt;75,"60-74",B912&lt;=90,"75-90")</f>
        <v>45-59</v>
      </c>
      <c r="M912" t="str">
        <f>IF(Table1[[#This Row],[length_of_stay_days]]&gt;7,"Yes","No")</f>
        <v>No</v>
      </c>
    </row>
    <row r="913" spans="1:13" x14ac:dyDescent="0.3">
      <c r="A913" t="s">
        <v>1309</v>
      </c>
      <c r="B913">
        <v>64</v>
      </c>
      <c r="C913" t="s">
        <v>20</v>
      </c>
      <c r="D913" t="s">
        <v>46</v>
      </c>
      <c r="E913" t="s">
        <v>14</v>
      </c>
      <c r="F913" t="s">
        <v>169</v>
      </c>
      <c r="G913" t="s">
        <v>219</v>
      </c>
      <c r="H913">
        <v>5</v>
      </c>
      <c r="I913" s="1">
        <v>13825.02</v>
      </c>
      <c r="J913" t="s">
        <v>17</v>
      </c>
      <c r="K913" t="s">
        <v>18</v>
      </c>
      <c r="L913" t="str" cm="1">
        <f t="array" ref="L913">_xlfn.IFS(B913&lt;30,"18-29",B913&lt;45,"30-44",B913&lt;60,"45-59",B913&lt;75,"60-74",B913&lt;=90,"75-90")</f>
        <v>60-74</v>
      </c>
      <c r="M913" t="str">
        <f>IF(Table1[[#This Row],[length_of_stay_days]]&gt;7,"Yes","No")</f>
        <v>No</v>
      </c>
    </row>
    <row r="914" spans="1:13" x14ac:dyDescent="0.3">
      <c r="A914" t="s">
        <v>1310</v>
      </c>
      <c r="B914">
        <v>63</v>
      </c>
      <c r="C914" t="s">
        <v>20</v>
      </c>
      <c r="D914" t="s">
        <v>55</v>
      </c>
      <c r="E914" t="s">
        <v>28</v>
      </c>
      <c r="F914" t="s">
        <v>1207</v>
      </c>
      <c r="G914" t="s">
        <v>415</v>
      </c>
      <c r="H914">
        <v>7</v>
      </c>
      <c r="I914" s="1">
        <v>10154.65</v>
      </c>
      <c r="J914" t="s">
        <v>17</v>
      </c>
      <c r="K914" t="s">
        <v>18</v>
      </c>
      <c r="L914" t="str" cm="1">
        <f t="array" ref="L914">_xlfn.IFS(B914&lt;30,"18-29",B914&lt;45,"30-44",B914&lt;60,"45-59",B914&lt;75,"60-74",B914&lt;=90,"75-90")</f>
        <v>60-74</v>
      </c>
      <c r="M914" t="str">
        <f>IF(Table1[[#This Row],[length_of_stay_days]]&gt;7,"Yes","No")</f>
        <v>No</v>
      </c>
    </row>
    <row r="915" spans="1:13" x14ac:dyDescent="0.3">
      <c r="A915" t="s">
        <v>1311</v>
      </c>
      <c r="B915">
        <v>38</v>
      </c>
      <c r="C915" t="s">
        <v>20</v>
      </c>
      <c r="D915" t="s">
        <v>28</v>
      </c>
      <c r="E915" t="s">
        <v>21</v>
      </c>
      <c r="F915" t="s">
        <v>527</v>
      </c>
      <c r="G915" t="s">
        <v>821</v>
      </c>
      <c r="H915">
        <v>3</v>
      </c>
      <c r="I915" s="1">
        <v>6147.84</v>
      </c>
      <c r="J915" t="s">
        <v>17</v>
      </c>
      <c r="K915" t="s">
        <v>18</v>
      </c>
      <c r="L915" t="str" cm="1">
        <f t="array" ref="L915">_xlfn.IFS(B915&lt;30,"18-29",B915&lt;45,"30-44",B915&lt;60,"45-59",B915&lt;75,"60-74",B915&lt;=90,"75-90")</f>
        <v>30-44</v>
      </c>
      <c r="M915" t="str">
        <f>IF(Table1[[#This Row],[length_of_stay_days]]&gt;7,"Yes","No")</f>
        <v>No</v>
      </c>
    </row>
    <row r="916" spans="1:13" x14ac:dyDescent="0.3">
      <c r="A916" t="s">
        <v>1312</v>
      </c>
      <c r="B916">
        <v>30</v>
      </c>
      <c r="C916" t="s">
        <v>12</v>
      </c>
      <c r="D916" t="s">
        <v>32</v>
      </c>
      <c r="E916" t="s">
        <v>14</v>
      </c>
      <c r="F916" t="s">
        <v>1181</v>
      </c>
      <c r="G916" t="s">
        <v>77</v>
      </c>
      <c r="H916">
        <v>1</v>
      </c>
      <c r="I916" s="1">
        <v>9086.15</v>
      </c>
      <c r="J916" t="s">
        <v>17</v>
      </c>
      <c r="K916" t="s">
        <v>18</v>
      </c>
      <c r="L916" t="str" cm="1">
        <f t="array" ref="L916">_xlfn.IFS(B916&lt;30,"18-29",B916&lt;45,"30-44",B916&lt;60,"45-59",B916&lt;75,"60-74",B916&lt;=90,"75-90")</f>
        <v>30-44</v>
      </c>
      <c r="M916" t="str">
        <f>IF(Table1[[#This Row],[length_of_stay_days]]&gt;7,"Yes","No")</f>
        <v>No</v>
      </c>
    </row>
    <row r="917" spans="1:13" x14ac:dyDescent="0.3">
      <c r="A917" t="s">
        <v>1313</v>
      </c>
      <c r="B917">
        <v>20</v>
      </c>
      <c r="C917" t="s">
        <v>12</v>
      </c>
      <c r="D917" t="s">
        <v>28</v>
      </c>
      <c r="E917" t="s">
        <v>28</v>
      </c>
      <c r="F917" t="s">
        <v>658</v>
      </c>
      <c r="G917" t="s">
        <v>554</v>
      </c>
      <c r="H917">
        <v>1</v>
      </c>
      <c r="I917" s="1">
        <v>4895.59</v>
      </c>
      <c r="J917" t="s">
        <v>17</v>
      </c>
      <c r="K917" t="s">
        <v>18</v>
      </c>
      <c r="L917" t="str" cm="1">
        <f t="array" ref="L917">_xlfn.IFS(B917&lt;30,"18-29",B917&lt;45,"30-44",B917&lt;60,"45-59",B917&lt;75,"60-74",B917&lt;=90,"75-90")</f>
        <v>18-29</v>
      </c>
      <c r="M917" t="str">
        <f>IF(Table1[[#This Row],[length_of_stay_days]]&gt;7,"Yes","No")</f>
        <v>No</v>
      </c>
    </row>
    <row r="918" spans="1:13" x14ac:dyDescent="0.3">
      <c r="A918" t="s">
        <v>1314</v>
      </c>
      <c r="B918">
        <v>89</v>
      </c>
      <c r="C918" t="s">
        <v>12</v>
      </c>
      <c r="D918" t="s">
        <v>28</v>
      </c>
      <c r="E918" t="s">
        <v>28</v>
      </c>
      <c r="F918" t="s">
        <v>180</v>
      </c>
      <c r="G918" t="s">
        <v>497</v>
      </c>
      <c r="H918">
        <v>3</v>
      </c>
      <c r="I918" s="1">
        <v>3954.38</v>
      </c>
      <c r="J918" t="s">
        <v>17</v>
      </c>
      <c r="K918" t="s">
        <v>18</v>
      </c>
      <c r="L918" t="str" cm="1">
        <f t="array" ref="L918">_xlfn.IFS(B918&lt;30,"18-29",B918&lt;45,"30-44",B918&lt;60,"45-59",B918&lt;75,"60-74",B918&lt;=90,"75-90")</f>
        <v>75-90</v>
      </c>
      <c r="M918" t="str">
        <f>IF(Table1[[#This Row],[length_of_stay_days]]&gt;7,"Yes","No")</f>
        <v>No</v>
      </c>
    </row>
    <row r="919" spans="1:13" x14ac:dyDescent="0.3">
      <c r="A919" t="s">
        <v>1315</v>
      </c>
      <c r="B919">
        <v>83</v>
      </c>
      <c r="C919" t="s">
        <v>12</v>
      </c>
      <c r="D919" t="s">
        <v>28</v>
      </c>
      <c r="E919" t="s">
        <v>14</v>
      </c>
      <c r="F919" t="s">
        <v>1229</v>
      </c>
      <c r="G919" t="s">
        <v>148</v>
      </c>
      <c r="H919">
        <v>4</v>
      </c>
      <c r="I919" s="1">
        <v>7196.11</v>
      </c>
      <c r="J919" t="s">
        <v>17</v>
      </c>
      <c r="K919" t="s">
        <v>18</v>
      </c>
      <c r="L919" t="str" cm="1">
        <f t="array" ref="L919">_xlfn.IFS(B919&lt;30,"18-29",B919&lt;45,"30-44",B919&lt;60,"45-59",B919&lt;75,"60-74",B919&lt;=90,"75-90")</f>
        <v>75-90</v>
      </c>
      <c r="M919" t="str">
        <f>IF(Table1[[#This Row],[length_of_stay_days]]&gt;7,"Yes","No")</f>
        <v>No</v>
      </c>
    </row>
    <row r="920" spans="1:13" x14ac:dyDescent="0.3">
      <c r="A920" t="s">
        <v>1316</v>
      </c>
      <c r="B920">
        <v>18</v>
      </c>
      <c r="C920" t="s">
        <v>12</v>
      </c>
      <c r="D920" t="s">
        <v>13</v>
      </c>
      <c r="E920" t="s">
        <v>28</v>
      </c>
      <c r="F920" t="s">
        <v>501</v>
      </c>
      <c r="G920" t="s">
        <v>514</v>
      </c>
      <c r="H920">
        <v>5</v>
      </c>
      <c r="I920" s="1">
        <v>5923.88</v>
      </c>
      <c r="J920" t="s">
        <v>17</v>
      </c>
      <c r="K920" t="s">
        <v>18</v>
      </c>
      <c r="L920" t="str" cm="1">
        <f t="array" ref="L920">_xlfn.IFS(B920&lt;30,"18-29",B920&lt;45,"30-44",B920&lt;60,"45-59",B920&lt;75,"60-74",B920&lt;=90,"75-90")</f>
        <v>18-29</v>
      </c>
      <c r="M920" t="str">
        <f>IF(Table1[[#This Row],[length_of_stay_days]]&gt;7,"Yes","No")</f>
        <v>No</v>
      </c>
    </row>
    <row r="921" spans="1:13" x14ac:dyDescent="0.3">
      <c r="A921" t="s">
        <v>1317</v>
      </c>
      <c r="B921">
        <v>35</v>
      </c>
      <c r="C921" t="s">
        <v>12</v>
      </c>
      <c r="D921" t="s">
        <v>51</v>
      </c>
      <c r="E921" t="s">
        <v>28</v>
      </c>
      <c r="F921" t="s">
        <v>481</v>
      </c>
      <c r="G921" t="s">
        <v>114</v>
      </c>
      <c r="H921">
        <v>9</v>
      </c>
      <c r="I921" s="1">
        <v>12776.99</v>
      </c>
      <c r="J921" t="s">
        <v>17</v>
      </c>
      <c r="K921" t="s">
        <v>18</v>
      </c>
      <c r="L921" t="str" cm="1">
        <f t="array" ref="L921">_xlfn.IFS(B921&lt;30,"18-29",B921&lt;45,"30-44",B921&lt;60,"45-59",B921&lt;75,"60-74",B921&lt;=90,"75-90")</f>
        <v>30-44</v>
      </c>
      <c r="M921" t="str">
        <f>IF(Table1[[#This Row],[length_of_stay_days]]&gt;7,"Yes","No")</f>
        <v>Yes</v>
      </c>
    </row>
    <row r="922" spans="1:13" x14ac:dyDescent="0.3">
      <c r="A922" t="s">
        <v>1318</v>
      </c>
      <c r="B922">
        <v>81</v>
      </c>
      <c r="C922" t="s">
        <v>12</v>
      </c>
      <c r="D922" t="s">
        <v>13</v>
      </c>
      <c r="E922" t="s">
        <v>28</v>
      </c>
      <c r="F922" t="s">
        <v>395</v>
      </c>
      <c r="G922" t="s">
        <v>849</v>
      </c>
      <c r="H922">
        <v>4</v>
      </c>
      <c r="I922" s="1">
        <v>5538.62</v>
      </c>
      <c r="J922" t="s">
        <v>49</v>
      </c>
      <c r="K922" t="s">
        <v>18</v>
      </c>
      <c r="L922" t="str" cm="1">
        <f t="array" ref="L922">_xlfn.IFS(B922&lt;30,"18-29",B922&lt;45,"30-44",B922&lt;60,"45-59",B922&lt;75,"60-74",B922&lt;=90,"75-90")</f>
        <v>75-90</v>
      </c>
      <c r="M922" t="str">
        <f>IF(Table1[[#This Row],[length_of_stay_days]]&gt;7,"Yes","No")</f>
        <v>No</v>
      </c>
    </row>
    <row r="923" spans="1:13" x14ac:dyDescent="0.3">
      <c r="A923" t="s">
        <v>1319</v>
      </c>
      <c r="B923">
        <v>22</v>
      </c>
      <c r="C923" t="s">
        <v>20</v>
      </c>
      <c r="D923" t="s">
        <v>28</v>
      </c>
      <c r="E923" t="s">
        <v>21</v>
      </c>
      <c r="F923" t="s">
        <v>514</v>
      </c>
      <c r="G923" t="s">
        <v>203</v>
      </c>
      <c r="H923">
        <v>1</v>
      </c>
      <c r="I923" s="1">
        <v>2494.9699999999998</v>
      </c>
      <c r="J923" t="s">
        <v>17</v>
      </c>
      <c r="K923" t="s">
        <v>18</v>
      </c>
      <c r="L923" t="str" cm="1">
        <f t="array" ref="L923">_xlfn.IFS(B923&lt;30,"18-29",B923&lt;45,"30-44",B923&lt;60,"45-59",B923&lt;75,"60-74",B923&lt;=90,"75-90")</f>
        <v>18-29</v>
      </c>
      <c r="M923" t="str">
        <f>IF(Table1[[#This Row],[length_of_stay_days]]&gt;7,"Yes","No")</f>
        <v>No</v>
      </c>
    </row>
    <row r="924" spans="1:13" x14ac:dyDescent="0.3">
      <c r="A924" t="s">
        <v>1320</v>
      </c>
      <c r="B924">
        <v>69</v>
      </c>
      <c r="C924" t="s">
        <v>20</v>
      </c>
      <c r="D924" t="s">
        <v>32</v>
      </c>
      <c r="E924" t="s">
        <v>28</v>
      </c>
      <c r="F924" t="s">
        <v>108</v>
      </c>
      <c r="G924" t="s">
        <v>449</v>
      </c>
      <c r="H924">
        <v>10</v>
      </c>
      <c r="I924" s="1">
        <v>12364.23</v>
      </c>
      <c r="J924" t="s">
        <v>49</v>
      </c>
      <c r="K924" t="s">
        <v>18</v>
      </c>
      <c r="L924" t="str" cm="1">
        <f t="array" ref="L924">_xlfn.IFS(B924&lt;30,"18-29",B924&lt;45,"30-44",B924&lt;60,"45-59",B924&lt;75,"60-74",B924&lt;=90,"75-90")</f>
        <v>60-74</v>
      </c>
      <c r="M924" t="str">
        <f>IF(Table1[[#This Row],[length_of_stay_days]]&gt;7,"Yes","No")</f>
        <v>Yes</v>
      </c>
    </row>
    <row r="925" spans="1:13" x14ac:dyDescent="0.3">
      <c r="A925" t="s">
        <v>1321</v>
      </c>
      <c r="B925">
        <v>58</v>
      </c>
      <c r="C925" t="s">
        <v>20</v>
      </c>
      <c r="D925" t="s">
        <v>28</v>
      </c>
      <c r="E925" t="s">
        <v>21</v>
      </c>
      <c r="F925" t="s">
        <v>465</v>
      </c>
      <c r="G925" t="s">
        <v>447</v>
      </c>
      <c r="H925">
        <v>4</v>
      </c>
      <c r="I925" s="1">
        <v>6062.15</v>
      </c>
      <c r="J925" t="s">
        <v>17</v>
      </c>
      <c r="K925" t="s">
        <v>18</v>
      </c>
      <c r="L925" t="str" cm="1">
        <f t="array" ref="L925">_xlfn.IFS(B925&lt;30,"18-29",B925&lt;45,"30-44",B925&lt;60,"45-59",B925&lt;75,"60-74",B925&lt;=90,"75-90")</f>
        <v>45-59</v>
      </c>
      <c r="M925" t="str">
        <f>IF(Table1[[#This Row],[length_of_stay_days]]&gt;7,"Yes","No")</f>
        <v>No</v>
      </c>
    </row>
    <row r="926" spans="1:13" x14ac:dyDescent="0.3">
      <c r="A926" t="s">
        <v>1322</v>
      </c>
      <c r="B926">
        <v>90</v>
      </c>
      <c r="C926" t="s">
        <v>12</v>
      </c>
      <c r="D926" t="s">
        <v>13</v>
      </c>
      <c r="E926" t="s">
        <v>21</v>
      </c>
      <c r="F926" t="s">
        <v>489</v>
      </c>
      <c r="G926" t="s">
        <v>499</v>
      </c>
      <c r="H926">
        <v>10</v>
      </c>
      <c r="I926" s="1">
        <v>9360.76</v>
      </c>
      <c r="J926" t="s">
        <v>17</v>
      </c>
      <c r="K926" t="s">
        <v>18</v>
      </c>
      <c r="L926" t="str" cm="1">
        <f t="array" ref="L926">_xlfn.IFS(B926&lt;30,"18-29",B926&lt;45,"30-44",B926&lt;60,"45-59",B926&lt;75,"60-74",B926&lt;=90,"75-90")</f>
        <v>75-90</v>
      </c>
      <c r="M926" t="str">
        <f>IF(Table1[[#This Row],[length_of_stay_days]]&gt;7,"Yes","No")</f>
        <v>Yes</v>
      </c>
    </row>
    <row r="927" spans="1:13" x14ac:dyDescent="0.3">
      <c r="A927" t="s">
        <v>1323</v>
      </c>
      <c r="B927">
        <v>66</v>
      </c>
      <c r="C927" t="s">
        <v>12</v>
      </c>
      <c r="D927" t="s">
        <v>32</v>
      </c>
      <c r="E927" t="s">
        <v>28</v>
      </c>
      <c r="F927" t="s">
        <v>675</v>
      </c>
      <c r="G927" t="s">
        <v>282</v>
      </c>
      <c r="H927">
        <v>10</v>
      </c>
      <c r="I927" s="1">
        <v>14130.79</v>
      </c>
      <c r="J927" t="s">
        <v>17</v>
      </c>
      <c r="K927" t="s">
        <v>18</v>
      </c>
      <c r="L927" t="str" cm="1">
        <f t="array" ref="L927">_xlfn.IFS(B927&lt;30,"18-29",B927&lt;45,"30-44",B927&lt;60,"45-59",B927&lt;75,"60-74",B927&lt;=90,"75-90")</f>
        <v>60-74</v>
      </c>
      <c r="M927" t="str">
        <f>IF(Table1[[#This Row],[length_of_stay_days]]&gt;7,"Yes","No")</f>
        <v>Yes</v>
      </c>
    </row>
    <row r="928" spans="1:13" x14ac:dyDescent="0.3">
      <c r="A928" t="s">
        <v>1324</v>
      </c>
      <c r="B928">
        <v>44</v>
      </c>
      <c r="C928" t="s">
        <v>20</v>
      </c>
      <c r="D928" t="s">
        <v>55</v>
      </c>
      <c r="E928" t="s">
        <v>28</v>
      </c>
      <c r="F928" t="s">
        <v>121</v>
      </c>
      <c r="G928" t="s">
        <v>61</v>
      </c>
      <c r="H928">
        <v>4</v>
      </c>
      <c r="I928" s="1">
        <v>7220.37</v>
      </c>
      <c r="J928" t="s">
        <v>17</v>
      </c>
      <c r="K928" t="s">
        <v>18</v>
      </c>
      <c r="L928" t="str" cm="1">
        <f t="array" ref="L928">_xlfn.IFS(B928&lt;30,"18-29",B928&lt;45,"30-44",B928&lt;60,"45-59",B928&lt;75,"60-74",B928&lt;=90,"75-90")</f>
        <v>30-44</v>
      </c>
      <c r="M928" t="str">
        <f>IF(Table1[[#This Row],[length_of_stay_days]]&gt;7,"Yes","No")</f>
        <v>No</v>
      </c>
    </row>
    <row r="929" spans="1:13" x14ac:dyDescent="0.3">
      <c r="A929" t="s">
        <v>1325</v>
      </c>
      <c r="B929">
        <v>24</v>
      </c>
      <c r="C929" t="s">
        <v>12</v>
      </c>
      <c r="D929" t="s">
        <v>51</v>
      </c>
      <c r="E929" t="s">
        <v>28</v>
      </c>
      <c r="F929" t="s">
        <v>554</v>
      </c>
      <c r="G929" t="s">
        <v>579</v>
      </c>
      <c r="H929">
        <v>7</v>
      </c>
      <c r="I929" s="1">
        <v>11926.13</v>
      </c>
      <c r="J929" t="s">
        <v>17</v>
      </c>
      <c r="K929" t="s">
        <v>18</v>
      </c>
      <c r="L929" t="str" cm="1">
        <f t="array" ref="L929">_xlfn.IFS(B929&lt;30,"18-29",B929&lt;45,"30-44",B929&lt;60,"45-59",B929&lt;75,"60-74",B929&lt;=90,"75-90")</f>
        <v>18-29</v>
      </c>
      <c r="M929" t="str">
        <f>IF(Table1[[#This Row],[length_of_stay_days]]&gt;7,"Yes","No")</f>
        <v>No</v>
      </c>
    </row>
    <row r="930" spans="1:13" x14ac:dyDescent="0.3">
      <c r="A930" t="s">
        <v>1326</v>
      </c>
      <c r="B930">
        <v>79</v>
      </c>
      <c r="C930" t="s">
        <v>20</v>
      </c>
      <c r="D930" t="s">
        <v>51</v>
      </c>
      <c r="E930" t="s">
        <v>14</v>
      </c>
      <c r="F930" t="s">
        <v>512</v>
      </c>
      <c r="G930" t="s">
        <v>462</v>
      </c>
      <c r="H930">
        <v>7</v>
      </c>
      <c r="I930" s="1">
        <v>12814.06</v>
      </c>
      <c r="J930" t="s">
        <v>17</v>
      </c>
      <c r="K930" t="s">
        <v>18</v>
      </c>
      <c r="L930" t="str" cm="1">
        <f t="array" ref="L930">_xlfn.IFS(B930&lt;30,"18-29",B930&lt;45,"30-44",B930&lt;60,"45-59",B930&lt;75,"60-74",B930&lt;=90,"75-90")</f>
        <v>75-90</v>
      </c>
      <c r="M930" t="str">
        <f>IF(Table1[[#This Row],[length_of_stay_days]]&gt;7,"Yes","No")</f>
        <v>No</v>
      </c>
    </row>
    <row r="931" spans="1:13" x14ac:dyDescent="0.3">
      <c r="A931" t="s">
        <v>1327</v>
      </c>
      <c r="B931">
        <v>41</v>
      </c>
      <c r="C931" t="s">
        <v>12</v>
      </c>
      <c r="D931" t="s">
        <v>55</v>
      </c>
      <c r="E931" t="s">
        <v>28</v>
      </c>
      <c r="F931" t="s">
        <v>701</v>
      </c>
      <c r="G931" t="s">
        <v>648</v>
      </c>
      <c r="H931">
        <v>10</v>
      </c>
      <c r="I931" s="1">
        <v>15147.55</v>
      </c>
      <c r="J931" t="s">
        <v>17</v>
      </c>
      <c r="K931" t="s">
        <v>44</v>
      </c>
      <c r="L931" t="str" cm="1">
        <f t="array" ref="L931">_xlfn.IFS(B931&lt;30,"18-29",B931&lt;45,"30-44",B931&lt;60,"45-59",B931&lt;75,"60-74",B931&lt;=90,"75-90")</f>
        <v>30-44</v>
      </c>
      <c r="M931" t="str">
        <f>IF(Table1[[#This Row],[length_of_stay_days]]&gt;7,"Yes","No")</f>
        <v>Yes</v>
      </c>
    </row>
    <row r="932" spans="1:13" x14ac:dyDescent="0.3">
      <c r="A932" t="s">
        <v>1328</v>
      </c>
      <c r="B932">
        <v>75</v>
      </c>
      <c r="C932" t="s">
        <v>12</v>
      </c>
      <c r="D932" t="s">
        <v>46</v>
      </c>
      <c r="E932" t="s">
        <v>14</v>
      </c>
      <c r="F932" t="s">
        <v>765</v>
      </c>
      <c r="G932" t="s">
        <v>354</v>
      </c>
      <c r="H932">
        <v>6</v>
      </c>
      <c r="I932" s="1">
        <v>12738.84</v>
      </c>
      <c r="J932" t="s">
        <v>17</v>
      </c>
      <c r="K932" t="s">
        <v>18</v>
      </c>
      <c r="L932" t="str" cm="1">
        <f t="array" ref="L932">_xlfn.IFS(B932&lt;30,"18-29",B932&lt;45,"30-44",B932&lt;60,"45-59",B932&lt;75,"60-74",B932&lt;=90,"75-90")</f>
        <v>75-90</v>
      </c>
      <c r="M932" t="str">
        <f>IF(Table1[[#This Row],[length_of_stay_days]]&gt;7,"Yes","No")</f>
        <v>No</v>
      </c>
    </row>
    <row r="933" spans="1:13" x14ac:dyDescent="0.3">
      <c r="A933" t="s">
        <v>1329</v>
      </c>
      <c r="B933">
        <v>82</v>
      </c>
      <c r="C933" t="s">
        <v>20</v>
      </c>
      <c r="D933" t="s">
        <v>13</v>
      </c>
      <c r="E933" t="s">
        <v>21</v>
      </c>
      <c r="F933" t="s">
        <v>604</v>
      </c>
      <c r="G933" t="s">
        <v>559</v>
      </c>
      <c r="H933">
        <v>4</v>
      </c>
      <c r="I933" s="1">
        <v>6518.02</v>
      </c>
      <c r="J933" t="s">
        <v>17</v>
      </c>
      <c r="K933" t="s">
        <v>18</v>
      </c>
      <c r="L933" t="str" cm="1">
        <f t="array" ref="L933">_xlfn.IFS(B933&lt;30,"18-29",B933&lt;45,"30-44",B933&lt;60,"45-59",B933&lt;75,"60-74",B933&lt;=90,"75-90")</f>
        <v>75-90</v>
      </c>
      <c r="M933" t="str">
        <f>IF(Table1[[#This Row],[length_of_stay_days]]&gt;7,"Yes","No")</f>
        <v>No</v>
      </c>
    </row>
    <row r="934" spans="1:13" x14ac:dyDescent="0.3">
      <c r="A934" t="s">
        <v>1330</v>
      </c>
      <c r="B934">
        <v>79</v>
      </c>
      <c r="C934" t="s">
        <v>12</v>
      </c>
      <c r="D934" t="s">
        <v>51</v>
      </c>
      <c r="E934" t="s">
        <v>14</v>
      </c>
      <c r="F934" t="s">
        <v>341</v>
      </c>
      <c r="G934" t="s">
        <v>173</v>
      </c>
      <c r="H934">
        <v>2</v>
      </c>
      <c r="I934" s="1">
        <v>10487.49</v>
      </c>
      <c r="J934" t="s">
        <v>17</v>
      </c>
      <c r="K934" t="s">
        <v>18</v>
      </c>
      <c r="L934" t="str" cm="1">
        <f t="array" ref="L934">_xlfn.IFS(B934&lt;30,"18-29",B934&lt;45,"30-44",B934&lt;60,"45-59",B934&lt;75,"60-74",B934&lt;=90,"75-90")</f>
        <v>75-90</v>
      </c>
      <c r="M934" t="str">
        <f>IF(Table1[[#This Row],[length_of_stay_days]]&gt;7,"Yes","No")</f>
        <v>No</v>
      </c>
    </row>
    <row r="935" spans="1:13" x14ac:dyDescent="0.3">
      <c r="A935" t="s">
        <v>1331</v>
      </c>
      <c r="B935">
        <v>54</v>
      </c>
      <c r="C935" t="s">
        <v>12</v>
      </c>
      <c r="D935" t="s">
        <v>32</v>
      </c>
      <c r="E935" t="s">
        <v>28</v>
      </c>
      <c r="F935" t="s">
        <v>298</v>
      </c>
      <c r="G935" t="s">
        <v>724</v>
      </c>
      <c r="H935">
        <v>6</v>
      </c>
      <c r="I935" s="1">
        <v>11502.96</v>
      </c>
      <c r="J935" t="s">
        <v>17</v>
      </c>
      <c r="K935" t="s">
        <v>18</v>
      </c>
      <c r="L935" t="str" cm="1">
        <f t="array" ref="L935">_xlfn.IFS(B935&lt;30,"18-29",B935&lt;45,"30-44",B935&lt;60,"45-59",B935&lt;75,"60-74",B935&lt;=90,"75-90")</f>
        <v>45-59</v>
      </c>
      <c r="M935" t="str">
        <f>IF(Table1[[#This Row],[length_of_stay_days]]&gt;7,"Yes","No")</f>
        <v>No</v>
      </c>
    </row>
    <row r="936" spans="1:13" x14ac:dyDescent="0.3">
      <c r="A936" t="s">
        <v>1332</v>
      </c>
      <c r="B936">
        <v>57</v>
      </c>
      <c r="C936" t="s">
        <v>20</v>
      </c>
      <c r="D936" t="s">
        <v>28</v>
      </c>
      <c r="E936" t="s">
        <v>28</v>
      </c>
      <c r="F936" t="s">
        <v>71</v>
      </c>
      <c r="G936" t="s">
        <v>363</v>
      </c>
      <c r="H936">
        <v>7</v>
      </c>
      <c r="I936" s="1">
        <v>6873.07</v>
      </c>
      <c r="J936" t="s">
        <v>17</v>
      </c>
      <c r="K936" t="s">
        <v>18</v>
      </c>
      <c r="L936" t="str" cm="1">
        <f t="array" ref="L936">_xlfn.IFS(B936&lt;30,"18-29",B936&lt;45,"30-44",B936&lt;60,"45-59",B936&lt;75,"60-74",B936&lt;=90,"75-90")</f>
        <v>45-59</v>
      </c>
      <c r="M936" t="str">
        <f>IF(Table1[[#This Row],[length_of_stay_days]]&gt;7,"Yes","No")</f>
        <v>No</v>
      </c>
    </row>
    <row r="937" spans="1:13" x14ac:dyDescent="0.3">
      <c r="A937" t="s">
        <v>1333</v>
      </c>
      <c r="B937">
        <v>90</v>
      </c>
      <c r="C937" t="s">
        <v>20</v>
      </c>
      <c r="D937" t="s">
        <v>51</v>
      </c>
      <c r="E937" t="s">
        <v>14</v>
      </c>
      <c r="F937" t="s">
        <v>493</v>
      </c>
      <c r="G937" t="s">
        <v>617</v>
      </c>
      <c r="H937">
        <v>8</v>
      </c>
      <c r="I937" s="1">
        <v>14312.5</v>
      </c>
      <c r="J937" t="s">
        <v>17</v>
      </c>
      <c r="K937" t="s">
        <v>18</v>
      </c>
      <c r="L937" t="str" cm="1">
        <f t="array" ref="L937">_xlfn.IFS(B937&lt;30,"18-29",B937&lt;45,"30-44",B937&lt;60,"45-59",B937&lt;75,"60-74",B937&lt;=90,"75-90")</f>
        <v>75-90</v>
      </c>
      <c r="M937" t="str">
        <f>IF(Table1[[#This Row],[length_of_stay_days]]&gt;7,"Yes","No")</f>
        <v>Yes</v>
      </c>
    </row>
    <row r="938" spans="1:13" x14ac:dyDescent="0.3">
      <c r="A938" t="s">
        <v>1334</v>
      </c>
      <c r="B938">
        <v>55</v>
      </c>
      <c r="C938" t="s">
        <v>12</v>
      </c>
      <c r="D938" t="s">
        <v>28</v>
      </c>
      <c r="E938" t="s">
        <v>28</v>
      </c>
      <c r="F938" t="s">
        <v>16</v>
      </c>
      <c r="G938" t="s">
        <v>656</v>
      </c>
      <c r="H938">
        <v>9</v>
      </c>
      <c r="I938" s="1">
        <v>7898.8</v>
      </c>
      <c r="J938" t="s">
        <v>49</v>
      </c>
      <c r="K938" t="s">
        <v>18</v>
      </c>
      <c r="L938" t="str" cm="1">
        <f t="array" ref="L938">_xlfn.IFS(B938&lt;30,"18-29",B938&lt;45,"30-44",B938&lt;60,"45-59",B938&lt;75,"60-74",B938&lt;=90,"75-90")</f>
        <v>45-59</v>
      </c>
      <c r="M938" t="str">
        <f>IF(Table1[[#This Row],[length_of_stay_days]]&gt;7,"Yes","No")</f>
        <v>Yes</v>
      </c>
    </row>
    <row r="939" spans="1:13" x14ac:dyDescent="0.3">
      <c r="A939" t="s">
        <v>1335</v>
      </c>
      <c r="B939">
        <v>44</v>
      </c>
      <c r="C939" t="s">
        <v>20</v>
      </c>
      <c r="D939" t="s">
        <v>55</v>
      </c>
      <c r="E939" t="s">
        <v>28</v>
      </c>
      <c r="F939" t="s">
        <v>118</v>
      </c>
      <c r="G939" t="s">
        <v>119</v>
      </c>
      <c r="H939">
        <v>6</v>
      </c>
      <c r="I939" s="1">
        <v>10666.88</v>
      </c>
      <c r="J939" t="s">
        <v>17</v>
      </c>
      <c r="K939" t="s">
        <v>18</v>
      </c>
      <c r="L939" t="str" cm="1">
        <f t="array" ref="L939">_xlfn.IFS(B939&lt;30,"18-29",B939&lt;45,"30-44",B939&lt;60,"45-59",B939&lt;75,"60-74",B939&lt;=90,"75-90")</f>
        <v>30-44</v>
      </c>
      <c r="M939" t="str">
        <f>IF(Table1[[#This Row],[length_of_stay_days]]&gt;7,"Yes","No")</f>
        <v>No</v>
      </c>
    </row>
    <row r="940" spans="1:13" x14ac:dyDescent="0.3">
      <c r="A940" t="s">
        <v>1336</v>
      </c>
      <c r="B940">
        <v>57</v>
      </c>
      <c r="C940" t="s">
        <v>20</v>
      </c>
      <c r="D940" t="s">
        <v>32</v>
      </c>
      <c r="E940" t="s">
        <v>28</v>
      </c>
      <c r="F940" t="s">
        <v>489</v>
      </c>
      <c r="G940" t="s">
        <v>447</v>
      </c>
      <c r="H940">
        <v>3</v>
      </c>
      <c r="I940" s="1">
        <v>9353.7199999999993</v>
      </c>
      <c r="J940" t="s">
        <v>17</v>
      </c>
      <c r="K940" t="s">
        <v>18</v>
      </c>
      <c r="L940" t="str" cm="1">
        <f t="array" ref="L940">_xlfn.IFS(B940&lt;30,"18-29",B940&lt;45,"30-44",B940&lt;60,"45-59",B940&lt;75,"60-74",B940&lt;=90,"75-90")</f>
        <v>45-59</v>
      </c>
      <c r="M940" t="str">
        <f>IF(Table1[[#This Row],[length_of_stay_days]]&gt;7,"Yes","No")</f>
        <v>No</v>
      </c>
    </row>
    <row r="941" spans="1:13" x14ac:dyDescent="0.3">
      <c r="A941" t="s">
        <v>1337</v>
      </c>
      <c r="B941">
        <v>28</v>
      </c>
      <c r="C941" t="s">
        <v>20</v>
      </c>
      <c r="D941" t="s">
        <v>13</v>
      </c>
      <c r="E941" t="s">
        <v>28</v>
      </c>
      <c r="F941" t="s">
        <v>1338</v>
      </c>
      <c r="G941" t="s">
        <v>33</v>
      </c>
      <c r="H941">
        <v>4</v>
      </c>
      <c r="I941" s="1">
        <v>5443.34</v>
      </c>
      <c r="J941" t="s">
        <v>17</v>
      </c>
      <c r="K941" t="s">
        <v>18</v>
      </c>
      <c r="L941" t="str" cm="1">
        <f t="array" ref="L941">_xlfn.IFS(B941&lt;30,"18-29",B941&lt;45,"30-44",B941&lt;60,"45-59",B941&lt;75,"60-74",B941&lt;=90,"75-90")</f>
        <v>18-29</v>
      </c>
      <c r="M941" t="str">
        <f>IF(Table1[[#This Row],[length_of_stay_days]]&gt;7,"Yes","No")</f>
        <v>No</v>
      </c>
    </row>
    <row r="942" spans="1:13" x14ac:dyDescent="0.3">
      <c r="A942" t="s">
        <v>1339</v>
      </c>
      <c r="B942">
        <v>70</v>
      </c>
      <c r="C942" t="s">
        <v>20</v>
      </c>
      <c r="D942" t="s">
        <v>13</v>
      </c>
      <c r="E942" t="s">
        <v>28</v>
      </c>
      <c r="F942" t="s">
        <v>549</v>
      </c>
      <c r="G942" t="s">
        <v>149</v>
      </c>
      <c r="H942">
        <v>3</v>
      </c>
      <c r="I942" s="1">
        <v>6566.6</v>
      </c>
      <c r="J942" t="s">
        <v>17</v>
      </c>
      <c r="K942" t="s">
        <v>18</v>
      </c>
      <c r="L942" t="str" cm="1">
        <f t="array" ref="L942">_xlfn.IFS(B942&lt;30,"18-29",B942&lt;45,"30-44",B942&lt;60,"45-59",B942&lt;75,"60-74",B942&lt;=90,"75-90")</f>
        <v>60-74</v>
      </c>
      <c r="M942" t="str">
        <f>IF(Table1[[#This Row],[length_of_stay_days]]&gt;7,"Yes","No")</f>
        <v>No</v>
      </c>
    </row>
    <row r="943" spans="1:13" x14ac:dyDescent="0.3">
      <c r="A943" t="s">
        <v>1340</v>
      </c>
      <c r="B943">
        <v>86</v>
      </c>
      <c r="C943" t="s">
        <v>20</v>
      </c>
      <c r="D943" t="s">
        <v>28</v>
      </c>
      <c r="E943" t="s">
        <v>21</v>
      </c>
      <c r="F943" t="s">
        <v>648</v>
      </c>
      <c r="G943" t="s">
        <v>453</v>
      </c>
      <c r="H943">
        <v>4</v>
      </c>
      <c r="I943" s="1">
        <v>3750.21</v>
      </c>
      <c r="J943" t="s">
        <v>17</v>
      </c>
      <c r="K943" t="s">
        <v>18</v>
      </c>
      <c r="L943" t="str" cm="1">
        <f t="array" ref="L943">_xlfn.IFS(B943&lt;30,"18-29",B943&lt;45,"30-44",B943&lt;60,"45-59",B943&lt;75,"60-74",B943&lt;=90,"75-90")</f>
        <v>75-90</v>
      </c>
      <c r="M943" t="str">
        <f>IF(Table1[[#This Row],[length_of_stay_days]]&gt;7,"Yes","No")</f>
        <v>No</v>
      </c>
    </row>
    <row r="944" spans="1:13" x14ac:dyDescent="0.3">
      <c r="A944" t="s">
        <v>1341</v>
      </c>
      <c r="B944">
        <v>57</v>
      </c>
      <c r="C944" t="s">
        <v>20</v>
      </c>
      <c r="D944" t="s">
        <v>55</v>
      </c>
      <c r="E944" t="s">
        <v>21</v>
      </c>
      <c r="F944" t="s">
        <v>263</v>
      </c>
      <c r="G944" t="s">
        <v>509</v>
      </c>
      <c r="H944">
        <v>8</v>
      </c>
      <c r="I944" s="1">
        <v>12199.28</v>
      </c>
      <c r="J944" t="s">
        <v>17</v>
      </c>
      <c r="K944" t="s">
        <v>18</v>
      </c>
      <c r="L944" t="str" cm="1">
        <f t="array" ref="L944">_xlfn.IFS(B944&lt;30,"18-29",B944&lt;45,"30-44",B944&lt;60,"45-59",B944&lt;75,"60-74",B944&lt;=90,"75-90")</f>
        <v>45-59</v>
      </c>
      <c r="M944" t="str">
        <f>IF(Table1[[#This Row],[length_of_stay_days]]&gt;7,"Yes","No")</f>
        <v>Yes</v>
      </c>
    </row>
    <row r="945" spans="1:13" x14ac:dyDescent="0.3">
      <c r="A945" t="s">
        <v>1342</v>
      </c>
      <c r="B945">
        <v>79</v>
      </c>
      <c r="C945" t="s">
        <v>20</v>
      </c>
      <c r="D945" t="s">
        <v>28</v>
      </c>
      <c r="E945" t="s">
        <v>28</v>
      </c>
      <c r="F945" t="s">
        <v>827</v>
      </c>
      <c r="G945" t="s">
        <v>162</v>
      </c>
      <c r="H945">
        <v>7</v>
      </c>
      <c r="I945" s="1">
        <v>7966.16</v>
      </c>
      <c r="J945" t="s">
        <v>17</v>
      </c>
      <c r="K945" t="s">
        <v>44</v>
      </c>
      <c r="L945" t="str" cm="1">
        <f t="array" ref="L945">_xlfn.IFS(B945&lt;30,"18-29",B945&lt;45,"30-44",B945&lt;60,"45-59",B945&lt;75,"60-74",B945&lt;=90,"75-90")</f>
        <v>75-90</v>
      </c>
      <c r="M945" t="str">
        <f>IF(Table1[[#This Row],[length_of_stay_days]]&gt;7,"Yes","No")</f>
        <v>No</v>
      </c>
    </row>
    <row r="946" spans="1:13" x14ac:dyDescent="0.3">
      <c r="A946" t="s">
        <v>1343</v>
      </c>
      <c r="B946">
        <v>21</v>
      </c>
      <c r="C946" t="s">
        <v>20</v>
      </c>
      <c r="D946" t="s">
        <v>46</v>
      </c>
      <c r="E946" t="s">
        <v>28</v>
      </c>
      <c r="F946" t="s">
        <v>774</v>
      </c>
      <c r="G946" t="s">
        <v>1338</v>
      </c>
      <c r="H946">
        <v>9</v>
      </c>
      <c r="I946" s="1">
        <v>16379.71</v>
      </c>
      <c r="J946" t="s">
        <v>17</v>
      </c>
      <c r="K946" t="s">
        <v>18</v>
      </c>
      <c r="L946" t="str" cm="1">
        <f t="array" ref="L946">_xlfn.IFS(B946&lt;30,"18-29",B946&lt;45,"30-44",B946&lt;60,"45-59",B946&lt;75,"60-74",B946&lt;=90,"75-90")</f>
        <v>18-29</v>
      </c>
      <c r="M946" t="str">
        <f>IF(Table1[[#This Row],[length_of_stay_days]]&gt;7,"Yes","No")</f>
        <v>Yes</v>
      </c>
    </row>
    <row r="947" spans="1:13" x14ac:dyDescent="0.3">
      <c r="A947" t="s">
        <v>1344</v>
      </c>
      <c r="B947">
        <v>47</v>
      </c>
      <c r="C947" t="s">
        <v>12</v>
      </c>
      <c r="D947" t="s">
        <v>32</v>
      </c>
      <c r="E947" t="s">
        <v>28</v>
      </c>
      <c r="F947" t="s">
        <v>411</v>
      </c>
      <c r="G947" t="s">
        <v>1207</v>
      </c>
      <c r="H947">
        <v>6</v>
      </c>
      <c r="I947" s="1">
        <v>9490.49</v>
      </c>
      <c r="J947" t="s">
        <v>17</v>
      </c>
      <c r="K947" t="s">
        <v>18</v>
      </c>
      <c r="L947" t="str" cm="1">
        <f t="array" ref="L947">_xlfn.IFS(B947&lt;30,"18-29",B947&lt;45,"30-44",B947&lt;60,"45-59",B947&lt;75,"60-74",B947&lt;=90,"75-90")</f>
        <v>45-59</v>
      </c>
      <c r="M947" t="str">
        <f>IF(Table1[[#This Row],[length_of_stay_days]]&gt;7,"Yes","No")</f>
        <v>No</v>
      </c>
    </row>
    <row r="948" spans="1:13" x14ac:dyDescent="0.3">
      <c r="A948" t="s">
        <v>1345</v>
      </c>
      <c r="B948">
        <v>46</v>
      </c>
      <c r="C948" t="s">
        <v>20</v>
      </c>
      <c r="D948" t="s">
        <v>13</v>
      </c>
      <c r="E948" t="s">
        <v>21</v>
      </c>
      <c r="F948" t="s">
        <v>246</v>
      </c>
      <c r="G948" t="s">
        <v>214</v>
      </c>
      <c r="H948">
        <v>5</v>
      </c>
      <c r="I948" s="1">
        <v>5724.68</v>
      </c>
      <c r="J948" t="s">
        <v>17</v>
      </c>
      <c r="K948" t="s">
        <v>18</v>
      </c>
      <c r="L948" t="str" cm="1">
        <f t="array" ref="L948">_xlfn.IFS(B948&lt;30,"18-29",B948&lt;45,"30-44",B948&lt;60,"45-59",B948&lt;75,"60-74",B948&lt;=90,"75-90")</f>
        <v>45-59</v>
      </c>
      <c r="M948" t="str">
        <f>IF(Table1[[#This Row],[length_of_stay_days]]&gt;7,"Yes","No")</f>
        <v>No</v>
      </c>
    </row>
    <row r="949" spans="1:13" x14ac:dyDescent="0.3">
      <c r="A949" t="s">
        <v>1346</v>
      </c>
      <c r="B949">
        <v>85</v>
      </c>
      <c r="C949" t="s">
        <v>20</v>
      </c>
      <c r="D949" t="s">
        <v>13</v>
      </c>
      <c r="E949" t="s">
        <v>14</v>
      </c>
      <c r="F949" t="s">
        <v>22</v>
      </c>
      <c r="G949" t="s">
        <v>724</v>
      </c>
      <c r="H949">
        <v>2</v>
      </c>
      <c r="I949" s="1">
        <v>2982.92</v>
      </c>
      <c r="J949" t="s">
        <v>17</v>
      </c>
      <c r="K949" t="s">
        <v>18</v>
      </c>
      <c r="L949" t="str" cm="1">
        <f t="array" ref="L949">_xlfn.IFS(B949&lt;30,"18-29",B949&lt;45,"30-44",B949&lt;60,"45-59",B949&lt;75,"60-74",B949&lt;=90,"75-90")</f>
        <v>75-90</v>
      </c>
      <c r="M949" t="str">
        <f>IF(Table1[[#This Row],[length_of_stay_days]]&gt;7,"Yes","No")</f>
        <v>No</v>
      </c>
    </row>
    <row r="950" spans="1:13" x14ac:dyDescent="0.3">
      <c r="A950" t="s">
        <v>1347</v>
      </c>
      <c r="B950">
        <v>24</v>
      </c>
      <c r="C950" t="s">
        <v>20</v>
      </c>
      <c r="D950" t="s">
        <v>28</v>
      </c>
      <c r="E950" t="s">
        <v>21</v>
      </c>
      <c r="F950" t="s">
        <v>460</v>
      </c>
      <c r="G950" t="s">
        <v>360</v>
      </c>
      <c r="H950">
        <v>4</v>
      </c>
      <c r="I950" s="1">
        <v>7205.83</v>
      </c>
      <c r="J950" t="s">
        <v>17</v>
      </c>
      <c r="K950" t="s">
        <v>18</v>
      </c>
      <c r="L950" t="str" cm="1">
        <f t="array" ref="L950">_xlfn.IFS(B950&lt;30,"18-29",B950&lt;45,"30-44",B950&lt;60,"45-59",B950&lt;75,"60-74",B950&lt;=90,"75-90")</f>
        <v>18-29</v>
      </c>
      <c r="M950" t="str">
        <f>IF(Table1[[#This Row],[length_of_stay_days]]&gt;7,"Yes","No")</f>
        <v>No</v>
      </c>
    </row>
    <row r="951" spans="1:13" x14ac:dyDescent="0.3">
      <c r="A951" t="s">
        <v>1348</v>
      </c>
      <c r="B951">
        <v>90</v>
      </c>
      <c r="C951" t="s">
        <v>12</v>
      </c>
      <c r="D951" t="s">
        <v>13</v>
      </c>
      <c r="E951" t="s">
        <v>14</v>
      </c>
      <c r="F951" t="s">
        <v>427</v>
      </c>
      <c r="G951" t="s">
        <v>77</v>
      </c>
      <c r="H951">
        <v>5</v>
      </c>
      <c r="I951" s="1">
        <v>7835.97</v>
      </c>
      <c r="J951" t="s">
        <v>17</v>
      </c>
      <c r="K951" t="s">
        <v>18</v>
      </c>
      <c r="L951" t="str" cm="1">
        <f t="array" ref="L951">_xlfn.IFS(B951&lt;30,"18-29",B951&lt;45,"30-44",B951&lt;60,"45-59",B951&lt;75,"60-74",B951&lt;=90,"75-90")</f>
        <v>75-90</v>
      </c>
      <c r="M951" t="str">
        <f>IF(Table1[[#This Row],[length_of_stay_days]]&gt;7,"Yes","No")</f>
        <v>No</v>
      </c>
    </row>
    <row r="952" spans="1:13" x14ac:dyDescent="0.3">
      <c r="A952" t="s">
        <v>1349</v>
      </c>
      <c r="B952">
        <v>20</v>
      </c>
      <c r="C952" t="s">
        <v>12</v>
      </c>
      <c r="D952" t="s">
        <v>55</v>
      </c>
      <c r="E952" t="s">
        <v>14</v>
      </c>
      <c r="F952" t="s">
        <v>221</v>
      </c>
      <c r="G952" t="s">
        <v>222</v>
      </c>
      <c r="H952">
        <v>4</v>
      </c>
      <c r="I952" s="1">
        <v>7833.15</v>
      </c>
      <c r="J952" t="s">
        <v>49</v>
      </c>
      <c r="K952" t="s">
        <v>18</v>
      </c>
      <c r="L952" t="str" cm="1">
        <f t="array" ref="L952">_xlfn.IFS(B952&lt;30,"18-29",B952&lt;45,"30-44",B952&lt;60,"45-59",B952&lt;75,"60-74",B952&lt;=90,"75-90")</f>
        <v>18-29</v>
      </c>
      <c r="M952" t="str">
        <f>IF(Table1[[#This Row],[length_of_stay_days]]&gt;7,"Yes","No")</f>
        <v>No</v>
      </c>
    </row>
    <row r="953" spans="1:13" x14ac:dyDescent="0.3">
      <c r="A953" t="s">
        <v>1350</v>
      </c>
      <c r="B953">
        <v>50</v>
      </c>
      <c r="C953" t="s">
        <v>20</v>
      </c>
      <c r="D953" t="s">
        <v>28</v>
      </c>
      <c r="E953" t="s">
        <v>21</v>
      </c>
      <c r="F953" t="s">
        <v>656</v>
      </c>
      <c r="G953" t="s">
        <v>250</v>
      </c>
      <c r="H953">
        <v>1</v>
      </c>
      <c r="I953" s="1">
        <v>3604.68</v>
      </c>
      <c r="J953" t="s">
        <v>17</v>
      </c>
      <c r="K953" t="s">
        <v>18</v>
      </c>
      <c r="L953" t="str" cm="1">
        <f t="array" ref="L953">_xlfn.IFS(B953&lt;30,"18-29",B953&lt;45,"30-44",B953&lt;60,"45-59",B953&lt;75,"60-74",B953&lt;=90,"75-90")</f>
        <v>45-59</v>
      </c>
      <c r="M953" t="str">
        <f>IF(Table1[[#This Row],[length_of_stay_days]]&gt;7,"Yes","No")</f>
        <v>No</v>
      </c>
    </row>
    <row r="954" spans="1:13" x14ac:dyDescent="0.3">
      <c r="A954" t="s">
        <v>1351</v>
      </c>
      <c r="B954">
        <v>79</v>
      </c>
      <c r="C954" t="s">
        <v>12</v>
      </c>
      <c r="D954" t="s">
        <v>13</v>
      </c>
      <c r="E954" t="s">
        <v>21</v>
      </c>
      <c r="F954" t="s">
        <v>613</v>
      </c>
      <c r="G954" t="s">
        <v>83</v>
      </c>
      <c r="H954">
        <v>4</v>
      </c>
      <c r="I954" s="1">
        <v>5640.56</v>
      </c>
      <c r="J954" t="s">
        <v>17</v>
      </c>
      <c r="K954" t="s">
        <v>18</v>
      </c>
      <c r="L954" t="str" cm="1">
        <f t="array" ref="L954">_xlfn.IFS(B954&lt;30,"18-29",B954&lt;45,"30-44",B954&lt;60,"45-59",B954&lt;75,"60-74",B954&lt;=90,"75-90")</f>
        <v>75-90</v>
      </c>
      <c r="M954" t="str">
        <f>IF(Table1[[#This Row],[length_of_stay_days]]&gt;7,"Yes","No")</f>
        <v>No</v>
      </c>
    </row>
    <row r="955" spans="1:13" x14ac:dyDescent="0.3">
      <c r="A955" t="s">
        <v>1352</v>
      </c>
      <c r="B955">
        <v>45</v>
      </c>
      <c r="C955" t="s">
        <v>20</v>
      </c>
      <c r="D955" t="s">
        <v>13</v>
      </c>
      <c r="E955" t="s">
        <v>28</v>
      </c>
      <c r="F955" t="s">
        <v>388</v>
      </c>
      <c r="G955" t="s">
        <v>173</v>
      </c>
      <c r="H955">
        <v>6</v>
      </c>
      <c r="I955" s="1">
        <v>7526.2</v>
      </c>
      <c r="J955" t="s">
        <v>17</v>
      </c>
      <c r="K955" t="s">
        <v>18</v>
      </c>
      <c r="L955" t="str" cm="1">
        <f t="array" ref="L955">_xlfn.IFS(B955&lt;30,"18-29",B955&lt;45,"30-44",B955&lt;60,"45-59",B955&lt;75,"60-74",B955&lt;=90,"75-90")</f>
        <v>45-59</v>
      </c>
      <c r="M955" t="str">
        <f>IF(Table1[[#This Row],[length_of_stay_days]]&gt;7,"Yes","No")</f>
        <v>No</v>
      </c>
    </row>
    <row r="956" spans="1:13" x14ac:dyDescent="0.3">
      <c r="A956" t="s">
        <v>1353</v>
      </c>
      <c r="B956">
        <v>57</v>
      </c>
      <c r="C956" t="s">
        <v>20</v>
      </c>
      <c r="D956" t="s">
        <v>13</v>
      </c>
      <c r="E956" t="s">
        <v>28</v>
      </c>
      <c r="F956" t="s">
        <v>217</v>
      </c>
      <c r="G956" t="s">
        <v>663</v>
      </c>
      <c r="H956">
        <v>8</v>
      </c>
      <c r="I956" s="1">
        <v>6770.81</v>
      </c>
      <c r="J956" t="s">
        <v>17</v>
      </c>
      <c r="K956" t="s">
        <v>18</v>
      </c>
      <c r="L956" t="str" cm="1">
        <f t="array" ref="L956">_xlfn.IFS(B956&lt;30,"18-29",B956&lt;45,"30-44",B956&lt;60,"45-59",B956&lt;75,"60-74",B956&lt;=90,"75-90")</f>
        <v>45-59</v>
      </c>
      <c r="M956" t="str">
        <f>IF(Table1[[#This Row],[length_of_stay_days]]&gt;7,"Yes","No")</f>
        <v>Yes</v>
      </c>
    </row>
    <row r="957" spans="1:13" x14ac:dyDescent="0.3">
      <c r="A957" t="s">
        <v>1354</v>
      </c>
      <c r="B957">
        <v>20</v>
      </c>
      <c r="C957" t="s">
        <v>20</v>
      </c>
      <c r="D957" t="s">
        <v>13</v>
      </c>
      <c r="E957" t="s">
        <v>21</v>
      </c>
      <c r="F957" t="s">
        <v>137</v>
      </c>
      <c r="G957" t="s">
        <v>119</v>
      </c>
      <c r="H957">
        <v>5</v>
      </c>
      <c r="I957" s="1">
        <v>5924.64</v>
      </c>
      <c r="J957" t="s">
        <v>17</v>
      </c>
      <c r="K957" t="s">
        <v>18</v>
      </c>
      <c r="L957" t="str" cm="1">
        <f t="array" ref="L957">_xlfn.IFS(B957&lt;30,"18-29",B957&lt;45,"30-44",B957&lt;60,"45-59",B957&lt;75,"60-74",B957&lt;=90,"75-90")</f>
        <v>18-29</v>
      </c>
      <c r="M957" t="str">
        <f>IF(Table1[[#This Row],[length_of_stay_days]]&gt;7,"Yes","No")</f>
        <v>No</v>
      </c>
    </row>
    <row r="958" spans="1:13" x14ac:dyDescent="0.3">
      <c r="A958" t="s">
        <v>1355</v>
      </c>
      <c r="B958">
        <v>61</v>
      </c>
      <c r="C958" t="s">
        <v>20</v>
      </c>
      <c r="D958" t="s">
        <v>28</v>
      </c>
      <c r="E958" t="s">
        <v>14</v>
      </c>
      <c r="F958" t="s">
        <v>427</v>
      </c>
      <c r="G958" t="s">
        <v>456</v>
      </c>
      <c r="H958">
        <v>1</v>
      </c>
      <c r="I958" s="1">
        <v>1760.36</v>
      </c>
      <c r="J958" t="s">
        <v>17</v>
      </c>
      <c r="K958" t="s">
        <v>18</v>
      </c>
      <c r="L958" t="str" cm="1">
        <f t="array" ref="L958">_xlfn.IFS(B958&lt;30,"18-29",B958&lt;45,"30-44",B958&lt;60,"45-59",B958&lt;75,"60-74",B958&lt;=90,"75-90")</f>
        <v>60-74</v>
      </c>
      <c r="M958" t="str">
        <f>IF(Table1[[#This Row],[length_of_stay_days]]&gt;7,"Yes","No")</f>
        <v>No</v>
      </c>
    </row>
    <row r="959" spans="1:13" x14ac:dyDescent="0.3">
      <c r="A959" t="s">
        <v>1356</v>
      </c>
      <c r="B959">
        <v>67</v>
      </c>
      <c r="C959" t="s">
        <v>20</v>
      </c>
      <c r="D959" t="s">
        <v>28</v>
      </c>
      <c r="E959" t="s">
        <v>21</v>
      </c>
      <c r="F959" t="s">
        <v>250</v>
      </c>
      <c r="G959" t="s">
        <v>453</v>
      </c>
      <c r="H959">
        <v>1</v>
      </c>
      <c r="I959" s="1">
        <v>2812.18</v>
      </c>
      <c r="J959" t="s">
        <v>17</v>
      </c>
      <c r="K959" t="s">
        <v>18</v>
      </c>
      <c r="L959" t="str" cm="1">
        <f t="array" ref="L959">_xlfn.IFS(B959&lt;30,"18-29",B959&lt;45,"30-44",B959&lt;60,"45-59",B959&lt;75,"60-74",B959&lt;=90,"75-90")</f>
        <v>60-74</v>
      </c>
      <c r="M959" t="str">
        <f>IF(Table1[[#This Row],[length_of_stay_days]]&gt;7,"Yes","No")</f>
        <v>No</v>
      </c>
    </row>
    <row r="960" spans="1:13" x14ac:dyDescent="0.3">
      <c r="A960" t="s">
        <v>1357</v>
      </c>
      <c r="B960">
        <v>49</v>
      </c>
      <c r="C960" t="s">
        <v>20</v>
      </c>
      <c r="D960" t="s">
        <v>28</v>
      </c>
      <c r="E960" t="s">
        <v>28</v>
      </c>
      <c r="F960" t="s">
        <v>410</v>
      </c>
      <c r="G960" t="s">
        <v>489</v>
      </c>
      <c r="H960">
        <v>6</v>
      </c>
      <c r="I960" s="1">
        <v>6941.78</v>
      </c>
      <c r="J960" t="s">
        <v>49</v>
      </c>
      <c r="K960" t="s">
        <v>223</v>
      </c>
      <c r="L960" t="str" cm="1">
        <f t="array" ref="L960">_xlfn.IFS(B960&lt;30,"18-29",B960&lt;45,"30-44",B960&lt;60,"45-59",B960&lt;75,"60-74",B960&lt;=90,"75-90")</f>
        <v>45-59</v>
      </c>
      <c r="M960" t="str">
        <f>IF(Table1[[#This Row],[length_of_stay_days]]&gt;7,"Yes","No")</f>
        <v>No</v>
      </c>
    </row>
    <row r="961" spans="1:13" x14ac:dyDescent="0.3">
      <c r="A961" t="s">
        <v>1358</v>
      </c>
      <c r="B961">
        <v>19</v>
      </c>
      <c r="C961" t="s">
        <v>12</v>
      </c>
      <c r="D961" t="s">
        <v>28</v>
      </c>
      <c r="E961" t="s">
        <v>28</v>
      </c>
      <c r="F961" t="s">
        <v>765</v>
      </c>
      <c r="G961" t="s">
        <v>234</v>
      </c>
      <c r="H961">
        <v>5</v>
      </c>
      <c r="I961" s="1">
        <v>6533.82</v>
      </c>
      <c r="J961" t="s">
        <v>49</v>
      </c>
      <c r="K961" t="s">
        <v>223</v>
      </c>
      <c r="L961" t="str" cm="1">
        <f t="array" ref="L961">_xlfn.IFS(B961&lt;30,"18-29",B961&lt;45,"30-44",B961&lt;60,"45-59",B961&lt;75,"60-74",B961&lt;=90,"75-90")</f>
        <v>18-29</v>
      </c>
      <c r="M961" t="str">
        <f>IF(Table1[[#This Row],[length_of_stay_days]]&gt;7,"Yes","No")</f>
        <v>No</v>
      </c>
    </row>
    <row r="962" spans="1:13" x14ac:dyDescent="0.3">
      <c r="A962" t="s">
        <v>1359</v>
      </c>
      <c r="B962">
        <v>56</v>
      </c>
      <c r="C962" t="s">
        <v>12</v>
      </c>
      <c r="D962" t="s">
        <v>55</v>
      </c>
      <c r="E962" t="s">
        <v>21</v>
      </c>
      <c r="F962" t="s">
        <v>841</v>
      </c>
      <c r="G962" t="s">
        <v>48</v>
      </c>
      <c r="H962">
        <v>6</v>
      </c>
      <c r="I962" s="1">
        <v>13033.66</v>
      </c>
      <c r="J962" t="s">
        <v>17</v>
      </c>
      <c r="K962" t="s">
        <v>18</v>
      </c>
      <c r="L962" t="str" cm="1">
        <f t="array" ref="L962">_xlfn.IFS(B962&lt;30,"18-29",B962&lt;45,"30-44",B962&lt;60,"45-59",B962&lt;75,"60-74",B962&lt;=90,"75-90")</f>
        <v>45-59</v>
      </c>
      <c r="M962" t="str">
        <f>IF(Table1[[#This Row],[length_of_stay_days]]&gt;7,"Yes","No")</f>
        <v>No</v>
      </c>
    </row>
    <row r="963" spans="1:13" x14ac:dyDescent="0.3">
      <c r="A963" t="s">
        <v>1360</v>
      </c>
      <c r="B963">
        <v>68</v>
      </c>
      <c r="C963" t="s">
        <v>20</v>
      </c>
      <c r="D963" t="s">
        <v>51</v>
      </c>
      <c r="E963" t="s">
        <v>14</v>
      </c>
      <c r="F963" t="s">
        <v>177</v>
      </c>
      <c r="G963" t="s">
        <v>123</v>
      </c>
      <c r="H963">
        <v>7</v>
      </c>
      <c r="I963" s="1">
        <v>12442.78</v>
      </c>
      <c r="J963" t="s">
        <v>17</v>
      </c>
      <c r="K963" t="s">
        <v>18</v>
      </c>
      <c r="L963" t="str" cm="1">
        <f t="array" ref="L963">_xlfn.IFS(B963&lt;30,"18-29",B963&lt;45,"30-44",B963&lt;60,"45-59",B963&lt;75,"60-74",B963&lt;=90,"75-90")</f>
        <v>60-74</v>
      </c>
      <c r="M963" t="str">
        <f>IF(Table1[[#This Row],[length_of_stay_days]]&gt;7,"Yes","No")</f>
        <v>No</v>
      </c>
    </row>
    <row r="964" spans="1:13" x14ac:dyDescent="0.3">
      <c r="A964" t="s">
        <v>1361</v>
      </c>
      <c r="B964">
        <v>39</v>
      </c>
      <c r="C964" t="s">
        <v>20</v>
      </c>
      <c r="D964" t="s">
        <v>13</v>
      </c>
      <c r="E964" t="s">
        <v>28</v>
      </c>
      <c r="F964" t="s">
        <v>562</v>
      </c>
      <c r="G964" t="s">
        <v>680</v>
      </c>
      <c r="H964">
        <v>6</v>
      </c>
      <c r="I964" s="1">
        <v>6173.2</v>
      </c>
      <c r="J964" t="s">
        <v>17</v>
      </c>
      <c r="K964" t="s">
        <v>44</v>
      </c>
      <c r="L964" t="str" cm="1">
        <f t="array" ref="L964">_xlfn.IFS(B964&lt;30,"18-29",B964&lt;45,"30-44",B964&lt;60,"45-59",B964&lt;75,"60-74",B964&lt;=90,"75-90")</f>
        <v>30-44</v>
      </c>
      <c r="M964" t="str">
        <f>IF(Table1[[#This Row],[length_of_stay_days]]&gt;7,"Yes","No")</f>
        <v>No</v>
      </c>
    </row>
    <row r="965" spans="1:13" x14ac:dyDescent="0.3">
      <c r="A965" t="s">
        <v>1362</v>
      </c>
      <c r="B965">
        <v>89</v>
      </c>
      <c r="C965" t="s">
        <v>12</v>
      </c>
      <c r="D965" t="s">
        <v>55</v>
      </c>
      <c r="E965" t="s">
        <v>28</v>
      </c>
      <c r="F965" t="s">
        <v>465</v>
      </c>
      <c r="G965" t="s">
        <v>447</v>
      </c>
      <c r="H965">
        <v>4</v>
      </c>
      <c r="I965" s="1">
        <v>7995.61</v>
      </c>
      <c r="J965" t="s">
        <v>49</v>
      </c>
      <c r="K965" t="s">
        <v>18</v>
      </c>
      <c r="L965" t="str" cm="1">
        <f t="array" ref="L965">_xlfn.IFS(B965&lt;30,"18-29",B965&lt;45,"30-44",B965&lt;60,"45-59",B965&lt;75,"60-74",B965&lt;=90,"75-90")</f>
        <v>75-90</v>
      </c>
      <c r="M965" t="str">
        <f>IF(Table1[[#This Row],[length_of_stay_days]]&gt;7,"Yes","No")</f>
        <v>No</v>
      </c>
    </row>
    <row r="966" spans="1:13" x14ac:dyDescent="0.3">
      <c r="A966" t="s">
        <v>1363</v>
      </c>
      <c r="B966">
        <v>31</v>
      </c>
      <c r="C966" t="s">
        <v>20</v>
      </c>
      <c r="D966" t="s">
        <v>55</v>
      </c>
      <c r="E966" t="s">
        <v>28</v>
      </c>
      <c r="F966" t="s">
        <v>296</v>
      </c>
      <c r="G966" t="s">
        <v>95</v>
      </c>
      <c r="H966">
        <v>6</v>
      </c>
      <c r="I966" s="1">
        <v>8370.75</v>
      </c>
      <c r="J966" t="s">
        <v>17</v>
      </c>
      <c r="K966" t="s">
        <v>18</v>
      </c>
      <c r="L966" t="str" cm="1">
        <f t="array" ref="L966">_xlfn.IFS(B966&lt;30,"18-29",B966&lt;45,"30-44",B966&lt;60,"45-59",B966&lt;75,"60-74",B966&lt;=90,"75-90")</f>
        <v>30-44</v>
      </c>
      <c r="M966" t="str">
        <f>IF(Table1[[#This Row],[length_of_stay_days]]&gt;7,"Yes","No")</f>
        <v>No</v>
      </c>
    </row>
    <row r="967" spans="1:13" x14ac:dyDescent="0.3">
      <c r="A967" t="s">
        <v>1364</v>
      </c>
      <c r="B967">
        <v>48</v>
      </c>
      <c r="C967" t="s">
        <v>20</v>
      </c>
      <c r="D967" t="s">
        <v>13</v>
      </c>
      <c r="E967" t="s">
        <v>21</v>
      </c>
      <c r="F967" t="s">
        <v>311</v>
      </c>
      <c r="G967" t="s">
        <v>648</v>
      </c>
      <c r="H967">
        <v>4</v>
      </c>
      <c r="I967" s="1">
        <v>5272.95</v>
      </c>
      <c r="J967" t="s">
        <v>17</v>
      </c>
      <c r="K967" t="s">
        <v>18</v>
      </c>
      <c r="L967" t="str" cm="1">
        <f t="array" ref="L967">_xlfn.IFS(B967&lt;30,"18-29",B967&lt;45,"30-44",B967&lt;60,"45-59",B967&lt;75,"60-74",B967&lt;=90,"75-90")</f>
        <v>45-59</v>
      </c>
      <c r="M967" t="str">
        <f>IF(Table1[[#This Row],[length_of_stay_days]]&gt;7,"Yes","No")</f>
        <v>No</v>
      </c>
    </row>
    <row r="968" spans="1:13" x14ac:dyDescent="0.3">
      <c r="A968" t="s">
        <v>1365</v>
      </c>
      <c r="B968">
        <v>86</v>
      </c>
      <c r="C968" t="s">
        <v>20</v>
      </c>
      <c r="D968" t="s">
        <v>32</v>
      </c>
      <c r="E968" t="s">
        <v>14</v>
      </c>
      <c r="F968" t="s">
        <v>774</v>
      </c>
      <c r="H968">
        <v>5</v>
      </c>
      <c r="I968" s="1">
        <v>7348.46</v>
      </c>
      <c r="J968" t="s">
        <v>17</v>
      </c>
      <c r="K968" t="s">
        <v>18</v>
      </c>
      <c r="L968" t="str" cm="1">
        <f t="array" ref="L968">_xlfn.IFS(B968&lt;30,"18-29",B968&lt;45,"30-44",B968&lt;60,"45-59",B968&lt;75,"60-74",B968&lt;=90,"75-90")</f>
        <v>75-90</v>
      </c>
      <c r="M968" t="str">
        <f>IF(Table1[[#This Row],[length_of_stay_days]]&gt;7,"Yes","No")</f>
        <v>No</v>
      </c>
    </row>
    <row r="969" spans="1:13" x14ac:dyDescent="0.3">
      <c r="A969" t="s">
        <v>1366</v>
      </c>
      <c r="B969">
        <v>43</v>
      </c>
      <c r="C969" t="s">
        <v>12</v>
      </c>
      <c r="D969" t="s">
        <v>55</v>
      </c>
      <c r="E969" t="s">
        <v>14</v>
      </c>
      <c r="F969" t="s">
        <v>501</v>
      </c>
      <c r="G969" t="s">
        <v>75</v>
      </c>
      <c r="H969">
        <v>2</v>
      </c>
      <c r="I969" s="1">
        <v>7627.15</v>
      </c>
      <c r="J969" t="s">
        <v>17</v>
      </c>
      <c r="K969" t="s">
        <v>18</v>
      </c>
      <c r="L969" t="str" cm="1">
        <f t="array" ref="L969">_xlfn.IFS(B969&lt;30,"18-29",B969&lt;45,"30-44",B969&lt;60,"45-59",B969&lt;75,"60-74",B969&lt;=90,"75-90")</f>
        <v>30-44</v>
      </c>
      <c r="M969" t="str">
        <f>IF(Table1[[#This Row],[length_of_stay_days]]&gt;7,"Yes","No")</f>
        <v>No</v>
      </c>
    </row>
    <row r="970" spans="1:13" x14ac:dyDescent="0.3">
      <c r="A970" t="s">
        <v>1367</v>
      </c>
      <c r="B970">
        <v>32</v>
      </c>
      <c r="C970" t="s">
        <v>12</v>
      </c>
      <c r="D970" t="s">
        <v>51</v>
      </c>
      <c r="E970" t="s">
        <v>21</v>
      </c>
      <c r="F970" t="s">
        <v>56</v>
      </c>
      <c r="G970" t="s">
        <v>173</v>
      </c>
      <c r="H970">
        <v>5</v>
      </c>
      <c r="I970" s="1">
        <v>10548.26</v>
      </c>
      <c r="J970" t="s">
        <v>17</v>
      </c>
      <c r="K970" t="s">
        <v>18</v>
      </c>
      <c r="L970" t="str" cm="1">
        <f t="array" ref="L970">_xlfn.IFS(B970&lt;30,"18-29",B970&lt;45,"30-44",B970&lt;60,"45-59",B970&lt;75,"60-74",B970&lt;=90,"75-90")</f>
        <v>30-44</v>
      </c>
      <c r="M970" t="str">
        <f>IF(Table1[[#This Row],[length_of_stay_days]]&gt;7,"Yes","No")</f>
        <v>No</v>
      </c>
    </row>
    <row r="971" spans="1:13" x14ac:dyDescent="0.3">
      <c r="A971" t="s">
        <v>1368</v>
      </c>
      <c r="B971">
        <v>78</v>
      </c>
      <c r="C971" t="s">
        <v>12</v>
      </c>
      <c r="D971" t="s">
        <v>46</v>
      </c>
      <c r="E971" t="s">
        <v>28</v>
      </c>
      <c r="F971" t="s">
        <v>124</v>
      </c>
      <c r="G971" t="s">
        <v>625</v>
      </c>
      <c r="H971">
        <v>11</v>
      </c>
      <c r="I971" s="1">
        <v>15303.16</v>
      </c>
      <c r="J971" t="s">
        <v>49</v>
      </c>
      <c r="K971" t="s">
        <v>18</v>
      </c>
      <c r="L971" t="str" cm="1">
        <f t="array" ref="L971">_xlfn.IFS(B971&lt;30,"18-29",B971&lt;45,"30-44",B971&lt;60,"45-59",B971&lt;75,"60-74",B971&lt;=90,"75-90")</f>
        <v>75-90</v>
      </c>
      <c r="M971" t="str">
        <f>IF(Table1[[#This Row],[length_of_stay_days]]&gt;7,"Yes","No")</f>
        <v>Yes</v>
      </c>
    </row>
    <row r="972" spans="1:13" x14ac:dyDescent="0.3">
      <c r="A972" t="s">
        <v>1369</v>
      </c>
      <c r="B972">
        <v>44</v>
      </c>
      <c r="C972" t="s">
        <v>20</v>
      </c>
      <c r="D972" t="s">
        <v>51</v>
      </c>
      <c r="E972" t="s">
        <v>14</v>
      </c>
      <c r="F972" t="s">
        <v>152</v>
      </c>
      <c r="G972" t="s">
        <v>395</v>
      </c>
      <c r="H972">
        <v>8</v>
      </c>
      <c r="I972" s="1">
        <v>11125.46</v>
      </c>
      <c r="J972" t="s">
        <v>17</v>
      </c>
      <c r="K972" t="s">
        <v>44</v>
      </c>
      <c r="L972" t="str" cm="1">
        <f t="array" ref="L972">_xlfn.IFS(B972&lt;30,"18-29",B972&lt;45,"30-44",B972&lt;60,"45-59",B972&lt;75,"60-74",B972&lt;=90,"75-90")</f>
        <v>30-44</v>
      </c>
      <c r="M972" t="str">
        <f>IF(Table1[[#This Row],[length_of_stay_days]]&gt;7,"Yes","No")</f>
        <v>Yes</v>
      </c>
    </row>
    <row r="973" spans="1:13" x14ac:dyDescent="0.3">
      <c r="A973" t="s">
        <v>1370</v>
      </c>
      <c r="B973">
        <v>77</v>
      </c>
      <c r="C973" t="s">
        <v>20</v>
      </c>
      <c r="D973" t="s">
        <v>28</v>
      </c>
      <c r="E973" t="s">
        <v>14</v>
      </c>
      <c r="F973" t="s">
        <v>327</v>
      </c>
      <c r="G973" t="s">
        <v>59</v>
      </c>
      <c r="H973">
        <v>6</v>
      </c>
      <c r="I973" s="1">
        <v>6529.51</v>
      </c>
      <c r="J973" t="s">
        <v>17</v>
      </c>
      <c r="K973" t="s">
        <v>18</v>
      </c>
      <c r="L973" t="str" cm="1">
        <f t="array" ref="L973">_xlfn.IFS(B973&lt;30,"18-29",B973&lt;45,"30-44",B973&lt;60,"45-59",B973&lt;75,"60-74",B973&lt;=90,"75-90")</f>
        <v>75-90</v>
      </c>
      <c r="M973" t="str">
        <f>IF(Table1[[#This Row],[length_of_stay_days]]&gt;7,"Yes","No")</f>
        <v>No</v>
      </c>
    </row>
    <row r="974" spans="1:13" x14ac:dyDescent="0.3">
      <c r="A974" t="s">
        <v>1371</v>
      </c>
      <c r="B974">
        <v>18</v>
      </c>
      <c r="C974" t="s">
        <v>12</v>
      </c>
      <c r="D974" t="s">
        <v>13</v>
      </c>
      <c r="E974" t="s">
        <v>28</v>
      </c>
      <c r="F974" t="s">
        <v>575</v>
      </c>
      <c r="G974" t="s">
        <v>481</v>
      </c>
      <c r="H974">
        <v>3</v>
      </c>
      <c r="I974" s="1">
        <v>5492.83</v>
      </c>
      <c r="J974" t="s">
        <v>17</v>
      </c>
      <c r="K974" t="s">
        <v>18</v>
      </c>
      <c r="L974" t="str" cm="1">
        <f t="array" ref="L974">_xlfn.IFS(B974&lt;30,"18-29",B974&lt;45,"30-44",B974&lt;60,"45-59",B974&lt;75,"60-74",B974&lt;=90,"75-90")</f>
        <v>18-29</v>
      </c>
      <c r="M974" t="str">
        <f>IF(Table1[[#This Row],[length_of_stay_days]]&gt;7,"Yes","No")</f>
        <v>No</v>
      </c>
    </row>
    <row r="975" spans="1:13" x14ac:dyDescent="0.3">
      <c r="A975" t="s">
        <v>1372</v>
      </c>
      <c r="B975">
        <v>68</v>
      </c>
      <c r="C975" t="s">
        <v>20</v>
      </c>
      <c r="D975" t="s">
        <v>46</v>
      </c>
      <c r="E975" t="s">
        <v>28</v>
      </c>
      <c r="F975" t="s">
        <v>443</v>
      </c>
      <c r="G975" t="s">
        <v>1229</v>
      </c>
      <c r="H975">
        <v>10</v>
      </c>
      <c r="I975" s="1">
        <v>13360.2</v>
      </c>
      <c r="J975" t="s">
        <v>17</v>
      </c>
      <c r="K975" t="s">
        <v>18</v>
      </c>
      <c r="L975" t="str" cm="1">
        <f t="array" ref="L975">_xlfn.IFS(B975&lt;30,"18-29",B975&lt;45,"30-44",B975&lt;60,"45-59",B975&lt;75,"60-74",B975&lt;=90,"75-90")</f>
        <v>60-74</v>
      </c>
      <c r="M975" t="str">
        <f>IF(Table1[[#This Row],[length_of_stay_days]]&gt;7,"Yes","No")</f>
        <v>Yes</v>
      </c>
    </row>
    <row r="976" spans="1:13" x14ac:dyDescent="0.3">
      <c r="A976" t="s">
        <v>1373</v>
      </c>
      <c r="B976">
        <v>34</v>
      </c>
      <c r="C976" t="s">
        <v>70</v>
      </c>
      <c r="D976" t="s">
        <v>13</v>
      </c>
      <c r="E976" t="s">
        <v>28</v>
      </c>
      <c r="F976" t="s">
        <v>563</v>
      </c>
      <c r="G976" t="s">
        <v>514</v>
      </c>
      <c r="H976">
        <v>6</v>
      </c>
      <c r="I976" s="1">
        <v>7375.68</v>
      </c>
      <c r="J976" t="s">
        <v>17</v>
      </c>
      <c r="K976" t="s">
        <v>18</v>
      </c>
      <c r="L976" t="str" cm="1">
        <f t="array" ref="L976">_xlfn.IFS(B976&lt;30,"18-29",B976&lt;45,"30-44",B976&lt;60,"45-59",B976&lt;75,"60-74",B976&lt;=90,"75-90")</f>
        <v>30-44</v>
      </c>
      <c r="M976" t="str">
        <f>IF(Table1[[#This Row],[length_of_stay_days]]&gt;7,"Yes","No")</f>
        <v>No</v>
      </c>
    </row>
    <row r="977" spans="1:13" x14ac:dyDescent="0.3">
      <c r="A977" t="s">
        <v>1374</v>
      </c>
      <c r="B977">
        <v>64</v>
      </c>
      <c r="C977" t="s">
        <v>12</v>
      </c>
      <c r="D977" t="s">
        <v>13</v>
      </c>
      <c r="E977" t="s">
        <v>28</v>
      </c>
      <c r="F977" t="s">
        <v>742</v>
      </c>
      <c r="G977" t="s">
        <v>701</v>
      </c>
      <c r="H977">
        <v>4</v>
      </c>
      <c r="I977" s="1">
        <v>6030.02</v>
      </c>
      <c r="J977" t="s">
        <v>17</v>
      </c>
      <c r="K977" t="s">
        <v>18</v>
      </c>
      <c r="L977" t="str" cm="1">
        <f t="array" ref="L977">_xlfn.IFS(B977&lt;30,"18-29",B977&lt;45,"30-44",B977&lt;60,"45-59",B977&lt;75,"60-74",B977&lt;=90,"75-90")</f>
        <v>60-74</v>
      </c>
      <c r="M977" t="str">
        <f>IF(Table1[[#This Row],[length_of_stay_days]]&gt;7,"Yes","No")</f>
        <v>No</v>
      </c>
    </row>
    <row r="978" spans="1:13" x14ac:dyDescent="0.3">
      <c r="A978" t="s">
        <v>1375</v>
      </c>
      <c r="B978">
        <v>49</v>
      </c>
      <c r="C978" t="s">
        <v>20</v>
      </c>
      <c r="D978" t="s">
        <v>46</v>
      </c>
      <c r="E978" t="s">
        <v>14</v>
      </c>
      <c r="F978" t="s">
        <v>355</v>
      </c>
      <c r="G978" t="s">
        <v>1160</v>
      </c>
      <c r="H978">
        <v>2</v>
      </c>
      <c r="I978" s="1">
        <v>7951.47</v>
      </c>
      <c r="J978" t="s">
        <v>17</v>
      </c>
      <c r="K978" t="s">
        <v>18</v>
      </c>
      <c r="L978" t="str" cm="1">
        <f t="array" ref="L978">_xlfn.IFS(B978&lt;30,"18-29",B978&lt;45,"30-44",B978&lt;60,"45-59",B978&lt;75,"60-74",B978&lt;=90,"75-90")</f>
        <v>45-59</v>
      </c>
      <c r="M978" t="str">
        <f>IF(Table1[[#This Row],[length_of_stay_days]]&gt;7,"Yes","No")</f>
        <v>No</v>
      </c>
    </row>
    <row r="979" spans="1:13" x14ac:dyDescent="0.3">
      <c r="A979" t="s">
        <v>1376</v>
      </c>
      <c r="B979">
        <v>57</v>
      </c>
      <c r="C979" t="s">
        <v>20</v>
      </c>
      <c r="D979" t="s">
        <v>28</v>
      </c>
      <c r="E979" t="s">
        <v>28</v>
      </c>
      <c r="F979" t="s">
        <v>514</v>
      </c>
      <c r="G979" t="s">
        <v>283</v>
      </c>
      <c r="H979">
        <v>3</v>
      </c>
      <c r="I979" s="1">
        <v>5344.63</v>
      </c>
      <c r="J979" t="s">
        <v>17</v>
      </c>
      <c r="K979" t="s">
        <v>18</v>
      </c>
      <c r="L979" t="str" cm="1">
        <f t="array" ref="L979">_xlfn.IFS(B979&lt;30,"18-29",B979&lt;45,"30-44",B979&lt;60,"45-59",B979&lt;75,"60-74",B979&lt;=90,"75-90")</f>
        <v>45-59</v>
      </c>
      <c r="M979" t="str">
        <f>IF(Table1[[#This Row],[length_of_stay_days]]&gt;7,"Yes","No")</f>
        <v>No</v>
      </c>
    </row>
    <row r="980" spans="1:13" x14ac:dyDescent="0.3">
      <c r="A980" t="s">
        <v>1377</v>
      </c>
      <c r="B980">
        <v>66</v>
      </c>
      <c r="C980" t="s">
        <v>12</v>
      </c>
      <c r="D980" t="s">
        <v>13</v>
      </c>
      <c r="E980" t="s">
        <v>28</v>
      </c>
      <c r="F980" t="s">
        <v>354</v>
      </c>
      <c r="G980" t="s">
        <v>410</v>
      </c>
      <c r="H980">
        <v>6</v>
      </c>
      <c r="I980" s="1">
        <v>7733.17</v>
      </c>
      <c r="J980" t="s">
        <v>49</v>
      </c>
      <c r="K980" t="s">
        <v>18</v>
      </c>
      <c r="L980" t="str" cm="1">
        <f t="array" ref="L980">_xlfn.IFS(B980&lt;30,"18-29",B980&lt;45,"30-44",B980&lt;60,"45-59",B980&lt;75,"60-74",B980&lt;=90,"75-90")</f>
        <v>60-74</v>
      </c>
      <c r="M980" t="str">
        <f>IF(Table1[[#This Row],[length_of_stay_days]]&gt;7,"Yes","No")</f>
        <v>No</v>
      </c>
    </row>
    <row r="981" spans="1:13" x14ac:dyDescent="0.3">
      <c r="A981" t="s">
        <v>1378</v>
      </c>
      <c r="B981">
        <v>57</v>
      </c>
      <c r="C981" t="s">
        <v>12</v>
      </c>
      <c r="D981" t="s">
        <v>46</v>
      </c>
      <c r="E981" t="s">
        <v>28</v>
      </c>
      <c r="F981" t="s">
        <v>381</v>
      </c>
      <c r="G981" t="s">
        <v>212</v>
      </c>
      <c r="H981">
        <v>8</v>
      </c>
      <c r="I981" s="1">
        <v>12668.51</v>
      </c>
      <c r="J981" t="s">
        <v>17</v>
      </c>
      <c r="K981" t="s">
        <v>18</v>
      </c>
      <c r="L981" t="str" cm="1">
        <f t="array" ref="L981">_xlfn.IFS(B981&lt;30,"18-29",B981&lt;45,"30-44",B981&lt;60,"45-59",B981&lt;75,"60-74",B981&lt;=90,"75-90")</f>
        <v>45-59</v>
      </c>
      <c r="M981" t="str">
        <f>IF(Table1[[#This Row],[length_of_stay_days]]&gt;7,"Yes","No")</f>
        <v>Yes</v>
      </c>
    </row>
    <row r="982" spans="1:13" x14ac:dyDescent="0.3">
      <c r="A982" t="s">
        <v>1379</v>
      </c>
      <c r="B982">
        <v>74</v>
      </c>
      <c r="C982" t="s">
        <v>20</v>
      </c>
      <c r="D982" t="s">
        <v>28</v>
      </c>
      <c r="E982" t="s">
        <v>21</v>
      </c>
      <c r="F982" t="s">
        <v>61</v>
      </c>
      <c r="G982" t="s">
        <v>314</v>
      </c>
      <c r="H982">
        <v>8</v>
      </c>
      <c r="I982" s="1">
        <v>8932.2800000000007</v>
      </c>
      <c r="J982" t="s">
        <v>17</v>
      </c>
      <c r="K982" t="s">
        <v>18</v>
      </c>
      <c r="L982" t="str" cm="1">
        <f t="array" ref="L982">_xlfn.IFS(B982&lt;30,"18-29",B982&lt;45,"30-44",B982&lt;60,"45-59",B982&lt;75,"60-74",B982&lt;=90,"75-90")</f>
        <v>60-74</v>
      </c>
      <c r="M982" t="str">
        <f>IF(Table1[[#This Row],[length_of_stay_days]]&gt;7,"Yes","No")</f>
        <v>Yes</v>
      </c>
    </row>
    <row r="983" spans="1:13" x14ac:dyDescent="0.3">
      <c r="A983" t="s">
        <v>1380</v>
      </c>
      <c r="B983">
        <v>58</v>
      </c>
      <c r="C983" t="s">
        <v>12</v>
      </c>
      <c r="D983" t="s">
        <v>28</v>
      </c>
      <c r="E983" t="s">
        <v>21</v>
      </c>
      <c r="F983" t="s">
        <v>346</v>
      </c>
      <c r="G983" t="s">
        <v>53</v>
      </c>
      <c r="H983">
        <v>3</v>
      </c>
      <c r="I983" s="1">
        <v>6239.72</v>
      </c>
      <c r="J983" t="s">
        <v>17</v>
      </c>
      <c r="K983" t="s">
        <v>18</v>
      </c>
      <c r="L983" t="str" cm="1">
        <f t="array" ref="L983">_xlfn.IFS(B983&lt;30,"18-29",B983&lt;45,"30-44",B983&lt;60,"45-59",B983&lt;75,"60-74",B983&lt;=90,"75-90")</f>
        <v>45-59</v>
      </c>
      <c r="M983" t="str">
        <f>IF(Table1[[#This Row],[length_of_stay_days]]&gt;7,"Yes","No")</f>
        <v>No</v>
      </c>
    </row>
    <row r="984" spans="1:13" x14ac:dyDescent="0.3">
      <c r="A984" t="s">
        <v>1381</v>
      </c>
      <c r="B984">
        <v>24</v>
      </c>
      <c r="C984" t="s">
        <v>12</v>
      </c>
      <c r="D984" t="s">
        <v>28</v>
      </c>
      <c r="E984" t="s">
        <v>21</v>
      </c>
      <c r="F984" t="s">
        <v>58</v>
      </c>
      <c r="G984" t="s">
        <v>491</v>
      </c>
      <c r="H984">
        <v>3</v>
      </c>
      <c r="I984" s="1">
        <v>4229.1499999999996</v>
      </c>
      <c r="J984" t="s">
        <v>17</v>
      </c>
      <c r="K984" t="s">
        <v>18</v>
      </c>
      <c r="L984" t="str" cm="1">
        <f t="array" ref="L984">_xlfn.IFS(B984&lt;30,"18-29",B984&lt;45,"30-44",B984&lt;60,"45-59",B984&lt;75,"60-74",B984&lt;=90,"75-90")</f>
        <v>18-29</v>
      </c>
      <c r="M984" t="str">
        <f>IF(Table1[[#This Row],[length_of_stay_days]]&gt;7,"Yes","No")</f>
        <v>No</v>
      </c>
    </row>
    <row r="985" spans="1:13" x14ac:dyDescent="0.3">
      <c r="A985" t="s">
        <v>1382</v>
      </c>
      <c r="B985">
        <v>89</v>
      </c>
      <c r="C985" t="s">
        <v>20</v>
      </c>
      <c r="D985" t="s">
        <v>51</v>
      </c>
      <c r="E985" t="s">
        <v>28</v>
      </c>
      <c r="F985" t="s">
        <v>214</v>
      </c>
      <c r="G985" t="s">
        <v>778</v>
      </c>
      <c r="H985">
        <v>11</v>
      </c>
      <c r="I985" s="1">
        <v>14160.04</v>
      </c>
      <c r="J985" t="s">
        <v>17</v>
      </c>
      <c r="K985" t="s">
        <v>18</v>
      </c>
      <c r="L985" t="str" cm="1">
        <f t="array" ref="L985">_xlfn.IFS(B985&lt;30,"18-29",B985&lt;45,"30-44",B985&lt;60,"45-59",B985&lt;75,"60-74",B985&lt;=90,"75-90")</f>
        <v>75-90</v>
      </c>
      <c r="M985" t="str">
        <f>IF(Table1[[#This Row],[length_of_stay_days]]&gt;7,"Yes","No")</f>
        <v>Yes</v>
      </c>
    </row>
    <row r="986" spans="1:13" x14ac:dyDescent="0.3">
      <c r="A986" t="s">
        <v>1383</v>
      </c>
      <c r="B986">
        <v>89</v>
      </c>
      <c r="C986" t="s">
        <v>20</v>
      </c>
      <c r="D986" t="s">
        <v>32</v>
      </c>
      <c r="E986" t="s">
        <v>28</v>
      </c>
      <c r="F986" t="s">
        <v>617</v>
      </c>
      <c r="G986" t="s">
        <v>322</v>
      </c>
      <c r="H986">
        <v>5</v>
      </c>
      <c r="I986" s="1">
        <v>10326.629999999999</v>
      </c>
      <c r="J986" t="s">
        <v>17</v>
      </c>
      <c r="K986" t="s">
        <v>18</v>
      </c>
      <c r="L986" t="str" cm="1">
        <f t="array" ref="L986">_xlfn.IFS(B986&lt;30,"18-29",B986&lt;45,"30-44",B986&lt;60,"45-59",B986&lt;75,"60-74",B986&lt;=90,"75-90")</f>
        <v>75-90</v>
      </c>
      <c r="M986" t="str">
        <f>IF(Table1[[#This Row],[length_of_stay_days]]&gt;7,"Yes","No")</f>
        <v>No</v>
      </c>
    </row>
    <row r="987" spans="1:13" x14ac:dyDescent="0.3">
      <c r="A987" t="s">
        <v>1384</v>
      </c>
      <c r="B987">
        <v>38</v>
      </c>
      <c r="C987" t="s">
        <v>20</v>
      </c>
      <c r="D987" t="s">
        <v>32</v>
      </c>
      <c r="E987" t="s">
        <v>21</v>
      </c>
      <c r="F987" t="s">
        <v>504</v>
      </c>
      <c r="G987" t="s">
        <v>363</v>
      </c>
      <c r="H987">
        <v>8</v>
      </c>
      <c r="I987" s="1">
        <v>12045.83</v>
      </c>
      <c r="J987" t="s">
        <v>17</v>
      </c>
      <c r="K987" t="s">
        <v>18</v>
      </c>
      <c r="L987" t="str" cm="1">
        <f t="array" ref="L987">_xlfn.IFS(B987&lt;30,"18-29",B987&lt;45,"30-44",B987&lt;60,"45-59",B987&lt;75,"60-74",B987&lt;=90,"75-90")</f>
        <v>30-44</v>
      </c>
      <c r="M987" t="str">
        <f>IF(Table1[[#This Row],[length_of_stay_days]]&gt;7,"Yes","No")</f>
        <v>Yes</v>
      </c>
    </row>
    <row r="988" spans="1:13" x14ac:dyDescent="0.3">
      <c r="A988" t="s">
        <v>1385</v>
      </c>
      <c r="B988">
        <v>29</v>
      </c>
      <c r="C988" t="s">
        <v>20</v>
      </c>
      <c r="D988" t="s">
        <v>28</v>
      </c>
      <c r="E988" t="s">
        <v>28</v>
      </c>
      <c r="F988" t="s">
        <v>226</v>
      </c>
      <c r="G988" t="s">
        <v>144</v>
      </c>
      <c r="H988">
        <v>4</v>
      </c>
      <c r="I988" s="1">
        <v>4698.67</v>
      </c>
      <c r="J988" t="s">
        <v>17</v>
      </c>
      <c r="K988" t="s">
        <v>18</v>
      </c>
      <c r="L988" t="str" cm="1">
        <f t="array" ref="L988">_xlfn.IFS(B988&lt;30,"18-29",B988&lt;45,"30-44",B988&lt;60,"45-59",B988&lt;75,"60-74",B988&lt;=90,"75-90")</f>
        <v>18-29</v>
      </c>
      <c r="M988" t="str">
        <f>IF(Table1[[#This Row],[length_of_stay_days]]&gt;7,"Yes","No")</f>
        <v>No</v>
      </c>
    </row>
    <row r="989" spans="1:13" x14ac:dyDescent="0.3">
      <c r="A989" t="s">
        <v>1386</v>
      </c>
      <c r="B989">
        <v>72</v>
      </c>
      <c r="C989" t="s">
        <v>20</v>
      </c>
      <c r="D989" t="s">
        <v>46</v>
      </c>
      <c r="E989" t="s">
        <v>28</v>
      </c>
      <c r="F989" t="s">
        <v>92</v>
      </c>
      <c r="G989" t="s">
        <v>280</v>
      </c>
      <c r="H989">
        <v>3</v>
      </c>
      <c r="I989" s="1">
        <v>12118.62</v>
      </c>
      <c r="J989" t="s">
        <v>49</v>
      </c>
      <c r="K989" t="s">
        <v>18</v>
      </c>
      <c r="L989" t="str" cm="1">
        <f t="array" ref="L989">_xlfn.IFS(B989&lt;30,"18-29",B989&lt;45,"30-44",B989&lt;60,"45-59",B989&lt;75,"60-74",B989&lt;=90,"75-90")</f>
        <v>60-74</v>
      </c>
      <c r="M989" t="str">
        <f>IF(Table1[[#This Row],[length_of_stay_days]]&gt;7,"Yes","No")</f>
        <v>No</v>
      </c>
    </row>
    <row r="990" spans="1:13" x14ac:dyDescent="0.3">
      <c r="A990" t="s">
        <v>1387</v>
      </c>
      <c r="B990">
        <v>33</v>
      </c>
      <c r="C990" t="s">
        <v>20</v>
      </c>
      <c r="D990" t="s">
        <v>55</v>
      </c>
      <c r="E990" t="s">
        <v>14</v>
      </c>
      <c r="F990" t="s">
        <v>348</v>
      </c>
      <c r="G990" t="s">
        <v>493</v>
      </c>
      <c r="H990">
        <v>7</v>
      </c>
      <c r="I990" s="1">
        <v>12128.38</v>
      </c>
      <c r="J990" t="s">
        <v>17</v>
      </c>
      <c r="K990" t="s">
        <v>18</v>
      </c>
      <c r="L990" t="str" cm="1">
        <f t="array" ref="L990">_xlfn.IFS(B990&lt;30,"18-29",B990&lt;45,"30-44",B990&lt;60,"45-59",B990&lt;75,"60-74",B990&lt;=90,"75-90")</f>
        <v>30-44</v>
      </c>
      <c r="M990" t="str">
        <f>IF(Table1[[#This Row],[length_of_stay_days]]&gt;7,"Yes","No")</f>
        <v>No</v>
      </c>
    </row>
    <row r="991" spans="1:13" x14ac:dyDescent="0.3">
      <c r="A991" t="s">
        <v>1388</v>
      </c>
      <c r="B991">
        <v>38</v>
      </c>
      <c r="C991" t="s">
        <v>12</v>
      </c>
      <c r="D991" t="s">
        <v>46</v>
      </c>
      <c r="E991" t="s">
        <v>21</v>
      </c>
      <c r="F991" t="s">
        <v>222</v>
      </c>
      <c r="G991" t="s">
        <v>87</v>
      </c>
      <c r="H991">
        <v>8</v>
      </c>
      <c r="I991" s="1">
        <v>12770.13</v>
      </c>
      <c r="J991" t="s">
        <v>17</v>
      </c>
      <c r="K991" t="s">
        <v>44</v>
      </c>
      <c r="L991" t="str" cm="1">
        <f t="array" ref="L991">_xlfn.IFS(B991&lt;30,"18-29",B991&lt;45,"30-44",B991&lt;60,"45-59",B991&lt;75,"60-74",B991&lt;=90,"75-90")</f>
        <v>30-44</v>
      </c>
      <c r="M991" t="str">
        <f>IF(Table1[[#This Row],[length_of_stay_days]]&gt;7,"Yes","No")</f>
        <v>Yes</v>
      </c>
    </row>
    <row r="992" spans="1:13" x14ac:dyDescent="0.3">
      <c r="A992" t="s">
        <v>1389</v>
      </c>
      <c r="B992">
        <v>61</v>
      </c>
      <c r="C992" t="s">
        <v>20</v>
      </c>
      <c r="D992" t="s">
        <v>55</v>
      </c>
      <c r="E992" t="s">
        <v>21</v>
      </c>
      <c r="F992" t="s">
        <v>382</v>
      </c>
      <c r="G992" t="s">
        <v>1248</v>
      </c>
      <c r="H992">
        <v>11</v>
      </c>
      <c r="I992" s="1">
        <v>12874.43</v>
      </c>
      <c r="J992" t="s">
        <v>17</v>
      </c>
      <c r="K992" t="s">
        <v>18</v>
      </c>
      <c r="L992" t="str" cm="1">
        <f t="array" ref="L992">_xlfn.IFS(B992&lt;30,"18-29",B992&lt;45,"30-44",B992&lt;60,"45-59",B992&lt;75,"60-74",B992&lt;=90,"75-90")</f>
        <v>60-74</v>
      </c>
      <c r="M992" t="str">
        <f>IF(Table1[[#This Row],[length_of_stay_days]]&gt;7,"Yes","No")</f>
        <v>Yes</v>
      </c>
    </row>
    <row r="993" spans="1:13" x14ac:dyDescent="0.3">
      <c r="A993" t="s">
        <v>1390</v>
      </c>
      <c r="B993">
        <v>71</v>
      </c>
      <c r="C993" t="s">
        <v>12</v>
      </c>
      <c r="D993" t="s">
        <v>55</v>
      </c>
      <c r="E993" t="s">
        <v>28</v>
      </c>
      <c r="F993" t="s">
        <v>527</v>
      </c>
      <c r="G993" t="s">
        <v>469</v>
      </c>
      <c r="H993">
        <v>6</v>
      </c>
      <c r="I993" s="1">
        <v>9126.2900000000009</v>
      </c>
      <c r="J993" t="s">
        <v>17</v>
      </c>
      <c r="K993" t="s">
        <v>18</v>
      </c>
      <c r="L993" t="str" cm="1">
        <f t="array" ref="L993">_xlfn.IFS(B993&lt;30,"18-29",B993&lt;45,"30-44",B993&lt;60,"45-59",B993&lt;75,"60-74",B993&lt;=90,"75-90")</f>
        <v>60-74</v>
      </c>
      <c r="M993" t="str">
        <f>IF(Table1[[#This Row],[length_of_stay_days]]&gt;7,"Yes","No")</f>
        <v>No</v>
      </c>
    </row>
    <row r="994" spans="1:13" x14ac:dyDescent="0.3">
      <c r="A994" t="s">
        <v>1391</v>
      </c>
      <c r="B994">
        <v>47</v>
      </c>
      <c r="C994" t="s">
        <v>20</v>
      </c>
      <c r="D994" t="s">
        <v>55</v>
      </c>
      <c r="E994" t="s">
        <v>14</v>
      </c>
      <c r="F994" t="s">
        <v>742</v>
      </c>
      <c r="G994" t="s">
        <v>319</v>
      </c>
      <c r="H994">
        <v>8</v>
      </c>
      <c r="I994" s="1">
        <v>10517.2</v>
      </c>
      <c r="J994" t="s">
        <v>17</v>
      </c>
      <c r="K994" t="s">
        <v>18</v>
      </c>
      <c r="L994" t="str" cm="1">
        <f t="array" ref="L994">_xlfn.IFS(B994&lt;30,"18-29",B994&lt;45,"30-44",B994&lt;60,"45-59",B994&lt;75,"60-74",B994&lt;=90,"75-90")</f>
        <v>45-59</v>
      </c>
      <c r="M994" t="str">
        <f>IF(Table1[[#This Row],[length_of_stay_days]]&gt;7,"Yes","No")</f>
        <v>Yes</v>
      </c>
    </row>
    <row r="995" spans="1:13" x14ac:dyDescent="0.3">
      <c r="A995" t="s">
        <v>1392</v>
      </c>
      <c r="B995">
        <v>82</v>
      </c>
      <c r="C995" t="s">
        <v>20</v>
      </c>
      <c r="D995" t="s">
        <v>28</v>
      </c>
      <c r="E995" t="s">
        <v>14</v>
      </c>
      <c r="F995" t="s">
        <v>724</v>
      </c>
      <c r="G995" t="s">
        <v>280</v>
      </c>
      <c r="H995">
        <v>7</v>
      </c>
      <c r="I995" s="1">
        <v>5966.01</v>
      </c>
      <c r="J995" t="s">
        <v>17</v>
      </c>
      <c r="K995" t="s">
        <v>18</v>
      </c>
      <c r="L995" t="str" cm="1">
        <f t="array" ref="L995">_xlfn.IFS(B995&lt;30,"18-29",B995&lt;45,"30-44",B995&lt;60,"45-59",B995&lt;75,"60-74",B995&lt;=90,"75-90")</f>
        <v>75-90</v>
      </c>
      <c r="M995" t="str">
        <f>IF(Table1[[#This Row],[length_of_stay_days]]&gt;7,"Yes","No")</f>
        <v>No</v>
      </c>
    </row>
    <row r="996" spans="1:13" x14ac:dyDescent="0.3">
      <c r="A996" t="s">
        <v>1393</v>
      </c>
      <c r="B996">
        <v>71</v>
      </c>
      <c r="C996" t="s">
        <v>12</v>
      </c>
      <c r="D996" t="s">
        <v>13</v>
      </c>
      <c r="E996" t="s">
        <v>28</v>
      </c>
      <c r="F996" t="s">
        <v>454</v>
      </c>
      <c r="G996" t="s">
        <v>581</v>
      </c>
      <c r="H996">
        <v>7</v>
      </c>
      <c r="I996" s="1">
        <v>9167.52</v>
      </c>
      <c r="J996" t="s">
        <v>49</v>
      </c>
      <c r="K996" t="s">
        <v>18</v>
      </c>
      <c r="L996" t="str" cm="1">
        <f t="array" ref="L996">_xlfn.IFS(B996&lt;30,"18-29",B996&lt;45,"30-44",B996&lt;60,"45-59",B996&lt;75,"60-74",B996&lt;=90,"75-90")</f>
        <v>60-74</v>
      </c>
      <c r="M996" t="str">
        <f>IF(Table1[[#This Row],[length_of_stay_days]]&gt;7,"Yes","No")</f>
        <v>No</v>
      </c>
    </row>
    <row r="997" spans="1:13" x14ac:dyDescent="0.3">
      <c r="A997" t="s">
        <v>1394</v>
      </c>
      <c r="B997">
        <v>57</v>
      </c>
      <c r="C997" t="s">
        <v>20</v>
      </c>
      <c r="D997" t="s">
        <v>13</v>
      </c>
      <c r="E997" t="s">
        <v>14</v>
      </c>
      <c r="F997" t="s">
        <v>537</v>
      </c>
      <c r="G997" t="s">
        <v>449</v>
      </c>
      <c r="H997">
        <v>9</v>
      </c>
      <c r="I997" s="1">
        <v>9312.0400000000009</v>
      </c>
      <c r="J997" t="s">
        <v>17</v>
      </c>
      <c r="K997" t="s">
        <v>18</v>
      </c>
      <c r="L997" t="str" cm="1">
        <f t="array" ref="L997">_xlfn.IFS(B997&lt;30,"18-29",B997&lt;45,"30-44",B997&lt;60,"45-59",B997&lt;75,"60-74",B997&lt;=90,"75-90")</f>
        <v>45-59</v>
      </c>
      <c r="M997" t="str">
        <f>IF(Table1[[#This Row],[length_of_stay_days]]&gt;7,"Yes","No")</f>
        <v>Yes</v>
      </c>
    </row>
    <row r="998" spans="1:13" x14ac:dyDescent="0.3">
      <c r="A998" t="s">
        <v>1395</v>
      </c>
      <c r="B998">
        <v>32</v>
      </c>
      <c r="C998" t="s">
        <v>12</v>
      </c>
      <c r="D998" t="s">
        <v>32</v>
      </c>
      <c r="E998" t="s">
        <v>28</v>
      </c>
      <c r="F998" t="s">
        <v>56</v>
      </c>
      <c r="G998" t="s">
        <v>616</v>
      </c>
      <c r="H998">
        <v>6</v>
      </c>
      <c r="I998" s="1">
        <v>11850.92</v>
      </c>
      <c r="J998" t="s">
        <v>17</v>
      </c>
      <c r="K998" t="s">
        <v>18</v>
      </c>
      <c r="L998" t="str" cm="1">
        <f t="array" ref="L998">_xlfn.IFS(B998&lt;30,"18-29",B998&lt;45,"30-44",B998&lt;60,"45-59",B998&lt;75,"60-74",B998&lt;=90,"75-90")</f>
        <v>30-44</v>
      </c>
      <c r="M998" t="str">
        <f>IF(Table1[[#This Row],[length_of_stay_days]]&gt;7,"Yes","No")</f>
        <v>No</v>
      </c>
    </row>
    <row r="999" spans="1:13" x14ac:dyDescent="0.3">
      <c r="A999" t="s">
        <v>1396</v>
      </c>
      <c r="B999">
        <v>49</v>
      </c>
      <c r="C999" t="s">
        <v>12</v>
      </c>
      <c r="D999" t="s">
        <v>32</v>
      </c>
      <c r="E999" t="s">
        <v>28</v>
      </c>
      <c r="F999" t="s">
        <v>163</v>
      </c>
      <c r="G999" t="s">
        <v>308</v>
      </c>
      <c r="H999">
        <v>8</v>
      </c>
      <c r="I999" s="1">
        <v>14710.13</v>
      </c>
      <c r="J999" t="s">
        <v>17</v>
      </c>
      <c r="K999" t="s">
        <v>18</v>
      </c>
      <c r="L999" t="str" cm="1">
        <f t="array" ref="L999">_xlfn.IFS(B999&lt;30,"18-29",B999&lt;45,"30-44",B999&lt;60,"45-59",B999&lt;75,"60-74",B999&lt;=90,"75-90")</f>
        <v>45-59</v>
      </c>
      <c r="M999" t="str">
        <f>IF(Table1[[#This Row],[length_of_stay_days]]&gt;7,"Yes","No")</f>
        <v>Yes</v>
      </c>
    </row>
    <row r="1000" spans="1:13" x14ac:dyDescent="0.3">
      <c r="A1000" t="s">
        <v>1397</v>
      </c>
      <c r="B1000">
        <v>64</v>
      </c>
      <c r="C1000" t="s">
        <v>12</v>
      </c>
      <c r="D1000" t="s">
        <v>28</v>
      </c>
      <c r="E1000" t="s">
        <v>21</v>
      </c>
      <c r="F1000" t="s">
        <v>39</v>
      </c>
      <c r="G1000" t="s">
        <v>405</v>
      </c>
      <c r="H1000">
        <v>5</v>
      </c>
      <c r="I1000" s="1">
        <v>8020.64</v>
      </c>
      <c r="J1000" t="s">
        <v>17</v>
      </c>
      <c r="K1000" t="s">
        <v>44</v>
      </c>
      <c r="L1000" t="str" cm="1">
        <f t="array" ref="L1000">_xlfn.IFS(B1000&lt;30,"18-29",B1000&lt;45,"30-44",B1000&lt;60,"45-59",B1000&lt;75,"60-74",B1000&lt;=90,"75-90")</f>
        <v>60-74</v>
      </c>
      <c r="M1000" t="str">
        <f>IF(Table1[[#This Row],[length_of_stay_days]]&gt;7,"Yes","No")</f>
        <v>No</v>
      </c>
    </row>
    <row r="1001" spans="1:13" x14ac:dyDescent="0.3">
      <c r="A1001" t="s">
        <v>1398</v>
      </c>
      <c r="B1001">
        <v>74</v>
      </c>
      <c r="C1001" t="s">
        <v>20</v>
      </c>
      <c r="D1001" t="s">
        <v>28</v>
      </c>
      <c r="E1001" t="s">
        <v>28</v>
      </c>
      <c r="F1001" t="s">
        <v>478</v>
      </c>
      <c r="G1001" t="s">
        <v>841</v>
      </c>
      <c r="H1001">
        <v>4</v>
      </c>
      <c r="I1001" s="1">
        <v>3758.58</v>
      </c>
      <c r="J1001" t="s">
        <v>17</v>
      </c>
      <c r="K1001" t="s">
        <v>18</v>
      </c>
      <c r="L1001" t="str" cm="1">
        <f t="array" ref="L1001">_xlfn.IFS(B1001&lt;30,"18-29",B1001&lt;45,"30-44",B1001&lt;60,"45-59",B1001&lt;75,"60-74",B1001&lt;=90,"75-90")</f>
        <v>60-74</v>
      </c>
      <c r="M1001" t="str">
        <f>IF(Table1[[#This Row],[length_of_stay_days]]&gt;7,"Yes","No")</f>
        <v>No</v>
      </c>
    </row>
    <row r="1002" spans="1:13" x14ac:dyDescent="0.3">
      <c r="A1002" t="s">
        <v>1399</v>
      </c>
      <c r="B1002">
        <v>37</v>
      </c>
      <c r="C1002" t="s">
        <v>20</v>
      </c>
      <c r="D1002" t="s">
        <v>28</v>
      </c>
      <c r="E1002" t="s">
        <v>14</v>
      </c>
      <c r="F1002" t="s">
        <v>520</v>
      </c>
      <c r="G1002" t="s">
        <v>80</v>
      </c>
      <c r="H1002">
        <v>4</v>
      </c>
      <c r="I1002" s="1">
        <v>5222.2</v>
      </c>
      <c r="J1002" t="s">
        <v>17</v>
      </c>
      <c r="K1002" t="s">
        <v>18</v>
      </c>
      <c r="L1002" t="str" cm="1">
        <f t="array" ref="L1002">_xlfn.IFS(B1002&lt;30,"18-29",B1002&lt;45,"30-44",B1002&lt;60,"45-59",B1002&lt;75,"60-74",B1002&lt;=90,"75-90")</f>
        <v>30-44</v>
      </c>
      <c r="M1002" t="str">
        <f>IF(Table1[[#This Row],[length_of_stay_days]]&gt;7,"Yes","No")</f>
        <v>No</v>
      </c>
    </row>
    <row r="1003" spans="1:13" x14ac:dyDescent="0.3">
      <c r="A1003" t="s">
        <v>1400</v>
      </c>
      <c r="B1003">
        <v>84</v>
      </c>
      <c r="C1003" t="s">
        <v>20</v>
      </c>
      <c r="D1003" t="s">
        <v>51</v>
      </c>
      <c r="E1003" t="s">
        <v>28</v>
      </c>
      <c r="F1003" t="s">
        <v>258</v>
      </c>
      <c r="G1003" t="s">
        <v>298</v>
      </c>
      <c r="H1003">
        <v>5</v>
      </c>
      <c r="I1003" s="1">
        <v>10717.44</v>
      </c>
      <c r="J1003" t="s">
        <v>17</v>
      </c>
      <c r="K1003" t="s">
        <v>18</v>
      </c>
      <c r="L1003" t="str" cm="1">
        <f t="array" ref="L1003">_xlfn.IFS(B1003&lt;30,"18-29",B1003&lt;45,"30-44",B1003&lt;60,"45-59",B1003&lt;75,"60-74",B1003&lt;=90,"75-90")</f>
        <v>75-90</v>
      </c>
      <c r="M1003" t="str">
        <f>IF(Table1[[#This Row],[length_of_stay_days]]&gt;7,"Yes","No")</f>
        <v>No</v>
      </c>
    </row>
    <row r="1004" spans="1:13" x14ac:dyDescent="0.3">
      <c r="A1004" t="s">
        <v>1401</v>
      </c>
      <c r="B1004">
        <v>23</v>
      </c>
      <c r="C1004" t="s">
        <v>20</v>
      </c>
      <c r="D1004" t="s">
        <v>28</v>
      </c>
      <c r="E1004" t="s">
        <v>28</v>
      </c>
      <c r="F1004" t="s">
        <v>98</v>
      </c>
      <c r="G1004" t="s">
        <v>558</v>
      </c>
      <c r="H1004">
        <v>7</v>
      </c>
      <c r="I1004" s="1">
        <v>10526.05</v>
      </c>
      <c r="J1004" t="s">
        <v>17</v>
      </c>
      <c r="K1004" t="s">
        <v>18</v>
      </c>
      <c r="L1004" t="str" cm="1">
        <f t="array" ref="L1004">_xlfn.IFS(B1004&lt;30,"18-29",B1004&lt;45,"30-44",B1004&lt;60,"45-59",B1004&lt;75,"60-74",B1004&lt;=90,"75-90")</f>
        <v>18-29</v>
      </c>
      <c r="M1004" t="str">
        <f>IF(Table1[[#This Row],[length_of_stay_days]]&gt;7,"Yes","No")</f>
        <v>No</v>
      </c>
    </row>
    <row r="1005" spans="1:13" x14ac:dyDescent="0.3">
      <c r="A1005" t="s">
        <v>1402</v>
      </c>
      <c r="B1005">
        <v>81</v>
      </c>
      <c r="C1005" t="s">
        <v>20</v>
      </c>
      <c r="D1005" t="s">
        <v>13</v>
      </c>
      <c r="E1005" t="s">
        <v>28</v>
      </c>
      <c r="F1005" t="s">
        <v>162</v>
      </c>
      <c r="G1005" t="s">
        <v>231</v>
      </c>
      <c r="H1005">
        <v>5</v>
      </c>
      <c r="I1005" s="1">
        <v>9300.2999999999993</v>
      </c>
      <c r="J1005" t="s">
        <v>17</v>
      </c>
      <c r="K1005" t="s">
        <v>18</v>
      </c>
      <c r="L1005" t="str" cm="1">
        <f t="array" ref="L1005">_xlfn.IFS(B1005&lt;30,"18-29",B1005&lt;45,"30-44",B1005&lt;60,"45-59",B1005&lt;75,"60-74",B1005&lt;=90,"75-90")</f>
        <v>75-90</v>
      </c>
      <c r="M1005" t="str">
        <f>IF(Table1[[#This Row],[length_of_stay_days]]&gt;7,"Yes","No")</f>
        <v>No</v>
      </c>
    </row>
    <row r="1006" spans="1:13" x14ac:dyDescent="0.3">
      <c r="A1006" t="s">
        <v>1403</v>
      </c>
      <c r="B1006">
        <v>29</v>
      </c>
      <c r="C1006" t="s">
        <v>20</v>
      </c>
      <c r="D1006" t="s">
        <v>28</v>
      </c>
      <c r="E1006" t="s">
        <v>21</v>
      </c>
      <c r="F1006" t="s">
        <v>273</v>
      </c>
      <c r="G1006" t="s">
        <v>92</v>
      </c>
      <c r="H1006">
        <v>1</v>
      </c>
      <c r="I1006" s="1">
        <v>3382.13</v>
      </c>
      <c r="J1006" t="s">
        <v>17</v>
      </c>
      <c r="K1006" t="s">
        <v>18</v>
      </c>
      <c r="L1006" t="str" cm="1">
        <f t="array" ref="L1006">_xlfn.IFS(B1006&lt;30,"18-29",B1006&lt;45,"30-44",B1006&lt;60,"45-59",B1006&lt;75,"60-74",B1006&lt;=90,"75-90")</f>
        <v>18-29</v>
      </c>
      <c r="M1006" t="str">
        <f>IF(Table1[[#This Row],[length_of_stay_days]]&gt;7,"Yes","No")</f>
        <v>No</v>
      </c>
    </row>
    <row r="1007" spans="1:13" x14ac:dyDescent="0.3">
      <c r="A1007" t="s">
        <v>1404</v>
      </c>
      <c r="B1007">
        <v>42</v>
      </c>
      <c r="C1007" t="s">
        <v>12</v>
      </c>
      <c r="D1007" t="s">
        <v>32</v>
      </c>
      <c r="E1007" t="s">
        <v>28</v>
      </c>
      <c r="F1007" t="s">
        <v>574</v>
      </c>
      <c r="G1007" t="s">
        <v>465</v>
      </c>
      <c r="H1007">
        <v>2</v>
      </c>
      <c r="I1007" s="1">
        <v>8154.31</v>
      </c>
      <c r="J1007" t="s">
        <v>17</v>
      </c>
      <c r="K1007" t="s">
        <v>18</v>
      </c>
      <c r="L1007" t="str" cm="1">
        <f t="array" ref="L1007">_xlfn.IFS(B1007&lt;30,"18-29",B1007&lt;45,"30-44",B1007&lt;60,"45-59",B1007&lt;75,"60-74",B1007&lt;=90,"75-90")</f>
        <v>30-44</v>
      </c>
      <c r="M1007" t="str">
        <f>IF(Table1[[#This Row],[length_of_stay_days]]&gt;7,"Yes","No")</f>
        <v>No</v>
      </c>
    </row>
    <row r="1008" spans="1:13" x14ac:dyDescent="0.3">
      <c r="A1008" t="s">
        <v>1405</v>
      </c>
      <c r="B1008">
        <v>48</v>
      </c>
      <c r="C1008" t="s">
        <v>20</v>
      </c>
      <c r="D1008" t="s">
        <v>13</v>
      </c>
      <c r="E1008" t="s">
        <v>21</v>
      </c>
      <c r="F1008" t="s">
        <v>376</v>
      </c>
      <c r="G1008" t="s">
        <v>144</v>
      </c>
      <c r="H1008">
        <v>6</v>
      </c>
      <c r="I1008" s="1">
        <v>7659.72</v>
      </c>
      <c r="J1008" t="s">
        <v>17</v>
      </c>
      <c r="K1008" t="s">
        <v>44</v>
      </c>
      <c r="L1008" t="str" cm="1">
        <f t="array" ref="L1008">_xlfn.IFS(B1008&lt;30,"18-29",B1008&lt;45,"30-44",B1008&lt;60,"45-59",B1008&lt;75,"60-74",B1008&lt;=90,"75-90")</f>
        <v>45-59</v>
      </c>
      <c r="M1008" t="str">
        <f>IF(Table1[[#This Row],[length_of_stay_days]]&gt;7,"Yes","No")</f>
        <v>No</v>
      </c>
    </row>
    <row r="1009" spans="1:13" x14ac:dyDescent="0.3">
      <c r="A1009" t="s">
        <v>1406</v>
      </c>
      <c r="B1009">
        <v>79</v>
      </c>
      <c r="C1009" t="s">
        <v>12</v>
      </c>
      <c r="D1009" t="s">
        <v>55</v>
      </c>
      <c r="E1009" t="s">
        <v>14</v>
      </c>
      <c r="F1009" t="s">
        <v>523</v>
      </c>
      <c r="G1009" t="s">
        <v>52</v>
      </c>
      <c r="H1009">
        <v>6</v>
      </c>
      <c r="I1009" s="1">
        <v>10275.11</v>
      </c>
      <c r="J1009" t="s">
        <v>17</v>
      </c>
      <c r="K1009" t="s">
        <v>18</v>
      </c>
      <c r="L1009" t="str" cm="1">
        <f t="array" ref="L1009">_xlfn.IFS(B1009&lt;30,"18-29",B1009&lt;45,"30-44",B1009&lt;60,"45-59",B1009&lt;75,"60-74",B1009&lt;=90,"75-90")</f>
        <v>75-90</v>
      </c>
      <c r="M1009" t="str">
        <f>IF(Table1[[#This Row],[length_of_stay_days]]&gt;7,"Yes","No")</f>
        <v>No</v>
      </c>
    </row>
    <row r="1010" spans="1:13" x14ac:dyDescent="0.3">
      <c r="A1010" t="s">
        <v>1407</v>
      </c>
      <c r="B1010">
        <v>84</v>
      </c>
      <c r="C1010" t="s">
        <v>20</v>
      </c>
      <c r="D1010" t="s">
        <v>32</v>
      </c>
      <c r="E1010" t="s">
        <v>21</v>
      </c>
      <c r="F1010" t="s">
        <v>280</v>
      </c>
      <c r="G1010" t="s">
        <v>93</v>
      </c>
      <c r="H1010">
        <v>5</v>
      </c>
      <c r="I1010" s="1">
        <v>9502.5400000000009</v>
      </c>
      <c r="J1010" t="s">
        <v>49</v>
      </c>
      <c r="K1010" t="s">
        <v>18</v>
      </c>
      <c r="L1010" t="str" cm="1">
        <f t="array" ref="L1010">_xlfn.IFS(B1010&lt;30,"18-29",B1010&lt;45,"30-44",B1010&lt;60,"45-59",B1010&lt;75,"60-74",B1010&lt;=90,"75-90")</f>
        <v>75-90</v>
      </c>
      <c r="M1010" t="str">
        <f>IF(Table1[[#This Row],[length_of_stay_days]]&gt;7,"Yes","No")</f>
        <v>No</v>
      </c>
    </row>
    <row r="1011" spans="1:13" x14ac:dyDescent="0.3">
      <c r="A1011" t="s">
        <v>1408</v>
      </c>
      <c r="B1011">
        <v>31</v>
      </c>
      <c r="C1011" t="s">
        <v>20</v>
      </c>
      <c r="D1011" t="s">
        <v>28</v>
      </c>
      <c r="E1011" t="s">
        <v>14</v>
      </c>
      <c r="F1011" t="s">
        <v>384</v>
      </c>
      <c r="G1011" t="s">
        <v>143</v>
      </c>
      <c r="H1011">
        <v>1</v>
      </c>
      <c r="I1011" s="1">
        <v>4249.8599999999997</v>
      </c>
      <c r="J1011" t="s">
        <v>17</v>
      </c>
      <c r="K1011" t="s">
        <v>18</v>
      </c>
      <c r="L1011" t="str" cm="1">
        <f t="array" ref="L1011">_xlfn.IFS(B1011&lt;30,"18-29",B1011&lt;45,"30-44",B1011&lt;60,"45-59",B1011&lt;75,"60-74",B1011&lt;=90,"75-90")</f>
        <v>30-44</v>
      </c>
      <c r="M1011" t="str">
        <f>IF(Table1[[#This Row],[length_of_stay_days]]&gt;7,"Yes","No")</f>
        <v>No</v>
      </c>
    </row>
    <row r="1012" spans="1:13" x14ac:dyDescent="0.3">
      <c r="A1012" t="s">
        <v>1409</v>
      </c>
      <c r="B1012">
        <v>69</v>
      </c>
      <c r="C1012" t="s">
        <v>12</v>
      </c>
      <c r="D1012" t="s">
        <v>28</v>
      </c>
      <c r="E1012" t="s">
        <v>28</v>
      </c>
      <c r="F1012" t="s">
        <v>629</v>
      </c>
      <c r="G1012" t="s">
        <v>219</v>
      </c>
      <c r="H1012">
        <v>4</v>
      </c>
      <c r="I1012" s="1">
        <v>7464.11</v>
      </c>
      <c r="J1012" t="s">
        <v>17</v>
      </c>
      <c r="K1012" t="s">
        <v>18</v>
      </c>
      <c r="L1012" t="str" cm="1">
        <f t="array" ref="L1012">_xlfn.IFS(B1012&lt;30,"18-29",B1012&lt;45,"30-44",B1012&lt;60,"45-59",B1012&lt;75,"60-74",B1012&lt;=90,"75-90")</f>
        <v>60-74</v>
      </c>
      <c r="M1012" t="str">
        <f>IF(Table1[[#This Row],[length_of_stay_days]]&gt;7,"Yes","No")</f>
        <v>No</v>
      </c>
    </row>
    <row r="1013" spans="1:13" x14ac:dyDescent="0.3">
      <c r="A1013" t="s">
        <v>1410</v>
      </c>
      <c r="B1013">
        <v>38</v>
      </c>
      <c r="C1013" t="s">
        <v>20</v>
      </c>
      <c r="D1013" t="s">
        <v>32</v>
      </c>
      <c r="E1013" t="s">
        <v>21</v>
      </c>
      <c r="F1013" t="s">
        <v>309</v>
      </c>
      <c r="G1013" t="s">
        <v>727</v>
      </c>
      <c r="H1013">
        <v>6</v>
      </c>
      <c r="I1013" s="1">
        <v>11064.71</v>
      </c>
      <c r="J1013" t="s">
        <v>17</v>
      </c>
      <c r="K1013" t="s">
        <v>18</v>
      </c>
      <c r="L1013" t="str" cm="1">
        <f t="array" ref="L1013">_xlfn.IFS(B1013&lt;30,"18-29",B1013&lt;45,"30-44",B1013&lt;60,"45-59",B1013&lt;75,"60-74",B1013&lt;=90,"75-90")</f>
        <v>30-44</v>
      </c>
      <c r="M1013" t="str">
        <f>IF(Table1[[#This Row],[length_of_stay_days]]&gt;7,"Yes","No")</f>
        <v>No</v>
      </c>
    </row>
    <row r="1014" spans="1:13" x14ac:dyDescent="0.3">
      <c r="A1014" t="s">
        <v>1411</v>
      </c>
      <c r="B1014">
        <v>42</v>
      </c>
      <c r="C1014" t="s">
        <v>20</v>
      </c>
      <c r="D1014" t="s">
        <v>13</v>
      </c>
      <c r="E1014" t="s">
        <v>28</v>
      </c>
      <c r="F1014" t="s">
        <v>261</v>
      </c>
      <c r="G1014" t="s">
        <v>390</v>
      </c>
      <c r="H1014">
        <v>6</v>
      </c>
      <c r="I1014" s="1">
        <v>7291.05</v>
      </c>
      <c r="J1014" t="s">
        <v>17</v>
      </c>
      <c r="K1014" t="s">
        <v>18</v>
      </c>
      <c r="L1014" t="str" cm="1">
        <f t="array" ref="L1014">_xlfn.IFS(B1014&lt;30,"18-29",B1014&lt;45,"30-44",B1014&lt;60,"45-59",B1014&lt;75,"60-74",B1014&lt;=90,"75-90")</f>
        <v>30-44</v>
      </c>
      <c r="M1014" t="str">
        <f>IF(Table1[[#This Row],[length_of_stay_days]]&gt;7,"Yes","No")</f>
        <v>No</v>
      </c>
    </row>
    <row r="1015" spans="1:13" x14ac:dyDescent="0.3">
      <c r="A1015" t="s">
        <v>1412</v>
      </c>
      <c r="B1015">
        <v>72</v>
      </c>
      <c r="C1015" t="s">
        <v>20</v>
      </c>
      <c r="D1015" t="s">
        <v>13</v>
      </c>
      <c r="E1015" t="s">
        <v>14</v>
      </c>
      <c r="F1015" t="s">
        <v>323</v>
      </c>
      <c r="G1015" t="s">
        <v>135</v>
      </c>
      <c r="H1015">
        <v>6</v>
      </c>
      <c r="I1015" s="1">
        <v>8934.16</v>
      </c>
      <c r="J1015" t="s">
        <v>17</v>
      </c>
      <c r="K1015" t="s">
        <v>18</v>
      </c>
      <c r="L1015" t="str" cm="1">
        <f t="array" ref="L1015">_xlfn.IFS(B1015&lt;30,"18-29",B1015&lt;45,"30-44",B1015&lt;60,"45-59",B1015&lt;75,"60-74",B1015&lt;=90,"75-90")</f>
        <v>60-74</v>
      </c>
      <c r="M1015" t="str">
        <f>IF(Table1[[#This Row],[length_of_stay_days]]&gt;7,"Yes","No")</f>
        <v>No</v>
      </c>
    </row>
    <row r="1016" spans="1:13" x14ac:dyDescent="0.3">
      <c r="A1016" t="s">
        <v>1413</v>
      </c>
      <c r="B1016">
        <v>90</v>
      </c>
      <c r="C1016" t="s">
        <v>12</v>
      </c>
      <c r="D1016" t="s">
        <v>28</v>
      </c>
      <c r="E1016" t="s">
        <v>28</v>
      </c>
      <c r="F1016" t="s">
        <v>436</v>
      </c>
      <c r="G1016" t="s">
        <v>89</v>
      </c>
      <c r="H1016">
        <v>8</v>
      </c>
      <c r="I1016" s="1">
        <v>7028.29</v>
      </c>
      <c r="J1016" t="s">
        <v>17</v>
      </c>
      <c r="K1016" t="s">
        <v>18</v>
      </c>
      <c r="L1016" t="str" cm="1">
        <f t="array" ref="L1016">_xlfn.IFS(B1016&lt;30,"18-29",B1016&lt;45,"30-44",B1016&lt;60,"45-59",B1016&lt;75,"60-74",B1016&lt;=90,"75-90")</f>
        <v>75-90</v>
      </c>
      <c r="M1016" t="str">
        <f>IF(Table1[[#This Row],[length_of_stay_days]]&gt;7,"Yes","No")</f>
        <v>Yes</v>
      </c>
    </row>
    <row r="1017" spans="1:13" x14ac:dyDescent="0.3">
      <c r="A1017" t="s">
        <v>1414</v>
      </c>
      <c r="B1017">
        <v>73</v>
      </c>
      <c r="C1017" t="s">
        <v>12</v>
      </c>
      <c r="D1017" t="s">
        <v>28</v>
      </c>
      <c r="E1017" t="s">
        <v>14</v>
      </c>
      <c r="F1017" t="s">
        <v>388</v>
      </c>
      <c r="G1017" t="s">
        <v>173</v>
      </c>
      <c r="H1017">
        <v>6</v>
      </c>
      <c r="I1017" s="1">
        <v>7060.69</v>
      </c>
      <c r="J1017" t="s">
        <v>49</v>
      </c>
      <c r="K1017" t="s">
        <v>18</v>
      </c>
      <c r="L1017" t="str" cm="1">
        <f t="array" ref="L1017">_xlfn.IFS(B1017&lt;30,"18-29",B1017&lt;45,"30-44",B1017&lt;60,"45-59",B1017&lt;75,"60-74",B1017&lt;=90,"75-90")</f>
        <v>60-74</v>
      </c>
      <c r="M1017" t="str">
        <f>IF(Table1[[#This Row],[length_of_stay_days]]&gt;7,"Yes","No")</f>
        <v>No</v>
      </c>
    </row>
    <row r="1018" spans="1:13" x14ac:dyDescent="0.3">
      <c r="A1018" t="s">
        <v>1415</v>
      </c>
      <c r="B1018">
        <v>22</v>
      </c>
      <c r="C1018" t="s">
        <v>12</v>
      </c>
      <c r="D1018" t="s">
        <v>46</v>
      </c>
      <c r="E1018" t="s">
        <v>14</v>
      </c>
      <c r="F1018" t="s">
        <v>658</v>
      </c>
      <c r="G1018" t="s">
        <v>620</v>
      </c>
      <c r="H1018">
        <v>6</v>
      </c>
      <c r="I1018" s="1">
        <v>10795.53</v>
      </c>
      <c r="J1018" t="s">
        <v>49</v>
      </c>
      <c r="K1018" t="s">
        <v>18</v>
      </c>
      <c r="L1018" t="str" cm="1">
        <f t="array" ref="L1018">_xlfn.IFS(B1018&lt;30,"18-29",B1018&lt;45,"30-44",B1018&lt;60,"45-59",B1018&lt;75,"60-74",B1018&lt;=90,"75-90")</f>
        <v>18-29</v>
      </c>
      <c r="M1018" t="str">
        <f>IF(Table1[[#This Row],[length_of_stay_days]]&gt;7,"Yes","No")</f>
        <v>No</v>
      </c>
    </row>
    <row r="1019" spans="1:13" x14ac:dyDescent="0.3">
      <c r="A1019" t="s">
        <v>1416</v>
      </c>
      <c r="B1019">
        <v>40</v>
      </c>
      <c r="C1019" t="s">
        <v>20</v>
      </c>
      <c r="D1019" t="s">
        <v>13</v>
      </c>
      <c r="E1019" t="s">
        <v>28</v>
      </c>
      <c r="F1019" t="s">
        <v>765</v>
      </c>
      <c r="G1019" t="s">
        <v>1018</v>
      </c>
      <c r="H1019">
        <v>8</v>
      </c>
      <c r="I1019" s="1">
        <v>9922.43</v>
      </c>
      <c r="J1019" t="s">
        <v>17</v>
      </c>
      <c r="K1019" t="s">
        <v>18</v>
      </c>
      <c r="L1019" t="str" cm="1">
        <f t="array" ref="L1019">_xlfn.IFS(B1019&lt;30,"18-29",B1019&lt;45,"30-44",B1019&lt;60,"45-59",B1019&lt;75,"60-74",B1019&lt;=90,"75-90")</f>
        <v>30-44</v>
      </c>
      <c r="M1019" t="str">
        <f>IF(Table1[[#This Row],[length_of_stay_days]]&gt;7,"Yes","No")</f>
        <v>Yes</v>
      </c>
    </row>
    <row r="1020" spans="1:13" x14ac:dyDescent="0.3">
      <c r="A1020" t="s">
        <v>1417</v>
      </c>
      <c r="B1020">
        <v>44</v>
      </c>
      <c r="C1020" t="s">
        <v>20</v>
      </c>
      <c r="D1020" t="s">
        <v>51</v>
      </c>
      <c r="E1020" t="s">
        <v>28</v>
      </c>
      <c r="F1020" t="s">
        <v>200</v>
      </c>
      <c r="G1020" t="s">
        <v>1181</v>
      </c>
      <c r="H1020">
        <v>6</v>
      </c>
      <c r="I1020" s="1">
        <v>10176.959999999999</v>
      </c>
      <c r="J1020" t="s">
        <v>17</v>
      </c>
      <c r="K1020" t="s">
        <v>18</v>
      </c>
      <c r="L1020" t="str" cm="1">
        <f t="array" ref="L1020">_xlfn.IFS(B1020&lt;30,"18-29",B1020&lt;45,"30-44",B1020&lt;60,"45-59",B1020&lt;75,"60-74",B1020&lt;=90,"75-90")</f>
        <v>30-44</v>
      </c>
      <c r="M1020" t="str">
        <f>IF(Table1[[#This Row],[length_of_stay_days]]&gt;7,"Yes","No")</f>
        <v>No</v>
      </c>
    </row>
    <row r="1021" spans="1:13" x14ac:dyDescent="0.3">
      <c r="A1021" t="s">
        <v>1418</v>
      </c>
      <c r="B1021">
        <v>42</v>
      </c>
      <c r="C1021" t="s">
        <v>20</v>
      </c>
      <c r="D1021" t="s">
        <v>46</v>
      </c>
      <c r="E1021" t="s">
        <v>21</v>
      </c>
      <c r="F1021" t="s">
        <v>80</v>
      </c>
      <c r="G1021" t="s">
        <v>81</v>
      </c>
      <c r="H1021">
        <v>6</v>
      </c>
      <c r="I1021" s="1">
        <v>13052.2</v>
      </c>
      <c r="J1021" t="s">
        <v>17</v>
      </c>
      <c r="K1021" t="s">
        <v>18</v>
      </c>
      <c r="L1021" t="str" cm="1">
        <f t="array" ref="L1021">_xlfn.IFS(B1021&lt;30,"18-29",B1021&lt;45,"30-44",B1021&lt;60,"45-59",B1021&lt;75,"60-74",B1021&lt;=90,"75-90")</f>
        <v>30-44</v>
      </c>
      <c r="M1021" t="str">
        <f>IF(Table1[[#This Row],[length_of_stay_days]]&gt;7,"Yes","No")</f>
        <v>No</v>
      </c>
    </row>
    <row r="1022" spans="1:13" x14ac:dyDescent="0.3">
      <c r="A1022" t="s">
        <v>1419</v>
      </c>
      <c r="B1022">
        <v>37</v>
      </c>
      <c r="C1022" t="s">
        <v>20</v>
      </c>
      <c r="D1022" t="s">
        <v>28</v>
      </c>
      <c r="E1022" t="s">
        <v>14</v>
      </c>
      <c r="F1022" t="s">
        <v>341</v>
      </c>
      <c r="G1022" t="s">
        <v>231</v>
      </c>
      <c r="H1022">
        <v>4</v>
      </c>
      <c r="I1022" s="1">
        <v>4315.55</v>
      </c>
      <c r="J1022" t="s">
        <v>49</v>
      </c>
      <c r="K1022" t="s">
        <v>18</v>
      </c>
      <c r="L1022" t="str" cm="1">
        <f t="array" ref="L1022">_xlfn.IFS(B1022&lt;30,"18-29",B1022&lt;45,"30-44",B1022&lt;60,"45-59",B1022&lt;75,"60-74",B1022&lt;=90,"75-90")</f>
        <v>30-44</v>
      </c>
      <c r="M1022" t="str">
        <f>IF(Table1[[#This Row],[length_of_stay_days]]&gt;7,"Yes","No")</f>
        <v>No</v>
      </c>
    </row>
    <row r="1023" spans="1:13" x14ac:dyDescent="0.3">
      <c r="A1023" t="s">
        <v>1420</v>
      </c>
      <c r="B1023">
        <v>68</v>
      </c>
      <c r="C1023" t="s">
        <v>20</v>
      </c>
      <c r="D1023" t="s">
        <v>55</v>
      </c>
      <c r="E1023" t="s">
        <v>21</v>
      </c>
      <c r="F1023" t="s">
        <v>129</v>
      </c>
      <c r="G1023" t="s">
        <v>386</v>
      </c>
      <c r="H1023">
        <v>6</v>
      </c>
      <c r="I1023" s="1">
        <v>8266.68</v>
      </c>
      <c r="J1023" t="s">
        <v>17</v>
      </c>
      <c r="K1023" t="s">
        <v>18</v>
      </c>
      <c r="L1023" t="str" cm="1">
        <f t="array" ref="L1023">_xlfn.IFS(B1023&lt;30,"18-29",B1023&lt;45,"30-44",B1023&lt;60,"45-59",B1023&lt;75,"60-74",B1023&lt;=90,"75-90")</f>
        <v>60-74</v>
      </c>
      <c r="M1023" t="str">
        <f>IF(Table1[[#This Row],[length_of_stay_days]]&gt;7,"Yes","No")</f>
        <v>No</v>
      </c>
    </row>
    <row r="1024" spans="1:13" x14ac:dyDescent="0.3">
      <c r="A1024" t="s">
        <v>1421</v>
      </c>
      <c r="B1024">
        <v>33</v>
      </c>
      <c r="C1024" t="s">
        <v>20</v>
      </c>
      <c r="D1024" t="s">
        <v>28</v>
      </c>
      <c r="E1024" t="s">
        <v>28</v>
      </c>
      <c r="F1024" t="s">
        <v>428</v>
      </c>
      <c r="G1024" t="s">
        <v>158</v>
      </c>
      <c r="H1024">
        <v>5</v>
      </c>
      <c r="I1024" s="1">
        <v>8274.09</v>
      </c>
      <c r="J1024" t="s">
        <v>17</v>
      </c>
      <c r="K1024" t="s">
        <v>44</v>
      </c>
      <c r="L1024" t="str" cm="1">
        <f t="array" ref="L1024">_xlfn.IFS(B1024&lt;30,"18-29",B1024&lt;45,"30-44",B1024&lt;60,"45-59",B1024&lt;75,"60-74",B1024&lt;=90,"75-90")</f>
        <v>30-44</v>
      </c>
      <c r="M1024" t="str">
        <f>IF(Table1[[#This Row],[length_of_stay_days]]&gt;7,"Yes","No")</f>
        <v>No</v>
      </c>
    </row>
    <row r="1025" spans="1:13" x14ac:dyDescent="0.3">
      <c r="A1025" t="s">
        <v>1422</v>
      </c>
      <c r="B1025">
        <v>23</v>
      </c>
      <c r="C1025" t="s">
        <v>20</v>
      </c>
      <c r="D1025" t="s">
        <v>13</v>
      </c>
      <c r="E1025" t="s">
        <v>14</v>
      </c>
      <c r="F1025" t="s">
        <v>367</v>
      </c>
      <c r="G1025" t="s">
        <v>95</v>
      </c>
      <c r="H1025">
        <v>2</v>
      </c>
      <c r="I1025" s="1">
        <v>8764.6</v>
      </c>
      <c r="J1025" t="s">
        <v>17</v>
      </c>
      <c r="K1025" t="s">
        <v>18</v>
      </c>
      <c r="L1025" t="str" cm="1">
        <f t="array" ref="L1025">_xlfn.IFS(B1025&lt;30,"18-29",B1025&lt;45,"30-44",B1025&lt;60,"45-59",B1025&lt;75,"60-74",B1025&lt;=90,"75-90")</f>
        <v>18-29</v>
      </c>
      <c r="M1025" t="str">
        <f>IF(Table1[[#This Row],[length_of_stay_days]]&gt;7,"Yes","No")</f>
        <v>No</v>
      </c>
    </row>
    <row r="1026" spans="1:13" x14ac:dyDescent="0.3">
      <c r="A1026" t="s">
        <v>1423</v>
      </c>
      <c r="B1026">
        <v>57</v>
      </c>
      <c r="C1026" t="s">
        <v>20</v>
      </c>
      <c r="D1026" t="s">
        <v>13</v>
      </c>
      <c r="E1026" t="s">
        <v>14</v>
      </c>
      <c r="F1026" t="s">
        <v>207</v>
      </c>
      <c r="G1026" t="s">
        <v>422</v>
      </c>
      <c r="H1026">
        <v>4</v>
      </c>
      <c r="I1026" s="1">
        <v>6111.5</v>
      </c>
      <c r="J1026" t="s">
        <v>17</v>
      </c>
      <c r="K1026" t="s">
        <v>18</v>
      </c>
      <c r="L1026" t="str" cm="1">
        <f t="array" ref="L1026">_xlfn.IFS(B1026&lt;30,"18-29",B1026&lt;45,"30-44",B1026&lt;60,"45-59",B1026&lt;75,"60-74",B1026&lt;=90,"75-90")</f>
        <v>45-59</v>
      </c>
      <c r="M1026" t="str">
        <f>IF(Table1[[#This Row],[length_of_stay_days]]&gt;7,"Yes","No")</f>
        <v>No</v>
      </c>
    </row>
    <row r="1027" spans="1:13" x14ac:dyDescent="0.3">
      <c r="A1027" t="s">
        <v>1424</v>
      </c>
      <c r="B1027">
        <v>61</v>
      </c>
      <c r="C1027" t="s">
        <v>20</v>
      </c>
      <c r="D1027" t="s">
        <v>13</v>
      </c>
      <c r="E1027" t="s">
        <v>28</v>
      </c>
      <c r="F1027" t="s">
        <v>364</v>
      </c>
      <c r="G1027" t="s">
        <v>62</v>
      </c>
      <c r="H1027">
        <v>7</v>
      </c>
      <c r="I1027" s="1">
        <v>9072.41</v>
      </c>
      <c r="J1027" t="s">
        <v>17</v>
      </c>
      <c r="K1027" t="s">
        <v>18</v>
      </c>
      <c r="L1027" t="str" cm="1">
        <f t="array" ref="L1027">_xlfn.IFS(B1027&lt;30,"18-29",B1027&lt;45,"30-44",B1027&lt;60,"45-59",B1027&lt;75,"60-74",B1027&lt;=90,"75-90")</f>
        <v>60-74</v>
      </c>
      <c r="M1027" t="str">
        <f>IF(Table1[[#This Row],[length_of_stay_days]]&gt;7,"Yes","No")</f>
        <v>No</v>
      </c>
    </row>
    <row r="1028" spans="1:13" x14ac:dyDescent="0.3">
      <c r="A1028" t="s">
        <v>1425</v>
      </c>
      <c r="B1028">
        <v>52</v>
      </c>
      <c r="C1028" t="s">
        <v>20</v>
      </c>
      <c r="D1028" t="s">
        <v>28</v>
      </c>
      <c r="E1028" t="s">
        <v>28</v>
      </c>
      <c r="F1028" t="s">
        <v>306</v>
      </c>
      <c r="G1028" t="s">
        <v>425</v>
      </c>
      <c r="H1028">
        <v>1</v>
      </c>
      <c r="I1028" s="1">
        <v>3925.35</v>
      </c>
      <c r="J1028" t="s">
        <v>17</v>
      </c>
      <c r="K1028" t="s">
        <v>18</v>
      </c>
      <c r="L1028" t="str" cm="1">
        <f t="array" ref="L1028">_xlfn.IFS(B1028&lt;30,"18-29",B1028&lt;45,"30-44",B1028&lt;60,"45-59",B1028&lt;75,"60-74",B1028&lt;=90,"75-90")</f>
        <v>45-59</v>
      </c>
      <c r="M1028" t="str">
        <f>IF(Table1[[#This Row],[length_of_stay_days]]&gt;7,"Yes","No")</f>
        <v>No</v>
      </c>
    </row>
    <row r="1029" spans="1:13" x14ac:dyDescent="0.3">
      <c r="A1029" t="s">
        <v>1426</v>
      </c>
      <c r="B1029">
        <v>40</v>
      </c>
      <c r="C1029" t="s">
        <v>20</v>
      </c>
      <c r="D1029" t="s">
        <v>28</v>
      </c>
      <c r="E1029" t="s">
        <v>28</v>
      </c>
      <c r="F1029" t="s">
        <v>42</v>
      </c>
      <c r="G1029" t="s">
        <v>471</v>
      </c>
      <c r="H1029">
        <v>2</v>
      </c>
      <c r="I1029" s="1">
        <v>2919.51</v>
      </c>
      <c r="J1029" t="s">
        <v>17</v>
      </c>
      <c r="K1029" t="s">
        <v>18</v>
      </c>
      <c r="L1029" t="str" cm="1">
        <f t="array" ref="L1029">_xlfn.IFS(B1029&lt;30,"18-29",B1029&lt;45,"30-44",B1029&lt;60,"45-59",B1029&lt;75,"60-74",B1029&lt;=90,"75-90")</f>
        <v>30-44</v>
      </c>
      <c r="M1029" t="str">
        <f>IF(Table1[[#This Row],[length_of_stay_days]]&gt;7,"Yes","No")</f>
        <v>No</v>
      </c>
    </row>
    <row r="1030" spans="1:13" x14ac:dyDescent="0.3">
      <c r="A1030" t="s">
        <v>1427</v>
      </c>
      <c r="B1030">
        <v>81</v>
      </c>
      <c r="C1030" t="s">
        <v>12</v>
      </c>
      <c r="D1030" t="s">
        <v>13</v>
      </c>
      <c r="E1030" t="s">
        <v>28</v>
      </c>
      <c r="F1030" t="s">
        <v>460</v>
      </c>
      <c r="H1030">
        <v>6</v>
      </c>
      <c r="I1030" s="1">
        <v>5531.32</v>
      </c>
      <c r="J1030" t="s">
        <v>17</v>
      </c>
      <c r="K1030" t="s">
        <v>18</v>
      </c>
      <c r="L1030" t="str" cm="1">
        <f t="array" ref="L1030">_xlfn.IFS(B1030&lt;30,"18-29",B1030&lt;45,"30-44",B1030&lt;60,"45-59",B1030&lt;75,"60-74",B1030&lt;=90,"75-90")</f>
        <v>75-90</v>
      </c>
      <c r="M1030" t="str">
        <f>IF(Table1[[#This Row],[length_of_stay_days]]&gt;7,"Yes","No")</f>
        <v>No</v>
      </c>
    </row>
    <row r="1031" spans="1:13" x14ac:dyDescent="0.3">
      <c r="A1031" t="s">
        <v>1428</v>
      </c>
      <c r="B1031">
        <v>31</v>
      </c>
      <c r="C1031" t="s">
        <v>20</v>
      </c>
      <c r="D1031" t="s">
        <v>28</v>
      </c>
      <c r="E1031" t="s">
        <v>14</v>
      </c>
      <c r="F1031" t="s">
        <v>95</v>
      </c>
      <c r="G1031" t="s">
        <v>376</v>
      </c>
      <c r="H1031">
        <v>2</v>
      </c>
      <c r="I1031" s="1">
        <v>4134.0600000000004</v>
      </c>
      <c r="J1031" t="s">
        <v>17</v>
      </c>
      <c r="K1031" t="s">
        <v>18</v>
      </c>
      <c r="L1031" t="str" cm="1">
        <f t="array" ref="L1031">_xlfn.IFS(B1031&lt;30,"18-29",B1031&lt;45,"30-44",B1031&lt;60,"45-59",B1031&lt;75,"60-74",B1031&lt;=90,"75-90")</f>
        <v>30-44</v>
      </c>
      <c r="M1031" t="str">
        <f>IF(Table1[[#This Row],[length_of_stay_days]]&gt;7,"Yes","No")</f>
        <v>No</v>
      </c>
    </row>
    <row r="1032" spans="1:13" x14ac:dyDescent="0.3">
      <c r="A1032" t="s">
        <v>1429</v>
      </c>
      <c r="B1032">
        <v>25</v>
      </c>
      <c r="C1032" t="s">
        <v>20</v>
      </c>
      <c r="D1032" t="s">
        <v>28</v>
      </c>
      <c r="E1032" t="s">
        <v>14</v>
      </c>
      <c r="F1032" t="s">
        <v>271</v>
      </c>
      <c r="G1032" t="s">
        <v>198</v>
      </c>
      <c r="H1032">
        <v>5</v>
      </c>
      <c r="I1032" s="1">
        <v>5171.78</v>
      </c>
      <c r="J1032" t="s">
        <v>17</v>
      </c>
      <c r="K1032" t="s">
        <v>18</v>
      </c>
      <c r="L1032" t="str" cm="1">
        <f t="array" ref="L1032">_xlfn.IFS(B1032&lt;30,"18-29",B1032&lt;45,"30-44",B1032&lt;60,"45-59",B1032&lt;75,"60-74",B1032&lt;=90,"75-90")</f>
        <v>18-29</v>
      </c>
      <c r="M1032" t="str">
        <f>IF(Table1[[#This Row],[length_of_stay_days]]&gt;7,"Yes","No")</f>
        <v>No</v>
      </c>
    </row>
    <row r="1033" spans="1:13" x14ac:dyDescent="0.3">
      <c r="A1033" t="s">
        <v>1430</v>
      </c>
      <c r="B1033">
        <v>65</v>
      </c>
      <c r="C1033" t="s">
        <v>20</v>
      </c>
      <c r="D1033" t="s">
        <v>28</v>
      </c>
      <c r="E1033" t="s">
        <v>21</v>
      </c>
      <c r="F1033" t="s">
        <v>151</v>
      </c>
      <c r="G1033" t="s">
        <v>288</v>
      </c>
      <c r="H1033">
        <v>4</v>
      </c>
      <c r="I1033" s="1">
        <v>3391.88</v>
      </c>
      <c r="J1033" t="s">
        <v>17</v>
      </c>
      <c r="K1033" t="s">
        <v>18</v>
      </c>
      <c r="L1033" t="str" cm="1">
        <f t="array" ref="L1033">_xlfn.IFS(B1033&lt;30,"18-29",B1033&lt;45,"30-44",B1033&lt;60,"45-59",B1033&lt;75,"60-74",B1033&lt;=90,"75-90")</f>
        <v>60-74</v>
      </c>
      <c r="M1033" t="str">
        <f>IF(Table1[[#This Row],[length_of_stay_days]]&gt;7,"Yes","No")</f>
        <v>No</v>
      </c>
    </row>
    <row r="1034" spans="1:13" x14ac:dyDescent="0.3">
      <c r="A1034" t="s">
        <v>1431</v>
      </c>
      <c r="B1034">
        <v>67</v>
      </c>
      <c r="C1034" t="s">
        <v>20</v>
      </c>
      <c r="D1034" t="s">
        <v>28</v>
      </c>
      <c r="E1034" t="s">
        <v>14</v>
      </c>
      <c r="F1034" t="s">
        <v>352</v>
      </c>
      <c r="G1034" t="s">
        <v>350</v>
      </c>
      <c r="H1034">
        <v>5</v>
      </c>
      <c r="I1034" s="1">
        <v>7742.74</v>
      </c>
      <c r="J1034" t="s">
        <v>17</v>
      </c>
      <c r="K1034" t="s">
        <v>44</v>
      </c>
      <c r="L1034" t="str" cm="1">
        <f t="array" ref="L1034">_xlfn.IFS(B1034&lt;30,"18-29",B1034&lt;45,"30-44",B1034&lt;60,"45-59",B1034&lt;75,"60-74",B1034&lt;=90,"75-90")</f>
        <v>60-74</v>
      </c>
      <c r="M1034" t="str">
        <f>IF(Table1[[#This Row],[length_of_stay_days]]&gt;7,"Yes","No")</f>
        <v>No</v>
      </c>
    </row>
    <row r="1035" spans="1:13" x14ac:dyDescent="0.3">
      <c r="A1035" t="s">
        <v>1432</v>
      </c>
      <c r="B1035">
        <v>77</v>
      </c>
      <c r="C1035" t="s">
        <v>20</v>
      </c>
      <c r="D1035" t="s">
        <v>13</v>
      </c>
      <c r="E1035" t="s">
        <v>28</v>
      </c>
      <c r="F1035" t="s">
        <v>762</v>
      </c>
      <c r="G1035" t="s">
        <v>322</v>
      </c>
      <c r="H1035">
        <v>10</v>
      </c>
      <c r="I1035" s="1">
        <v>10084.74</v>
      </c>
      <c r="J1035" t="s">
        <v>17</v>
      </c>
      <c r="K1035" t="s">
        <v>18</v>
      </c>
      <c r="L1035" t="str" cm="1">
        <f t="array" ref="L1035">_xlfn.IFS(B1035&lt;30,"18-29",B1035&lt;45,"30-44",B1035&lt;60,"45-59",B1035&lt;75,"60-74",B1035&lt;=90,"75-90")</f>
        <v>75-90</v>
      </c>
      <c r="M1035" t="str">
        <f>IF(Table1[[#This Row],[length_of_stay_days]]&gt;7,"Yes","No")</f>
        <v>Yes</v>
      </c>
    </row>
    <row r="1036" spans="1:13" x14ac:dyDescent="0.3">
      <c r="A1036" t="s">
        <v>1433</v>
      </c>
      <c r="B1036">
        <v>69</v>
      </c>
      <c r="C1036" t="s">
        <v>20</v>
      </c>
      <c r="D1036" t="s">
        <v>46</v>
      </c>
      <c r="E1036" t="s">
        <v>21</v>
      </c>
      <c r="F1036" t="s">
        <v>293</v>
      </c>
      <c r="G1036" t="s">
        <v>497</v>
      </c>
      <c r="H1036">
        <v>7</v>
      </c>
      <c r="I1036" s="1">
        <v>15183.87</v>
      </c>
      <c r="J1036" t="s">
        <v>17</v>
      </c>
      <c r="K1036" t="s">
        <v>18</v>
      </c>
      <c r="L1036" t="str" cm="1">
        <f t="array" ref="L1036">_xlfn.IFS(B1036&lt;30,"18-29",B1036&lt;45,"30-44",B1036&lt;60,"45-59",B1036&lt;75,"60-74",B1036&lt;=90,"75-90")</f>
        <v>60-74</v>
      </c>
      <c r="M1036" t="str">
        <f>IF(Table1[[#This Row],[length_of_stay_days]]&gt;7,"Yes","No")</f>
        <v>No</v>
      </c>
    </row>
    <row r="1037" spans="1:13" x14ac:dyDescent="0.3">
      <c r="A1037" t="s">
        <v>1434</v>
      </c>
      <c r="B1037">
        <v>28</v>
      </c>
      <c r="C1037" t="s">
        <v>20</v>
      </c>
      <c r="D1037" t="s">
        <v>28</v>
      </c>
      <c r="E1037" t="s">
        <v>28</v>
      </c>
      <c r="F1037" t="s">
        <v>433</v>
      </c>
      <c r="G1037" t="s">
        <v>116</v>
      </c>
      <c r="H1037">
        <v>4</v>
      </c>
      <c r="I1037" s="1">
        <v>5414.16</v>
      </c>
      <c r="J1037" t="s">
        <v>17</v>
      </c>
      <c r="K1037" t="s">
        <v>18</v>
      </c>
      <c r="L1037" t="str" cm="1">
        <f t="array" ref="L1037">_xlfn.IFS(B1037&lt;30,"18-29",B1037&lt;45,"30-44",B1037&lt;60,"45-59",B1037&lt;75,"60-74",B1037&lt;=90,"75-90")</f>
        <v>18-29</v>
      </c>
      <c r="M1037" t="str">
        <f>IF(Table1[[#This Row],[length_of_stay_days]]&gt;7,"Yes","No")</f>
        <v>No</v>
      </c>
    </row>
    <row r="1038" spans="1:13" x14ac:dyDescent="0.3">
      <c r="A1038" t="s">
        <v>1435</v>
      </c>
      <c r="B1038">
        <v>19</v>
      </c>
      <c r="C1038" t="s">
        <v>12</v>
      </c>
      <c r="D1038" t="s">
        <v>28</v>
      </c>
      <c r="E1038" t="s">
        <v>21</v>
      </c>
      <c r="F1038" t="s">
        <v>264</v>
      </c>
      <c r="G1038" t="s">
        <v>898</v>
      </c>
      <c r="H1038">
        <v>4</v>
      </c>
      <c r="I1038" s="1">
        <v>3992.88</v>
      </c>
      <c r="J1038" t="s">
        <v>49</v>
      </c>
      <c r="K1038" t="s">
        <v>18</v>
      </c>
      <c r="L1038" t="str" cm="1">
        <f t="array" ref="L1038">_xlfn.IFS(B1038&lt;30,"18-29",B1038&lt;45,"30-44",B1038&lt;60,"45-59",B1038&lt;75,"60-74",B1038&lt;=90,"75-90")</f>
        <v>18-29</v>
      </c>
      <c r="M1038" t="str">
        <f>IF(Table1[[#This Row],[length_of_stay_days]]&gt;7,"Yes","No")</f>
        <v>No</v>
      </c>
    </row>
    <row r="1039" spans="1:13" x14ac:dyDescent="0.3">
      <c r="A1039" t="s">
        <v>1436</v>
      </c>
      <c r="B1039">
        <v>81</v>
      </c>
      <c r="C1039" t="s">
        <v>12</v>
      </c>
      <c r="D1039" t="s">
        <v>13</v>
      </c>
      <c r="E1039" t="s">
        <v>21</v>
      </c>
      <c r="F1039" t="s">
        <v>975</v>
      </c>
      <c r="G1039" t="s">
        <v>530</v>
      </c>
      <c r="H1039">
        <v>8</v>
      </c>
      <c r="I1039" s="1">
        <v>10116.450000000001</v>
      </c>
      <c r="J1039" t="s">
        <v>17</v>
      </c>
      <c r="K1039" t="s">
        <v>18</v>
      </c>
      <c r="L1039" t="str" cm="1">
        <f t="array" ref="L1039">_xlfn.IFS(B1039&lt;30,"18-29",B1039&lt;45,"30-44",B1039&lt;60,"45-59",B1039&lt;75,"60-74",B1039&lt;=90,"75-90")</f>
        <v>75-90</v>
      </c>
      <c r="M1039" t="str">
        <f>IF(Table1[[#This Row],[length_of_stay_days]]&gt;7,"Yes","No")</f>
        <v>Yes</v>
      </c>
    </row>
    <row r="1040" spans="1:13" x14ac:dyDescent="0.3">
      <c r="A1040" t="s">
        <v>1437</v>
      </c>
      <c r="B1040">
        <v>43</v>
      </c>
      <c r="C1040" t="s">
        <v>20</v>
      </c>
      <c r="D1040" t="s">
        <v>13</v>
      </c>
      <c r="E1040" t="s">
        <v>21</v>
      </c>
      <c r="F1040" t="s">
        <v>320</v>
      </c>
      <c r="G1040" t="s">
        <v>453</v>
      </c>
      <c r="H1040">
        <v>6</v>
      </c>
      <c r="I1040" s="1">
        <v>4516.3500000000004</v>
      </c>
      <c r="J1040" t="s">
        <v>17</v>
      </c>
      <c r="K1040" t="s">
        <v>18</v>
      </c>
      <c r="L1040" t="str" cm="1">
        <f t="array" ref="L1040">_xlfn.IFS(B1040&lt;30,"18-29",B1040&lt;45,"30-44",B1040&lt;60,"45-59",B1040&lt;75,"60-74",B1040&lt;=90,"75-90")</f>
        <v>30-44</v>
      </c>
      <c r="M1040" t="str">
        <f>IF(Table1[[#This Row],[length_of_stay_days]]&gt;7,"Yes","No")</f>
        <v>No</v>
      </c>
    </row>
    <row r="1041" spans="1:13" x14ac:dyDescent="0.3">
      <c r="A1041" t="s">
        <v>1438</v>
      </c>
      <c r="B1041">
        <v>52</v>
      </c>
      <c r="C1041" t="s">
        <v>12</v>
      </c>
      <c r="D1041" t="s">
        <v>46</v>
      </c>
      <c r="E1041" t="s">
        <v>28</v>
      </c>
      <c r="F1041" t="s">
        <v>286</v>
      </c>
      <c r="G1041" t="s">
        <v>366</v>
      </c>
      <c r="H1041">
        <v>8</v>
      </c>
      <c r="I1041" s="1">
        <v>12890.03</v>
      </c>
      <c r="J1041" t="s">
        <v>17</v>
      </c>
      <c r="K1041" t="s">
        <v>18</v>
      </c>
      <c r="L1041" t="str" cm="1">
        <f t="array" ref="L1041">_xlfn.IFS(B1041&lt;30,"18-29",B1041&lt;45,"30-44",B1041&lt;60,"45-59",B1041&lt;75,"60-74",B1041&lt;=90,"75-90")</f>
        <v>45-59</v>
      </c>
      <c r="M1041" t="str">
        <f>IF(Table1[[#This Row],[length_of_stay_days]]&gt;7,"Yes","No")</f>
        <v>Yes</v>
      </c>
    </row>
    <row r="1042" spans="1:13" x14ac:dyDescent="0.3">
      <c r="A1042" t="s">
        <v>1439</v>
      </c>
      <c r="B1042">
        <v>43</v>
      </c>
      <c r="C1042" t="s">
        <v>12</v>
      </c>
      <c r="D1042" t="s">
        <v>28</v>
      </c>
      <c r="E1042" t="s">
        <v>14</v>
      </c>
      <c r="F1042" t="s">
        <v>143</v>
      </c>
      <c r="G1042" t="s">
        <v>239</v>
      </c>
      <c r="H1042">
        <v>5</v>
      </c>
      <c r="I1042" s="1">
        <v>4618.3500000000004</v>
      </c>
      <c r="J1042" t="s">
        <v>17</v>
      </c>
      <c r="K1042" t="s">
        <v>18</v>
      </c>
      <c r="L1042" t="str" cm="1">
        <f t="array" ref="L1042">_xlfn.IFS(B1042&lt;30,"18-29",B1042&lt;45,"30-44",B1042&lt;60,"45-59",B1042&lt;75,"60-74",B1042&lt;=90,"75-90")</f>
        <v>30-44</v>
      </c>
      <c r="M1042" t="str">
        <f>IF(Table1[[#This Row],[length_of_stay_days]]&gt;7,"Yes","No")</f>
        <v>No</v>
      </c>
    </row>
    <row r="1043" spans="1:13" x14ac:dyDescent="0.3">
      <c r="A1043" t="s">
        <v>1440</v>
      </c>
      <c r="B1043">
        <v>69</v>
      </c>
      <c r="C1043" t="s">
        <v>12</v>
      </c>
      <c r="D1043" t="s">
        <v>13</v>
      </c>
      <c r="E1043" t="s">
        <v>28</v>
      </c>
      <c r="F1043" t="s">
        <v>286</v>
      </c>
      <c r="G1043" t="s">
        <v>449</v>
      </c>
      <c r="H1043">
        <v>6</v>
      </c>
      <c r="I1043" s="1">
        <v>8231.7000000000007</v>
      </c>
      <c r="J1043" t="s">
        <v>17</v>
      </c>
      <c r="K1043" t="s">
        <v>18</v>
      </c>
      <c r="L1043" t="str" cm="1">
        <f t="array" ref="L1043">_xlfn.IFS(B1043&lt;30,"18-29",B1043&lt;45,"30-44",B1043&lt;60,"45-59",B1043&lt;75,"60-74",B1043&lt;=90,"75-90")</f>
        <v>60-74</v>
      </c>
      <c r="M1043" t="str">
        <f>IF(Table1[[#This Row],[length_of_stay_days]]&gt;7,"Yes","No")</f>
        <v>No</v>
      </c>
    </row>
    <row r="1044" spans="1:13" x14ac:dyDescent="0.3">
      <c r="A1044" t="s">
        <v>1441</v>
      </c>
      <c r="B1044">
        <v>79</v>
      </c>
      <c r="C1044" t="s">
        <v>12</v>
      </c>
      <c r="D1044" t="s">
        <v>32</v>
      </c>
      <c r="E1044" t="s">
        <v>14</v>
      </c>
      <c r="F1044" t="s">
        <v>29</v>
      </c>
      <c r="G1044" t="s">
        <v>36</v>
      </c>
      <c r="H1044">
        <v>7</v>
      </c>
      <c r="I1044" s="1">
        <v>12736.1</v>
      </c>
      <c r="J1044" t="s">
        <v>49</v>
      </c>
      <c r="K1044" t="s">
        <v>18</v>
      </c>
      <c r="L1044" t="str" cm="1">
        <f t="array" ref="L1044">_xlfn.IFS(B1044&lt;30,"18-29",B1044&lt;45,"30-44",B1044&lt;60,"45-59",B1044&lt;75,"60-74",B1044&lt;=90,"75-90")</f>
        <v>75-90</v>
      </c>
      <c r="M1044" t="str">
        <f>IF(Table1[[#This Row],[length_of_stay_days]]&gt;7,"Yes","No")</f>
        <v>No</v>
      </c>
    </row>
    <row r="1045" spans="1:13" x14ac:dyDescent="0.3">
      <c r="A1045" t="s">
        <v>1442</v>
      </c>
      <c r="B1045">
        <v>18</v>
      </c>
      <c r="C1045" t="s">
        <v>20</v>
      </c>
      <c r="D1045" t="s">
        <v>28</v>
      </c>
      <c r="E1045" t="s">
        <v>28</v>
      </c>
      <c r="F1045" t="s">
        <v>415</v>
      </c>
      <c r="G1045" t="s">
        <v>344</v>
      </c>
      <c r="H1045">
        <v>8</v>
      </c>
      <c r="I1045" s="1">
        <v>7584.03</v>
      </c>
      <c r="J1045" t="s">
        <v>17</v>
      </c>
      <c r="K1045" t="s">
        <v>18</v>
      </c>
      <c r="L1045" t="str" cm="1">
        <f t="array" ref="L1045">_xlfn.IFS(B1045&lt;30,"18-29",B1045&lt;45,"30-44",B1045&lt;60,"45-59",B1045&lt;75,"60-74",B1045&lt;=90,"75-90")</f>
        <v>18-29</v>
      </c>
      <c r="M1045" t="str">
        <f>IF(Table1[[#This Row],[length_of_stay_days]]&gt;7,"Yes","No")</f>
        <v>Yes</v>
      </c>
    </row>
    <row r="1046" spans="1:13" x14ac:dyDescent="0.3">
      <c r="A1046" t="s">
        <v>1443</v>
      </c>
      <c r="B1046">
        <v>80</v>
      </c>
      <c r="C1046" t="s">
        <v>12</v>
      </c>
      <c r="D1046" t="s">
        <v>28</v>
      </c>
      <c r="E1046" t="s">
        <v>28</v>
      </c>
      <c r="F1046" t="s">
        <v>855</v>
      </c>
      <c r="G1046" t="s">
        <v>1248</v>
      </c>
      <c r="H1046">
        <v>6</v>
      </c>
      <c r="I1046" s="1">
        <v>7109.98</v>
      </c>
      <c r="J1046" t="s">
        <v>17</v>
      </c>
      <c r="K1046" t="s">
        <v>44</v>
      </c>
      <c r="L1046" t="str" cm="1">
        <f t="array" ref="L1046">_xlfn.IFS(B1046&lt;30,"18-29",B1046&lt;45,"30-44",B1046&lt;60,"45-59",B1046&lt;75,"60-74",B1046&lt;=90,"75-90")</f>
        <v>75-90</v>
      </c>
      <c r="M1046" t="str">
        <f>IF(Table1[[#This Row],[length_of_stay_days]]&gt;7,"Yes","No")</f>
        <v>No</v>
      </c>
    </row>
    <row r="1047" spans="1:13" x14ac:dyDescent="0.3">
      <c r="A1047" t="s">
        <v>1444</v>
      </c>
      <c r="B1047">
        <v>40</v>
      </c>
      <c r="C1047" t="s">
        <v>12</v>
      </c>
      <c r="D1047" t="s">
        <v>28</v>
      </c>
      <c r="E1047" t="s">
        <v>14</v>
      </c>
      <c r="F1047" t="s">
        <v>489</v>
      </c>
      <c r="G1047" t="s">
        <v>1207</v>
      </c>
      <c r="H1047">
        <v>2</v>
      </c>
      <c r="I1047" s="1">
        <v>350</v>
      </c>
      <c r="J1047" t="s">
        <v>17</v>
      </c>
      <c r="K1047" t="s">
        <v>18</v>
      </c>
      <c r="L1047" t="str" cm="1">
        <f t="array" ref="L1047">_xlfn.IFS(B1047&lt;30,"18-29",B1047&lt;45,"30-44",B1047&lt;60,"45-59",B1047&lt;75,"60-74",B1047&lt;=90,"75-90")</f>
        <v>30-44</v>
      </c>
      <c r="M1047" t="str">
        <f>IF(Table1[[#This Row],[length_of_stay_days]]&gt;7,"Yes","No")</f>
        <v>No</v>
      </c>
    </row>
    <row r="1048" spans="1:13" x14ac:dyDescent="0.3">
      <c r="A1048" t="s">
        <v>1445</v>
      </c>
      <c r="B1048">
        <v>51</v>
      </c>
      <c r="C1048" t="s">
        <v>12</v>
      </c>
      <c r="D1048" t="s">
        <v>55</v>
      </c>
      <c r="E1048" t="s">
        <v>14</v>
      </c>
      <c r="F1048" t="s">
        <v>352</v>
      </c>
      <c r="G1048" t="s">
        <v>25</v>
      </c>
      <c r="H1048">
        <v>6</v>
      </c>
      <c r="I1048" s="1">
        <v>9676.5</v>
      </c>
      <c r="J1048" t="s">
        <v>17</v>
      </c>
      <c r="K1048" t="s">
        <v>18</v>
      </c>
      <c r="L1048" t="str" cm="1">
        <f t="array" ref="L1048">_xlfn.IFS(B1048&lt;30,"18-29",B1048&lt;45,"30-44",B1048&lt;60,"45-59",B1048&lt;75,"60-74",B1048&lt;=90,"75-90")</f>
        <v>45-59</v>
      </c>
      <c r="M1048" t="str">
        <f>IF(Table1[[#This Row],[length_of_stay_days]]&gt;7,"Yes","No")</f>
        <v>No</v>
      </c>
    </row>
    <row r="1049" spans="1:13" x14ac:dyDescent="0.3">
      <c r="A1049" t="s">
        <v>1446</v>
      </c>
      <c r="B1049">
        <v>18</v>
      </c>
      <c r="C1049" t="s">
        <v>20</v>
      </c>
      <c r="D1049" t="s">
        <v>51</v>
      </c>
      <c r="E1049" t="s">
        <v>28</v>
      </c>
      <c r="F1049" t="s">
        <v>543</v>
      </c>
      <c r="G1049" t="s">
        <v>103</v>
      </c>
      <c r="H1049">
        <v>10</v>
      </c>
      <c r="I1049" s="1">
        <v>11710.26</v>
      </c>
      <c r="J1049" t="s">
        <v>17</v>
      </c>
      <c r="K1049" t="s">
        <v>18</v>
      </c>
      <c r="L1049" t="str" cm="1">
        <f t="array" ref="L1049">_xlfn.IFS(B1049&lt;30,"18-29",B1049&lt;45,"30-44",B1049&lt;60,"45-59",B1049&lt;75,"60-74",B1049&lt;=90,"75-90")</f>
        <v>18-29</v>
      </c>
      <c r="M1049" t="str">
        <f>IF(Table1[[#This Row],[length_of_stay_days]]&gt;7,"Yes","No")</f>
        <v>Yes</v>
      </c>
    </row>
    <row r="1050" spans="1:13" x14ac:dyDescent="0.3">
      <c r="A1050" t="s">
        <v>1447</v>
      </c>
      <c r="B1050">
        <v>59</v>
      </c>
      <c r="C1050" t="s">
        <v>20</v>
      </c>
      <c r="D1050" t="s">
        <v>13</v>
      </c>
      <c r="E1050" t="s">
        <v>14</v>
      </c>
      <c r="F1050" t="s">
        <v>363</v>
      </c>
      <c r="G1050" t="s">
        <v>154</v>
      </c>
      <c r="H1050">
        <v>2</v>
      </c>
      <c r="I1050" s="1">
        <v>5938.37</v>
      </c>
      <c r="J1050" t="s">
        <v>17</v>
      </c>
      <c r="K1050" t="s">
        <v>18</v>
      </c>
      <c r="L1050" t="str" cm="1">
        <f t="array" ref="L1050">_xlfn.IFS(B1050&lt;30,"18-29",B1050&lt;45,"30-44",B1050&lt;60,"45-59",B1050&lt;75,"60-74",B1050&lt;=90,"75-90")</f>
        <v>45-59</v>
      </c>
      <c r="M1050" t="str">
        <f>IF(Table1[[#This Row],[length_of_stay_days]]&gt;7,"Yes","No")</f>
        <v>No</v>
      </c>
    </row>
    <row r="1051" spans="1:13" x14ac:dyDescent="0.3">
      <c r="A1051" t="s">
        <v>1448</v>
      </c>
      <c r="B1051">
        <v>60</v>
      </c>
      <c r="C1051" t="s">
        <v>12</v>
      </c>
      <c r="D1051" t="s">
        <v>13</v>
      </c>
      <c r="E1051" t="s">
        <v>14</v>
      </c>
      <c r="F1051" t="s">
        <v>119</v>
      </c>
      <c r="G1051" t="s">
        <v>246</v>
      </c>
      <c r="H1051">
        <v>5</v>
      </c>
      <c r="I1051" s="1">
        <v>8533.2000000000007</v>
      </c>
      <c r="J1051" t="s">
        <v>17</v>
      </c>
      <c r="K1051" t="s">
        <v>18</v>
      </c>
      <c r="L1051" t="str" cm="1">
        <f t="array" ref="L1051">_xlfn.IFS(B1051&lt;30,"18-29",B1051&lt;45,"30-44",B1051&lt;60,"45-59",B1051&lt;75,"60-74",B1051&lt;=90,"75-90")</f>
        <v>60-74</v>
      </c>
      <c r="M1051" t="str">
        <f>IF(Table1[[#This Row],[length_of_stay_days]]&gt;7,"Yes","No")</f>
        <v>No</v>
      </c>
    </row>
    <row r="1052" spans="1:13" x14ac:dyDescent="0.3">
      <c r="A1052" t="s">
        <v>1449</v>
      </c>
      <c r="B1052">
        <v>23</v>
      </c>
      <c r="C1052" t="s">
        <v>12</v>
      </c>
      <c r="D1052" t="s">
        <v>55</v>
      </c>
      <c r="E1052" t="s">
        <v>14</v>
      </c>
      <c r="F1052" t="s">
        <v>644</v>
      </c>
      <c r="G1052" t="s">
        <v>292</v>
      </c>
      <c r="H1052">
        <v>6</v>
      </c>
      <c r="I1052" s="1">
        <v>10951.12</v>
      </c>
      <c r="J1052" t="s">
        <v>17</v>
      </c>
      <c r="K1052" t="s">
        <v>18</v>
      </c>
      <c r="L1052" t="str" cm="1">
        <f t="array" ref="L1052">_xlfn.IFS(B1052&lt;30,"18-29",B1052&lt;45,"30-44",B1052&lt;60,"45-59",B1052&lt;75,"60-74",B1052&lt;=90,"75-90")</f>
        <v>18-29</v>
      </c>
      <c r="M1052" t="str">
        <f>IF(Table1[[#This Row],[length_of_stay_days]]&gt;7,"Yes","No")</f>
        <v>No</v>
      </c>
    </row>
    <row r="1053" spans="1:13" x14ac:dyDescent="0.3">
      <c r="A1053" t="s">
        <v>1450</v>
      </c>
      <c r="B1053">
        <v>75</v>
      </c>
      <c r="C1053" t="s">
        <v>20</v>
      </c>
      <c r="D1053" t="s">
        <v>28</v>
      </c>
      <c r="E1053" t="s">
        <v>21</v>
      </c>
      <c r="F1053" t="s">
        <v>526</v>
      </c>
      <c r="G1053" t="s">
        <v>469</v>
      </c>
      <c r="H1053">
        <v>7</v>
      </c>
      <c r="I1053" s="1">
        <v>8378.34</v>
      </c>
      <c r="J1053" t="s">
        <v>17</v>
      </c>
      <c r="K1053" t="s">
        <v>18</v>
      </c>
      <c r="L1053" t="str" cm="1">
        <f t="array" ref="L1053">_xlfn.IFS(B1053&lt;30,"18-29",B1053&lt;45,"30-44",B1053&lt;60,"45-59",B1053&lt;75,"60-74",B1053&lt;=90,"75-90")</f>
        <v>75-90</v>
      </c>
      <c r="M1053" t="str">
        <f>IF(Table1[[#This Row],[length_of_stay_days]]&gt;7,"Yes","No")</f>
        <v>No</v>
      </c>
    </row>
    <row r="1054" spans="1:13" x14ac:dyDescent="0.3">
      <c r="A1054" t="s">
        <v>1451</v>
      </c>
      <c r="B1054">
        <v>51</v>
      </c>
      <c r="C1054" t="s">
        <v>12</v>
      </c>
      <c r="D1054" t="s">
        <v>55</v>
      </c>
      <c r="E1054" t="s">
        <v>21</v>
      </c>
      <c r="F1054" t="s">
        <v>148</v>
      </c>
      <c r="G1054" t="s">
        <v>53</v>
      </c>
      <c r="H1054">
        <v>6</v>
      </c>
      <c r="I1054" s="1">
        <v>10483.51</v>
      </c>
      <c r="J1054" t="s">
        <v>17</v>
      </c>
      <c r="K1054" t="s">
        <v>18</v>
      </c>
      <c r="L1054" t="str" cm="1">
        <f t="array" ref="L1054">_xlfn.IFS(B1054&lt;30,"18-29",B1054&lt;45,"30-44",B1054&lt;60,"45-59",B1054&lt;75,"60-74",B1054&lt;=90,"75-90")</f>
        <v>45-59</v>
      </c>
      <c r="M1054" t="str">
        <f>IF(Table1[[#This Row],[length_of_stay_days]]&gt;7,"Yes","No")</f>
        <v>No</v>
      </c>
    </row>
    <row r="1055" spans="1:13" x14ac:dyDescent="0.3">
      <c r="A1055" t="s">
        <v>1452</v>
      </c>
      <c r="B1055">
        <v>42</v>
      </c>
      <c r="C1055" t="s">
        <v>12</v>
      </c>
      <c r="D1055" t="s">
        <v>32</v>
      </c>
      <c r="E1055" t="s">
        <v>14</v>
      </c>
      <c r="F1055" t="s">
        <v>53</v>
      </c>
      <c r="G1055" t="s">
        <v>138</v>
      </c>
      <c r="H1055">
        <v>7</v>
      </c>
      <c r="I1055" s="1">
        <v>9204.74</v>
      </c>
      <c r="J1055" t="s">
        <v>49</v>
      </c>
      <c r="K1055" t="s">
        <v>18</v>
      </c>
      <c r="L1055" t="str" cm="1">
        <f t="array" ref="L1055">_xlfn.IFS(B1055&lt;30,"18-29",B1055&lt;45,"30-44",B1055&lt;60,"45-59",B1055&lt;75,"60-74",B1055&lt;=90,"75-90")</f>
        <v>30-44</v>
      </c>
      <c r="M1055" t="str">
        <f>IF(Table1[[#This Row],[length_of_stay_days]]&gt;7,"Yes","No")</f>
        <v>No</v>
      </c>
    </row>
    <row r="1056" spans="1:13" x14ac:dyDescent="0.3">
      <c r="A1056" t="s">
        <v>1453</v>
      </c>
      <c r="B1056">
        <v>80</v>
      </c>
      <c r="C1056" t="s">
        <v>12</v>
      </c>
      <c r="D1056" t="s">
        <v>28</v>
      </c>
      <c r="E1056" t="s">
        <v>28</v>
      </c>
      <c r="F1056" t="s">
        <v>474</v>
      </c>
      <c r="G1056" t="s">
        <v>339</v>
      </c>
      <c r="H1056">
        <v>6</v>
      </c>
      <c r="I1056" s="1">
        <v>6704.59</v>
      </c>
      <c r="J1056" t="s">
        <v>17</v>
      </c>
      <c r="K1056" t="s">
        <v>18</v>
      </c>
      <c r="L1056" t="str" cm="1">
        <f t="array" ref="L1056">_xlfn.IFS(B1056&lt;30,"18-29",B1056&lt;45,"30-44",B1056&lt;60,"45-59",B1056&lt;75,"60-74",B1056&lt;=90,"75-90")</f>
        <v>75-90</v>
      </c>
      <c r="M1056" t="str">
        <f>IF(Table1[[#This Row],[length_of_stay_days]]&gt;7,"Yes","No")</f>
        <v>No</v>
      </c>
    </row>
    <row r="1057" spans="1:13" x14ac:dyDescent="0.3">
      <c r="A1057" t="s">
        <v>1454</v>
      </c>
      <c r="B1057">
        <v>69</v>
      </c>
      <c r="C1057" t="s">
        <v>12</v>
      </c>
      <c r="D1057" t="s">
        <v>13</v>
      </c>
      <c r="E1057" t="s">
        <v>21</v>
      </c>
      <c r="F1057" t="s">
        <v>241</v>
      </c>
      <c r="G1057" t="s">
        <v>499</v>
      </c>
      <c r="H1057">
        <v>2</v>
      </c>
      <c r="I1057" s="1">
        <v>5287.16</v>
      </c>
      <c r="J1057" t="s">
        <v>17</v>
      </c>
      <c r="K1057" t="s">
        <v>44</v>
      </c>
      <c r="L1057" t="str" cm="1">
        <f t="array" ref="L1057">_xlfn.IFS(B1057&lt;30,"18-29",B1057&lt;45,"30-44",B1057&lt;60,"45-59",B1057&lt;75,"60-74",B1057&lt;=90,"75-90")</f>
        <v>60-74</v>
      </c>
      <c r="M1057" t="str">
        <f>IF(Table1[[#This Row],[length_of_stay_days]]&gt;7,"Yes","No")</f>
        <v>No</v>
      </c>
    </row>
    <row r="1058" spans="1:13" x14ac:dyDescent="0.3">
      <c r="A1058" t="s">
        <v>1455</v>
      </c>
      <c r="B1058">
        <v>31</v>
      </c>
      <c r="C1058" t="s">
        <v>12</v>
      </c>
      <c r="D1058" t="s">
        <v>46</v>
      </c>
      <c r="E1058" t="s">
        <v>14</v>
      </c>
      <c r="F1058" t="s">
        <v>144</v>
      </c>
      <c r="G1058" t="s">
        <v>1338</v>
      </c>
      <c r="H1058">
        <v>2</v>
      </c>
      <c r="I1058" s="1">
        <v>10588.01</v>
      </c>
      <c r="J1058" t="s">
        <v>17</v>
      </c>
      <c r="K1058" t="s">
        <v>18</v>
      </c>
      <c r="L1058" t="str" cm="1">
        <f t="array" ref="L1058">_xlfn.IFS(B1058&lt;30,"18-29",B1058&lt;45,"30-44",B1058&lt;60,"45-59",B1058&lt;75,"60-74",B1058&lt;=90,"75-90")</f>
        <v>30-44</v>
      </c>
      <c r="M1058" t="str">
        <f>IF(Table1[[#This Row],[length_of_stay_days]]&gt;7,"Yes","No")</f>
        <v>No</v>
      </c>
    </row>
    <row r="1059" spans="1:13" x14ac:dyDescent="0.3">
      <c r="A1059" t="s">
        <v>1456</v>
      </c>
      <c r="B1059">
        <v>73</v>
      </c>
      <c r="C1059" t="s">
        <v>20</v>
      </c>
      <c r="D1059" t="s">
        <v>32</v>
      </c>
      <c r="E1059" t="s">
        <v>14</v>
      </c>
      <c r="F1059" t="s">
        <v>807</v>
      </c>
      <c r="G1059" t="s">
        <v>855</v>
      </c>
      <c r="H1059">
        <v>8</v>
      </c>
      <c r="I1059" s="1">
        <v>11393.45</v>
      </c>
      <c r="J1059" t="s">
        <v>49</v>
      </c>
      <c r="K1059" t="s">
        <v>18</v>
      </c>
      <c r="L1059" t="str" cm="1">
        <f t="array" ref="L1059">_xlfn.IFS(B1059&lt;30,"18-29",B1059&lt;45,"30-44",B1059&lt;60,"45-59",B1059&lt;75,"60-74",B1059&lt;=90,"75-90")</f>
        <v>60-74</v>
      </c>
      <c r="M1059" t="str">
        <f>IF(Table1[[#This Row],[length_of_stay_days]]&gt;7,"Yes","No")</f>
        <v>Yes</v>
      </c>
    </row>
    <row r="1060" spans="1:13" x14ac:dyDescent="0.3">
      <c r="A1060" t="s">
        <v>1457</v>
      </c>
      <c r="B1060">
        <v>29</v>
      </c>
      <c r="C1060" t="s">
        <v>20</v>
      </c>
      <c r="D1060" t="s">
        <v>32</v>
      </c>
      <c r="E1060" t="s">
        <v>21</v>
      </c>
      <c r="F1060" t="s">
        <v>312</v>
      </c>
      <c r="G1060" t="s">
        <v>584</v>
      </c>
      <c r="H1060">
        <v>4</v>
      </c>
      <c r="I1060" s="1">
        <v>9287.7199999999993</v>
      </c>
      <c r="J1060" t="s">
        <v>49</v>
      </c>
      <c r="K1060" t="s">
        <v>18</v>
      </c>
      <c r="L1060" t="str" cm="1">
        <f t="array" ref="L1060">_xlfn.IFS(B1060&lt;30,"18-29",B1060&lt;45,"30-44",B1060&lt;60,"45-59",B1060&lt;75,"60-74",B1060&lt;=90,"75-90")</f>
        <v>18-29</v>
      </c>
      <c r="M1060" t="str">
        <f>IF(Table1[[#This Row],[length_of_stay_days]]&gt;7,"Yes","No")</f>
        <v>No</v>
      </c>
    </row>
    <row r="1061" spans="1:13" x14ac:dyDescent="0.3">
      <c r="A1061" t="s">
        <v>1458</v>
      </c>
      <c r="B1061">
        <v>30</v>
      </c>
      <c r="C1061" t="s">
        <v>12</v>
      </c>
      <c r="D1061" t="s">
        <v>55</v>
      </c>
      <c r="E1061" t="s">
        <v>21</v>
      </c>
      <c r="F1061" t="s">
        <v>613</v>
      </c>
      <c r="G1061" t="s">
        <v>80</v>
      </c>
      <c r="H1061">
        <v>7</v>
      </c>
      <c r="I1061" s="1">
        <v>10909.52</v>
      </c>
      <c r="J1061" t="s">
        <v>17</v>
      </c>
      <c r="K1061" t="s">
        <v>18</v>
      </c>
      <c r="L1061" t="str" cm="1">
        <f t="array" ref="L1061">_xlfn.IFS(B1061&lt;30,"18-29",B1061&lt;45,"30-44",B1061&lt;60,"45-59",B1061&lt;75,"60-74",B1061&lt;=90,"75-90")</f>
        <v>30-44</v>
      </c>
      <c r="M1061" t="str">
        <f>IF(Table1[[#This Row],[length_of_stay_days]]&gt;7,"Yes","No")</f>
        <v>No</v>
      </c>
    </row>
    <row r="1062" spans="1:13" x14ac:dyDescent="0.3">
      <c r="A1062" t="s">
        <v>1459</v>
      </c>
      <c r="B1062">
        <v>80</v>
      </c>
      <c r="C1062" t="s">
        <v>20</v>
      </c>
      <c r="D1062" t="s">
        <v>46</v>
      </c>
      <c r="E1062" t="s">
        <v>28</v>
      </c>
      <c r="F1062" t="s">
        <v>440</v>
      </c>
      <c r="G1062" t="s">
        <v>787</v>
      </c>
      <c r="H1062">
        <v>7</v>
      </c>
      <c r="I1062" s="1">
        <v>11873.26</v>
      </c>
      <c r="J1062" t="s">
        <v>17</v>
      </c>
      <c r="K1062" t="s">
        <v>18</v>
      </c>
      <c r="L1062" t="str" cm="1">
        <f t="array" ref="L1062">_xlfn.IFS(B1062&lt;30,"18-29",B1062&lt;45,"30-44",B1062&lt;60,"45-59",B1062&lt;75,"60-74",B1062&lt;=90,"75-90")</f>
        <v>75-90</v>
      </c>
      <c r="M1062" t="str">
        <f>IF(Table1[[#This Row],[length_of_stay_days]]&gt;7,"Yes","No")</f>
        <v>No</v>
      </c>
    </row>
    <row r="1063" spans="1:13" x14ac:dyDescent="0.3">
      <c r="A1063" t="s">
        <v>1460</v>
      </c>
      <c r="B1063">
        <v>33</v>
      </c>
      <c r="C1063" t="s">
        <v>12</v>
      </c>
      <c r="D1063" t="s">
        <v>55</v>
      </c>
      <c r="E1063" t="s">
        <v>21</v>
      </c>
      <c r="F1063" t="s">
        <v>298</v>
      </c>
      <c r="G1063" t="s">
        <v>928</v>
      </c>
      <c r="H1063">
        <v>2</v>
      </c>
      <c r="I1063" s="1">
        <v>9305</v>
      </c>
      <c r="J1063" t="s">
        <v>17</v>
      </c>
      <c r="K1063" t="s">
        <v>18</v>
      </c>
      <c r="L1063" t="str" cm="1">
        <f t="array" ref="L1063">_xlfn.IFS(B1063&lt;30,"18-29",B1063&lt;45,"30-44",B1063&lt;60,"45-59",B1063&lt;75,"60-74",B1063&lt;=90,"75-90")</f>
        <v>30-44</v>
      </c>
      <c r="M1063" t="str">
        <f>IF(Table1[[#This Row],[length_of_stay_days]]&gt;7,"Yes","No")</f>
        <v>No</v>
      </c>
    </row>
    <row r="1064" spans="1:13" x14ac:dyDescent="0.3">
      <c r="A1064" t="s">
        <v>1461</v>
      </c>
      <c r="B1064">
        <v>89</v>
      </c>
      <c r="C1064" t="s">
        <v>20</v>
      </c>
      <c r="D1064" t="s">
        <v>28</v>
      </c>
      <c r="E1064" t="s">
        <v>14</v>
      </c>
      <c r="F1064" t="s">
        <v>239</v>
      </c>
      <c r="G1064" t="s">
        <v>212</v>
      </c>
      <c r="H1064">
        <v>4</v>
      </c>
      <c r="I1064" s="1">
        <v>6943.19</v>
      </c>
      <c r="J1064" t="s">
        <v>17</v>
      </c>
      <c r="K1064" t="s">
        <v>18</v>
      </c>
      <c r="L1064" t="str" cm="1">
        <f t="array" ref="L1064">_xlfn.IFS(B1064&lt;30,"18-29",B1064&lt;45,"30-44",B1064&lt;60,"45-59",B1064&lt;75,"60-74",B1064&lt;=90,"75-90")</f>
        <v>75-90</v>
      </c>
      <c r="M1064" t="str">
        <f>IF(Table1[[#This Row],[length_of_stay_days]]&gt;7,"Yes","No")</f>
        <v>No</v>
      </c>
    </row>
    <row r="1065" spans="1:13" x14ac:dyDescent="0.3">
      <c r="A1065" t="s">
        <v>1462</v>
      </c>
      <c r="B1065">
        <v>73</v>
      </c>
      <c r="C1065" t="s">
        <v>20</v>
      </c>
      <c r="D1065" t="s">
        <v>28</v>
      </c>
      <c r="E1065" t="s">
        <v>14</v>
      </c>
      <c r="F1065" t="s">
        <v>37</v>
      </c>
      <c r="G1065" t="s">
        <v>547</v>
      </c>
      <c r="H1065">
        <v>6</v>
      </c>
      <c r="I1065" s="1">
        <v>5875.37</v>
      </c>
      <c r="J1065" t="s">
        <v>17</v>
      </c>
      <c r="K1065" t="s">
        <v>18</v>
      </c>
      <c r="L1065" t="str" cm="1">
        <f t="array" ref="L1065">_xlfn.IFS(B1065&lt;30,"18-29",B1065&lt;45,"30-44",B1065&lt;60,"45-59",B1065&lt;75,"60-74",B1065&lt;=90,"75-90")</f>
        <v>60-74</v>
      </c>
      <c r="M1065" t="str">
        <f>IF(Table1[[#This Row],[length_of_stay_days]]&gt;7,"Yes","No")</f>
        <v>No</v>
      </c>
    </row>
    <row r="1066" spans="1:13" x14ac:dyDescent="0.3">
      <c r="A1066" t="s">
        <v>1463</v>
      </c>
      <c r="B1066">
        <v>51</v>
      </c>
      <c r="C1066" t="s">
        <v>12</v>
      </c>
      <c r="D1066" t="s">
        <v>51</v>
      </c>
      <c r="E1066" t="s">
        <v>28</v>
      </c>
      <c r="F1066" t="s">
        <v>222</v>
      </c>
      <c r="G1066" t="s">
        <v>350</v>
      </c>
      <c r="H1066">
        <v>6</v>
      </c>
      <c r="I1066" s="1">
        <v>11491.55</v>
      </c>
      <c r="J1066" t="s">
        <v>49</v>
      </c>
      <c r="K1066" t="s">
        <v>18</v>
      </c>
      <c r="L1066" t="str" cm="1">
        <f t="array" ref="L1066">_xlfn.IFS(B1066&lt;30,"18-29",B1066&lt;45,"30-44",B1066&lt;60,"45-59",B1066&lt;75,"60-74",B1066&lt;=90,"75-90")</f>
        <v>45-59</v>
      </c>
      <c r="M1066" t="str">
        <f>IF(Table1[[#This Row],[length_of_stay_days]]&gt;7,"Yes","No")</f>
        <v>No</v>
      </c>
    </row>
    <row r="1067" spans="1:13" x14ac:dyDescent="0.3">
      <c r="A1067" t="s">
        <v>1464</v>
      </c>
      <c r="B1067">
        <v>35</v>
      </c>
      <c r="C1067" t="s">
        <v>20</v>
      </c>
      <c r="D1067" t="s">
        <v>28</v>
      </c>
      <c r="E1067" t="s">
        <v>28</v>
      </c>
      <c r="F1067" t="s">
        <v>198</v>
      </c>
      <c r="G1067" t="s">
        <v>554</v>
      </c>
      <c r="H1067">
        <v>4</v>
      </c>
      <c r="I1067" s="1">
        <v>6806.44</v>
      </c>
      <c r="J1067" t="s">
        <v>17</v>
      </c>
      <c r="K1067" t="s">
        <v>18</v>
      </c>
      <c r="L1067" t="str" cm="1">
        <f t="array" ref="L1067">_xlfn.IFS(B1067&lt;30,"18-29",B1067&lt;45,"30-44",B1067&lt;60,"45-59",B1067&lt;75,"60-74",B1067&lt;=90,"75-90")</f>
        <v>30-44</v>
      </c>
      <c r="M1067" t="str">
        <f>IF(Table1[[#This Row],[length_of_stay_days]]&gt;7,"Yes","No")</f>
        <v>No</v>
      </c>
    </row>
    <row r="1068" spans="1:13" x14ac:dyDescent="0.3">
      <c r="A1068" t="s">
        <v>1465</v>
      </c>
      <c r="B1068">
        <v>62</v>
      </c>
      <c r="C1068" t="s">
        <v>20</v>
      </c>
      <c r="D1068" t="s">
        <v>46</v>
      </c>
      <c r="E1068" t="s">
        <v>21</v>
      </c>
      <c r="F1068" t="s">
        <v>496</v>
      </c>
      <c r="G1068" t="s">
        <v>462</v>
      </c>
      <c r="H1068">
        <v>8</v>
      </c>
      <c r="I1068" s="1">
        <v>13711.27</v>
      </c>
      <c r="J1068" t="s">
        <v>17</v>
      </c>
      <c r="K1068" t="s">
        <v>18</v>
      </c>
      <c r="L1068" t="str" cm="1">
        <f t="array" ref="L1068">_xlfn.IFS(B1068&lt;30,"18-29",B1068&lt;45,"30-44",B1068&lt;60,"45-59",B1068&lt;75,"60-74",B1068&lt;=90,"75-90")</f>
        <v>60-74</v>
      </c>
      <c r="M1068" t="str">
        <f>IF(Table1[[#This Row],[length_of_stay_days]]&gt;7,"Yes","No")</f>
        <v>Yes</v>
      </c>
    </row>
    <row r="1069" spans="1:13" x14ac:dyDescent="0.3">
      <c r="A1069" t="s">
        <v>1466</v>
      </c>
      <c r="B1069">
        <v>29</v>
      </c>
      <c r="C1069" t="s">
        <v>12</v>
      </c>
      <c r="D1069" t="s">
        <v>51</v>
      </c>
      <c r="E1069" t="s">
        <v>21</v>
      </c>
      <c r="F1069" t="s">
        <v>280</v>
      </c>
      <c r="G1069" t="s">
        <v>767</v>
      </c>
      <c r="H1069">
        <v>8</v>
      </c>
      <c r="I1069" s="1">
        <v>15040.66</v>
      </c>
      <c r="J1069" t="s">
        <v>17</v>
      </c>
      <c r="K1069" t="s">
        <v>18</v>
      </c>
      <c r="L1069" t="str" cm="1">
        <f t="array" ref="L1069">_xlfn.IFS(B1069&lt;30,"18-29",B1069&lt;45,"30-44",B1069&lt;60,"45-59",B1069&lt;75,"60-74",B1069&lt;=90,"75-90")</f>
        <v>18-29</v>
      </c>
      <c r="M1069" t="str">
        <f>IF(Table1[[#This Row],[length_of_stay_days]]&gt;7,"Yes","No")</f>
        <v>Yes</v>
      </c>
    </row>
    <row r="1070" spans="1:13" x14ac:dyDescent="0.3">
      <c r="A1070" t="s">
        <v>1467</v>
      </c>
      <c r="B1070">
        <v>29</v>
      </c>
      <c r="C1070" t="s">
        <v>12</v>
      </c>
      <c r="D1070" t="s">
        <v>55</v>
      </c>
      <c r="E1070" t="s">
        <v>14</v>
      </c>
      <c r="F1070" t="s">
        <v>609</v>
      </c>
      <c r="G1070" t="s">
        <v>319</v>
      </c>
      <c r="H1070">
        <v>5</v>
      </c>
      <c r="I1070" s="1">
        <v>10034.15</v>
      </c>
      <c r="J1070" t="s">
        <v>17</v>
      </c>
      <c r="K1070" t="s">
        <v>18</v>
      </c>
      <c r="L1070" t="str" cm="1">
        <f t="array" ref="L1070">_xlfn.IFS(B1070&lt;30,"18-29",B1070&lt;45,"30-44",B1070&lt;60,"45-59",B1070&lt;75,"60-74",B1070&lt;=90,"75-90")</f>
        <v>18-29</v>
      </c>
      <c r="M1070" t="str">
        <f>IF(Table1[[#This Row],[length_of_stay_days]]&gt;7,"Yes","No")</f>
        <v>No</v>
      </c>
    </row>
    <row r="1071" spans="1:13" x14ac:dyDescent="0.3">
      <c r="A1071" t="s">
        <v>1468</v>
      </c>
      <c r="B1071">
        <v>68</v>
      </c>
      <c r="C1071" t="s">
        <v>12</v>
      </c>
      <c r="D1071" t="s">
        <v>13</v>
      </c>
      <c r="E1071" t="s">
        <v>14</v>
      </c>
      <c r="F1071" t="s">
        <v>644</v>
      </c>
      <c r="G1071" t="s">
        <v>1248</v>
      </c>
      <c r="H1071">
        <v>5</v>
      </c>
      <c r="I1071" s="1">
        <v>6817.21</v>
      </c>
      <c r="J1071" t="s">
        <v>17</v>
      </c>
      <c r="K1071" t="s">
        <v>18</v>
      </c>
      <c r="L1071" t="str" cm="1">
        <f t="array" ref="L1071">_xlfn.IFS(B1071&lt;30,"18-29",B1071&lt;45,"30-44",B1071&lt;60,"45-59",B1071&lt;75,"60-74",B1071&lt;=90,"75-90")</f>
        <v>60-74</v>
      </c>
      <c r="M1071" t="str">
        <f>IF(Table1[[#This Row],[length_of_stay_days]]&gt;7,"Yes","No")</f>
        <v>No</v>
      </c>
    </row>
    <row r="1072" spans="1:13" x14ac:dyDescent="0.3">
      <c r="A1072" t="s">
        <v>1469</v>
      </c>
      <c r="B1072">
        <v>77</v>
      </c>
      <c r="C1072" t="s">
        <v>20</v>
      </c>
      <c r="D1072" t="s">
        <v>46</v>
      </c>
      <c r="E1072" t="s">
        <v>14</v>
      </c>
      <c r="F1072" t="s">
        <v>613</v>
      </c>
      <c r="G1072" t="s">
        <v>80</v>
      </c>
      <c r="H1072">
        <v>7</v>
      </c>
      <c r="I1072" s="1">
        <v>14319.65</v>
      </c>
      <c r="J1072" t="s">
        <v>49</v>
      </c>
      <c r="K1072" t="s">
        <v>18</v>
      </c>
      <c r="L1072" t="str" cm="1">
        <f t="array" ref="L1072">_xlfn.IFS(B1072&lt;30,"18-29",B1072&lt;45,"30-44",B1072&lt;60,"45-59",B1072&lt;75,"60-74",B1072&lt;=90,"75-90")</f>
        <v>75-90</v>
      </c>
      <c r="M1072" t="str">
        <f>IF(Table1[[#This Row],[length_of_stay_days]]&gt;7,"Yes","No")</f>
        <v>No</v>
      </c>
    </row>
    <row r="1073" spans="1:13" x14ac:dyDescent="0.3">
      <c r="A1073" t="s">
        <v>1470</v>
      </c>
      <c r="B1073">
        <v>21</v>
      </c>
      <c r="C1073" t="s">
        <v>70</v>
      </c>
      <c r="D1073" t="s">
        <v>55</v>
      </c>
      <c r="E1073" t="s">
        <v>28</v>
      </c>
      <c r="F1073" t="s">
        <v>266</v>
      </c>
      <c r="G1073" t="s">
        <v>40</v>
      </c>
      <c r="H1073">
        <v>7</v>
      </c>
      <c r="I1073" s="1">
        <v>9704.2999999999993</v>
      </c>
      <c r="J1073" t="s">
        <v>17</v>
      </c>
      <c r="K1073" t="s">
        <v>18</v>
      </c>
      <c r="L1073" t="str" cm="1">
        <f t="array" ref="L1073">_xlfn.IFS(B1073&lt;30,"18-29",B1073&lt;45,"30-44",B1073&lt;60,"45-59",B1073&lt;75,"60-74",B1073&lt;=90,"75-90")</f>
        <v>18-29</v>
      </c>
      <c r="M1073" t="str">
        <f>IF(Table1[[#This Row],[length_of_stay_days]]&gt;7,"Yes","No")</f>
        <v>No</v>
      </c>
    </row>
    <row r="1074" spans="1:13" x14ac:dyDescent="0.3">
      <c r="A1074" t="s">
        <v>1471</v>
      </c>
      <c r="B1074">
        <v>30</v>
      </c>
      <c r="C1074" t="s">
        <v>20</v>
      </c>
      <c r="D1074" t="s">
        <v>55</v>
      </c>
      <c r="E1074" t="s">
        <v>28</v>
      </c>
      <c r="F1074" t="s">
        <v>311</v>
      </c>
      <c r="G1074" t="s">
        <v>656</v>
      </c>
      <c r="H1074">
        <v>6</v>
      </c>
      <c r="I1074" s="1">
        <v>8591.73</v>
      </c>
      <c r="J1074" t="s">
        <v>17</v>
      </c>
      <c r="K1074" t="s">
        <v>18</v>
      </c>
      <c r="L1074" t="str" cm="1">
        <f t="array" ref="L1074">_xlfn.IFS(B1074&lt;30,"18-29",B1074&lt;45,"30-44",B1074&lt;60,"45-59",B1074&lt;75,"60-74",B1074&lt;=90,"75-90")</f>
        <v>30-44</v>
      </c>
      <c r="M1074" t="str">
        <f>IF(Table1[[#This Row],[length_of_stay_days]]&gt;7,"Yes","No")</f>
        <v>No</v>
      </c>
    </row>
    <row r="1075" spans="1:13" x14ac:dyDescent="0.3">
      <c r="A1075" t="s">
        <v>1472</v>
      </c>
      <c r="B1075">
        <v>34</v>
      </c>
      <c r="C1075" t="s">
        <v>12</v>
      </c>
      <c r="D1075" t="s">
        <v>32</v>
      </c>
      <c r="E1075" t="s">
        <v>28</v>
      </c>
      <c r="F1075" t="s">
        <v>350</v>
      </c>
      <c r="G1075" t="s">
        <v>108</v>
      </c>
      <c r="H1075">
        <v>6</v>
      </c>
      <c r="I1075" s="1">
        <v>11063.54</v>
      </c>
      <c r="J1075" t="s">
        <v>49</v>
      </c>
      <c r="K1075" t="s">
        <v>18</v>
      </c>
      <c r="L1075" t="str" cm="1">
        <f t="array" ref="L1075">_xlfn.IFS(B1075&lt;30,"18-29",B1075&lt;45,"30-44",B1075&lt;60,"45-59",B1075&lt;75,"60-74",B1075&lt;=90,"75-90")</f>
        <v>30-44</v>
      </c>
      <c r="M1075" t="str">
        <f>IF(Table1[[#This Row],[length_of_stay_days]]&gt;7,"Yes","No")</f>
        <v>No</v>
      </c>
    </row>
    <row r="1076" spans="1:13" x14ac:dyDescent="0.3">
      <c r="A1076" t="s">
        <v>1473</v>
      </c>
      <c r="B1076">
        <v>33</v>
      </c>
      <c r="C1076" t="s">
        <v>12</v>
      </c>
      <c r="D1076" t="s">
        <v>28</v>
      </c>
      <c r="E1076" t="s">
        <v>28</v>
      </c>
      <c r="F1076" t="s">
        <v>322</v>
      </c>
      <c r="G1076" t="s">
        <v>928</v>
      </c>
      <c r="H1076">
        <v>6</v>
      </c>
      <c r="I1076" s="1">
        <v>6694.8</v>
      </c>
      <c r="J1076" t="s">
        <v>17</v>
      </c>
      <c r="K1076" t="s">
        <v>18</v>
      </c>
      <c r="L1076" t="str" cm="1">
        <f t="array" ref="L1076">_xlfn.IFS(B1076&lt;30,"18-29",B1076&lt;45,"30-44",B1076&lt;60,"45-59",B1076&lt;75,"60-74",B1076&lt;=90,"75-90")</f>
        <v>30-44</v>
      </c>
      <c r="M1076" t="str">
        <f>IF(Table1[[#This Row],[length_of_stay_days]]&gt;7,"Yes","No")</f>
        <v>No</v>
      </c>
    </row>
    <row r="1077" spans="1:13" x14ac:dyDescent="0.3">
      <c r="A1077" t="s">
        <v>1474</v>
      </c>
      <c r="B1077">
        <v>61</v>
      </c>
      <c r="C1077" t="s">
        <v>20</v>
      </c>
      <c r="D1077" t="s">
        <v>55</v>
      </c>
      <c r="E1077" t="s">
        <v>14</v>
      </c>
      <c r="F1077" t="s">
        <v>173</v>
      </c>
      <c r="G1077" t="s">
        <v>163</v>
      </c>
      <c r="H1077">
        <v>6</v>
      </c>
      <c r="I1077" s="1">
        <v>10755.4</v>
      </c>
      <c r="J1077" t="s">
        <v>17</v>
      </c>
      <c r="K1077" t="s">
        <v>44</v>
      </c>
      <c r="L1077" t="str" cm="1">
        <f t="array" ref="L1077">_xlfn.IFS(B1077&lt;30,"18-29",B1077&lt;45,"30-44",B1077&lt;60,"45-59",B1077&lt;75,"60-74",B1077&lt;=90,"75-90")</f>
        <v>60-74</v>
      </c>
      <c r="M1077" t="str">
        <f>IF(Table1[[#This Row],[length_of_stay_days]]&gt;7,"Yes","No")</f>
        <v>No</v>
      </c>
    </row>
    <row r="1078" spans="1:13" x14ac:dyDescent="0.3">
      <c r="A1078" t="s">
        <v>1475</v>
      </c>
      <c r="B1078">
        <v>56</v>
      </c>
      <c r="C1078" t="s">
        <v>12</v>
      </c>
      <c r="D1078" t="s">
        <v>32</v>
      </c>
      <c r="E1078" t="s">
        <v>28</v>
      </c>
      <c r="F1078" t="s">
        <v>292</v>
      </c>
      <c r="G1078" t="s">
        <v>474</v>
      </c>
      <c r="H1078">
        <v>8</v>
      </c>
      <c r="I1078" s="1">
        <v>13518.2</v>
      </c>
      <c r="J1078" t="s">
        <v>17</v>
      </c>
      <c r="K1078" t="s">
        <v>223</v>
      </c>
      <c r="L1078" t="str" cm="1">
        <f t="array" ref="L1078">_xlfn.IFS(B1078&lt;30,"18-29",B1078&lt;45,"30-44",B1078&lt;60,"45-59",B1078&lt;75,"60-74",B1078&lt;=90,"75-90")</f>
        <v>45-59</v>
      </c>
      <c r="M1078" t="str">
        <f>IF(Table1[[#This Row],[length_of_stay_days]]&gt;7,"Yes","No")</f>
        <v>Yes</v>
      </c>
    </row>
    <row r="1079" spans="1:13" x14ac:dyDescent="0.3">
      <c r="A1079" t="s">
        <v>1476</v>
      </c>
      <c r="B1079">
        <v>21</v>
      </c>
      <c r="C1079" t="s">
        <v>12</v>
      </c>
      <c r="D1079" t="s">
        <v>13</v>
      </c>
      <c r="E1079" t="s">
        <v>21</v>
      </c>
      <c r="F1079" t="s">
        <v>433</v>
      </c>
      <c r="G1079" t="s">
        <v>116</v>
      </c>
      <c r="H1079">
        <v>4</v>
      </c>
      <c r="I1079" s="1">
        <v>4010.52</v>
      </c>
      <c r="J1079" t="s">
        <v>17</v>
      </c>
      <c r="K1079" t="s">
        <v>18</v>
      </c>
      <c r="L1079" t="str" cm="1">
        <f t="array" ref="L1079">_xlfn.IFS(B1079&lt;30,"18-29",B1079&lt;45,"30-44",B1079&lt;60,"45-59",B1079&lt;75,"60-74",B1079&lt;=90,"75-90")</f>
        <v>18-29</v>
      </c>
      <c r="M1079" t="str">
        <f>IF(Table1[[#This Row],[length_of_stay_days]]&gt;7,"Yes","No")</f>
        <v>No</v>
      </c>
    </row>
    <row r="1080" spans="1:13" x14ac:dyDescent="0.3">
      <c r="A1080" t="s">
        <v>1477</v>
      </c>
      <c r="B1080">
        <v>52</v>
      </c>
      <c r="C1080" t="s">
        <v>12</v>
      </c>
      <c r="D1080" t="s">
        <v>13</v>
      </c>
      <c r="E1080" t="s">
        <v>21</v>
      </c>
      <c r="F1080" t="s">
        <v>179</v>
      </c>
      <c r="G1080" t="s">
        <v>293</v>
      </c>
      <c r="H1080">
        <v>3</v>
      </c>
      <c r="I1080" s="1">
        <v>3173.79</v>
      </c>
      <c r="J1080" t="s">
        <v>17</v>
      </c>
      <c r="K1080" t="s">
        <v>18</v>
      </c>
      <c r="L1080" t="str" cm="1">
        <f t="array" ref="L1080">_xlfn.IFS(B1080&lt;30,"18-29",B1080&lt;45,"30-44",B1080&lt;60,"45-59",B1080&lt;75,"60-74",B1080&lt;=90,"75-90")</f>
        <v>45-59</v>
      </c>
      <c r="M1080" t="str">
        <f>IF(Table1[[#This Row],[length_of_stay_days]]&gt;7,"Yes","No")</f>
        <v>No</v>
      </c>
    </row>
    <row r="1081" spans="1:13" x14ac:dyDescent="0.3">
      <c r="A1081" t="s">
        <v>1478</v>
      </c>
      <c r="B1081">
        <v>83</v>
      </c>
      <c r="C1081" t="s">
        <v>12</v>
      </c>
      <c r="D1081" t="s">
        <v>51</v>
      </c>
      <c r="E1081" t="s">
        <v>14</v>
      </c>
      <c r="F1081" t="s">
        <v>59</v>
      </c>
      <c r="G1081" t="s">
        <v>152</v>
      </c>
      <c r="H1081">
        <v>4</v>
      </c>
      <c r="I1081" s="1">
        <v>10177.290000000001</v>
      </c>
      <c r="J1081" t="s">
        <v>17</v>
      </c>
      <c r="K1081" t="s">
        <v>18</v>
      </c>
      <c r="L1081" t="str" cm="1">
        <f t="array" ref="L1081">_xlfn.IFS(B1081&lt;30,"18-29",B1081&lt;45,"30-44",B1081&lt;60,"45-59",B1081&lt;75,"60-74",B1081&lt;=90,"75-90")</f>
        <v>75-90</v>
      </c>
      <c r="M1081" t="str">
        <f>IF(Table1[[#This Row],[length_of_stay_days]]&gt;7,"Yes","No")</f>
        <v>No</v>
      </c>
    </row>
    <row r="1082" spans="1:13" x14ac:dyDescent="0.3">
      <c r="A1082" t="s">
        <v>1479</v>
      </c>
      <c r="B1082">
        <v>52</v>
      </c>
      <c r="C1082" t="s">
        <v>12</v>
      </c>
      <c r="D1082" t="s">
        <v>32</v>
      </c>
      <c r="E1082" t="s">
        <v>14</v>
      </c>
      <c r="F1082" t="s">
        <v>402</v>
      </c>
      <c r="G1082" t="s">
        <v>169</v>
      </c>
      <c r="H1082">
        <v>5</v>
      </c>
      <c r="I1082" s="1">
        <v>11106.32</v>
      </c>
      <c r="J1082" t="s">
        <v>17</v>
      </c>
      <c r="K1082" t="s">
        <v>18</v>
      </c>
      <c r="L1082" t="str" cm="1">
        <f t="array" ref="L1082">_xlfn.IFS(B1082&lt;30,"18-29",B1082&lt;45,"30-44",B1082&lt;60,"45-59",B1082&lt;75,"60-74",B1082&lt;=90,"75-90")</f>
        <v>45-59</v>
      </c>
      <c r="M1082" t="str">
        <f>IF(Table1[[#This Row],[length_of_stay_days]]&gt;7,"Yes","No")</f>
        <v>No</v>
      </c>
    </row>
    <row r="1083" spans="1:13" x14ac:dyDescent="0.3">
      <c r="A1083" t="s">
        <v>1480</v>
      </c>
      <c r="B1083">
        <v>85</v>
      </c>
      <c r="C1083" t="s">
        <v>20</v>
      </c>
      <c r="D1083" t="s">
        <v>13</v>
      </c>
      <c r="E1083" t="s">
        <v>28</v>
      </c>
      <c r="F1083" t="s">
        <v>434</v>
      </c>
      <c r="G1083" t="s">
        <v>72</v>
      </c>
      <c r="H1083">
        <v>4</v>
      </c>
      <c r="I1083" s="1">
        <v>9102.34</v>
      </c>
      <c r="J1083" t="s">
        <v>17</v>
      </c>
      <c r="K1083" t="s">
        <v>18</v>
      </c>
      <c r="L1083" t="str" cm="1">
        <f t="array" ref="L1083">_xlfn.IFS(B1083&lt;30,"18-29",B1083&lt;45,"30-44",B1083&lt;60,"45-59",B1083&lt;75,"60-74",B1083&lt;=90,"75-90")</f>
        <v>75-90</v>
      </c>
      <c r="M1083" t="str">
        <f>IF(Table1[[#This Row],[length_of_stay_days]]&gt;7,"Yes","No")</f>
        <v>No</v>
      </c>
    </row>
    <row r="1084" spans="1:13" x14ac:dyDescent="0.3">
      <c r="A1084" t="s">
        <v>1481</v>
      </c>
      <c r="B1084">
        <v>39</v>
      </c>
      <c r="C1084" t="s">
        <v>20</v>
      </c>
      <c r="D1084" t="s">
        <v>32</v>
      </c>
      <c r="E1084" t="s">
        <v>28</v>
      </c>
      <c r="F1084" t="s">
        <v>25</v>
      </c>
      <c r="G1084" t="s">
        <v>591</v>
      </c>
      <c r="H1084">
        <v>2</v>
      </c>
      <c r="I1084" s="1">
        <v>7006.26</v>
      </c>
      <c r="J1084" t="s">
        <v>17</v>
      </c>
      <c r="K1084" t="s">
        <v>18</v>
      </c>
      <c r="L1084" t="str" cm="1">
        <f t="array" ref="L1084">_xlfn.IFS(B1084&lt;30,"18-29",B1084&lt;45,"30-44",B1084&lt;60,"45-59",B1084&lt;75,"60-74",B1084&lt;=90,"75-90")</f>
        <v>30-44</v>
      </c>
      <c r="M1084" t="str">
        <f>IF(Table1[[#This Row],[length_of_stay_days]]&gt;7,"Yes","No")</f>
        <v>No</v>
      </c>
    </row>
    <row r="1085" spans="1:13" x14ac:dyDescent="0.3">
      <c r="A1085" t="s">
        <v>1482</v>
      </c>
      <c r="B1085">
        <v>83</v>
      </c>
      <c r="C1085" t="s">
        <v>20</v>
      </c>
      <c r="D1085" t="s">
        <v>13</v>
      </c>
      <c r="E1085" t="s">
        <v>21</v>
      </c>
      <c r="F1085" t="s">
        <v>827</v>
      </c>
      <c r="G1085" t="s">
        <v>762</v>
      </c>
      <c r="H1085">
        <v>9</v>
      </c>
      <c r="I1085" s="1">
        <v>9197.24</v>
      </c>
      <c r="J1085" t="s">
        <v>17</v>
      </c>
      <c r="K1085" t="s">
        <v>18</v>
      </c>
      <c r="L1085" t="str" cm="1">
        <f t="array" ref="L1085">_xlfn.IFS(B1085&lt;30,"18-29",B1085&lt;45,"30-44",B1085&lt;60,"45-59",B1085&lt;75,"60-74",B1085&lt;=90,"75-90")</f>
        <v>75-90</v>
      </c>
      <c r="M1085" t="str">
        <f>IF(Table1[[#This Row],[length_of_stay_days]]&gt;7,"Yes","No")</f>
        <v>Yes</v>
      </c>
    </row>
    <row r="1086" spans="1:13" x14ac:dyDescent="0.3">
      <c r="A1086" t="s">
        <v>1483</v>
      </c>
      <c r="B1086">
        <v>67</v>
      </c>
      <c r="C1086" t="s">
        <v>12</v>
      </c>
      <c r="D1086" t="s">
        <v>28</v>
      </c>
      <c r="E1086" t="s">
        <v>14</v>
      </c>
      <c r="F1086" t="s">
        <v>268</v>
      </c>
      <c r="G1086" t="s">
        <v>348</v>
      </c>
      <c r="H1086">
        <v>3</v>
      </c>
      <c r="I1086" s="1">
        <v>4507.92</v>
      </c>
      <c r="J1086" t="s">
        <v>17</v>
      </c>
      <c r="K1086" t="s">
        <v>18</v>
      </c>
      <c r="L1086" t="str" cm="1">
        <f t="array" ref="L1086">_xlfn.IFS(B1086&lt;30,"18-29",B1086&lt;45,"30-44",B1086&lt;60,"45-59",B1086&lt;75,"60-74",B1086&lt;=90,"75-90")</f>
        <v>60-74</v>
      </c>
      <c r="M1086" t="str">
        <f>IF(Table1[[#This Row],[length_of_stay_days]]&gt;7,"Yes","No")</f>
        <v>No</v>
      </c>
    </row>
    <row r="1087" spans="1:13" x14ac:dyDescent="0.3">
      <c r="A1087" t="s">
        <v>1484</v>
      </c>
      <c r="B1087">
        <v>57</v>
      </c>
      <c r="C1087" t="s">
        <v>20</v>
      </c>
      <c r="D1087" t="s">
        <v>28</v>
      </c>
      <c r="E1087" t="s">
        <v>28</v>
      </c>
      <c r="F1087" t="s">
        <v>148</v>
      </c>
      <c r="G1087" t="s">
        <v>346</v>
      </c>
      <c r="H1087">
        <v>3</v>
      </c>
      <c r="I1087" s="1">
        <v>5603.48</v>
      </c>
      <c r="J1087" t="s">
        <v>17</v>
      </c>
      <c r="K1087" t="s">
        <v>18</v>
      </c>
      <c r="L1087" t="str" cm="1">
        <f t="array" ref="L1087">_xlfn.IFS(B1087&lt;30,"18-29",B1087&lt;45,"30-44",B1087&lt;60,"45-59",B1087&lt;75,"60-74",B1087&lt;=90,"75-90")</f>
        <v>45-59</v>
      </c>
      <c r="M1087" t="str">
        <f>IF(Table1[[#This Row],[length_of_stay_days]]&gt;7,"Yes","No")</f>
        <v>No</v>
      </c>
    </row>
    <row r="1088" spans="1:13" x14ac:dyDescent="0.3">
      <c r="A1088" t="s">
        <v>1485</v>
      </c>
      <c r="B1088">
        <v>20</v>
      </c>
      <c r="C1088" t="s">
        <v>12</v>
      </c>
      <c r="D1088" t="s">
        <v>28</v>
      </c>
      <c r="E1088" t="s">
        <v>28</v>
      </c>
      <c r="F1088" t="s">
        <v>200</v>
      </c>
      <c r="G1088" t="s">
        <v>201</v>
      </c>
      <c r="H1088">
        <v>5</v>
      </c>
      <c r="I1088" s="1">
        <v>3473.11</v>
      </c>
      <c r="J1088" t="s">
        <v>17</v>
      </c>
      <c r="K1088" t="s">
        <v>18</v>
      </c>
      <c r="L1088" t="str" cm="1">
        <f t="array" ref="L1088">_xlfn.IFS(B1088&lt;30,"18-29",B1088&lt;45,"30-44",B1088&lt;60,"45-59",B1088&lt;75,"60-74",B1088&lt;=90,"75-90")</f>
        <v>18-29</v>
      </c>
      <c r="M1088" t="str">
        <f>IF(Table1[[#This Row],[length_of_stay_days]]&gt;7,"Yes","No")</f>
        <v>No</v>
      </c>
    </row>
    <row r="1089" spans="1:13" x14ac:dyDescent="0.3">
      <c r="A1089" t="s">
        <v>1486</v>
      </c>
      <c r="B1089">
        <v>32</v>
      </c>
      <c r="C1089" t="s">
        <v>12</v>
      </c>
      <c r="D1089" t="s">
        <v>32</v>
      </c>
      <c r="E1089" t="s">
        <v>14</v>
      </c>
      <c r="F1089" t="s">
        <v>396</v>
      </c>
      <c r="G1089" t="s">
        <v>386</v>
      </c>
      <c r="H1089">
        <v>8</v>
      </c>
      <c r="I1089" s="1">
        <v>9920.84</v>
      </c>
      <c r="J1089" t="s">
        <v>17</v>
      </c>
      <c r="K1089" t="s">
        <v>18</v>
      </c>
      <c r="L1089" t="str" cm="1">
        <f t="array" ref="L1089">_xlfn.IFS(B1089&lt;30,"18-29",B1089&lt;45,"30-44",B1089&lt;60,"45-59",B1089&lt;75,"60-74",B1089&lt;=90,"75-90")</f>
        <v>30-44</v>
      </c>
      <c r="M1089" t="str">
        <f>IF(Table1[[#This Row],[length_of_stay_days]]&gt;7,"Yes","No")</f>
        <v>Yes</v>
      </c>
    </row>
    <row r="1090" spans="1:13" x14ac:dyDescent="0.3">
      <c r="A1090" t="s">
        <v>1487</v>
      </c>
      <c r="B1090">
        <v>64</v>
      </c>
      <c r="C1090" t="s">
        <v>12</v>
      </c>
      <c r="D1090" t="s">
        <v>55</v>
      </c>
      <c r="E1090" t="s">
        <v>28</v>
      </c>
      <c r="F1090" t="s">
        <v>396</v>
      </c>
      <c r="G1090" t="s">
        <v>852</v>
      </c>
      <c r="H1090">
        <v>3</v>
      </c>
      <c r="I1090" s="1">
        <v>5783.59</v>
      </c>
      <c r="J1090" t="s">
        <v>17</v>
      </c>
      <c r="K1090" t="s">
        <v>18</v>
      </c>
      <c r="L1090" t="str" cm="1">
        <f t="array" ref="L1090">_xlfn.IFS(B1090&lt;30,"18-29",B1090&lt;45,"30-44",B1090&lt;60,"45-59",B1090&lt;75,"60-74",B1090&lt;=90,"75-90")</f>
        <v>60-74</v>
      </c>
      <c r="M1090" t="str">
        <f>IF(Table1[[#This Row],[length_of_stay_days]]&gt;7,"Yes","No")</f>
        <v>No</v>
      </c>
    </row>
    <row r="1091" spans="1:13" x14ac:dyDescent="0.3">
      <c r="A1091" t="s">
        <v>1488</v>
      </c>
      <c r="B1091">
        <v>35</v>
      </c>
      <c r="C1091" t="s">
        <v>20</v>
      </c>
      <c r="D1091" t="s">
        <v>51</v>
      </c>
      <c r="E1091" t="s">
        <v>14</v>
      </c>
      <c r="F1091" t="s">
        <v>646</v>
      </c>
      <c r="G1091" t="s">
        <v>1207</v>
      </c>
      <c r="H1091">
        <v>4</v>
      </c>
      <c r="I1091" s="1">
        <v>11417.34</v>
      </c>
      <c r="J1091" t="s">
        <v>17</v>
      </c>
      <c r="K1091" t="s">
        <v>18</v>
      </c>
      <c r="L1091" t="str" cm="1">
        <f t="array" ref="L1091">_xlfn.IFS(B1091&lt;30,"18-29",B1091&lt;45,"30-44",B1091&lt;60,"45-59",B1091&lt;75,"60-74",B1091&lt;=90,"75-90")</f>
        <v>30-44</v>
      </c>
      <c r="M1091" t="str">
        <f>IF(Table1[[#This Row],[length_of_stay_days]]&gt;7,"Yes","No")</f>
        <v>No</v>
      </c>
    </row>
    <row r="1092" spans="1:13" x14ac:dyDescent="0.3">
      <c r="A1092" t="s">
        <v>1489</v>
      </c>
      <c r="B1092">
        <v>44</v>
      </c>
      <c r="C1092" t="s">
        <v>20</v>
      </c>
      <c r="D1092" t="s">
        <v>28</v>
      </c>
      <c r="E1092" t="s">
        <v>21</v>
      </c>
      <c r="F1092" t="s">
        <v>372</v>
      </c>
      <c r="G1092" t="s">
        <v>410</v>
      </c>
      <c r="H1092">
        <v>3</v>
      </c>
      <c r="I1092" s="1">
        <v>2806.69</v>
      </c>
      <c r="J1092" t="s">
        <v>17</v>
      </c>
      <c r="K1092" t="s">
        <v>18</v>
      </c>
      <c r="L1092" t="str" cm="1">
        <f t="array" ref="L1092">_xlfn.IFS(B1092&lt;30,"18-29",B1092&lt;45,"30-44",B1092&lt;60,"45-59",B1092&lt;75,"60-74",B1092&lt;=90,"75-90")</f>
        <v>30-44</v>
      </c>
      <c r="M1092" t="str">
        <f>IF(Table1[[#This Row],[length_of_stay_days]]&gt;7,"Yes","No")</f>
        <v>No</v>
      </c>
    </row>
    <row r="1093" spans="1:13" x14ac:dyDescent="0.3">
      <c r="A1093" t="s">
        <v>1490</v>
      </c>
      <c r="B1093">
        <v>23</v>
      </c>
      <c r="C1093" t="s">
        <v>20</v>
      </c>
      <c r="D1093" t="s">
        <v>55</v>
      </c>
      <c r="E1093" t="s">
        <v>14</v>
      </c>
      <c r="F1093" t="s">
        <v>179</v>
      </c>
      <c r="G1093" t="s">
        <v>474</v>
      </c>
      <c r="H1093">
        <v>5</v>
      </c>
      <c r="I1093" s="1">
        <v>9912.42</v>
      </c>
      <c r="J1093" t="s">
        <v>17</v>
      </c>
      <c r="K1093" t="s">
        <v>18</v>
      </c>
      <c r="L1093" t="str" cm="1">
        <f t="array" ref="L1093">_xlfn.IFS(B1093&lt;30,"18-29",B1093&lt;45,"30-44",B1093&lt;60,"45-59",B1093&lt;75,"60-74",B1093&lt;=90,"75-90")</f>
        <v>18-29</v>
      </c>
      <c r="M1093" t="str">
        <f>IF(Table1[[#This Row],[length_of_stay_days]]&gt;7,"Yes","No")</f>
        <v>No</v>
      </c>
    </row>
    <row r="1094" spans="1:13" x14ac:dyDescent="0.3">
      <c r="A1094" t="s">
        <v>1491</v>
      </c>
      <c r="B1094">
        <v>56</v>
      </c>
      <c r="C1094" t="s">
        <v>12</v>
      </c>
      <c r="D1094" t="s">
        <v>32</v>
      </c>
      <c r="E1094" t="s">
        <v>21</v>
      </c>
      <c r="F1094" t="s">
        <v>64</v>
      </c>
      <c r="G1094" t="s">
        <v>80</v>
      </c>
      <c r="H1094">
        <v>8</v>
      </c>
      <c r="I1094" s="1">
        <v>13492.78</v>
      </c>
      <c r="J1094" t="s">
        <v>17</v>
      </c>
      <c r="K1094" t="s">
        <v>18</v>
      </c>
      <c r="L1094" t="str" cm="1">
        <f t="array" ref="L1094">_xlfn.IFS(B1094&lt;30,"18-29",B1094&lt;45,"30-44",B1094&lt;60,"45-59",B1094&lt;75,"60-74",B1094&lt;=90,"75-90")</f>
        <v>45-59</v>
      </c>
      <c r="M1094" t="str">
        <f>IF(Table1[[#This Row],[length_of_stay_days]]&gt;7,"Yes","No")</f>
        <v>Yes</v>
      </c>
    </row>
    <row r="1095" spans="1:13" x14ac:dyDescent="0.3">
      <c r="A1095" t="s">
        <v>1492</v>
      </c>
      <c r="B1095">
        <v>78</v>
      </c>
      <c r="C1095" t="s">
        <v>70</v>
      </c>
      <c r="D1095" t="s">
        <v>13</v>
      </c>
      <c r="E1095" t="s">
        <v>28</v>
      </c>
      <c r="F1095" t="s">
        <v>1248</v>
      </c>
      <c r="G1095" t="s">
        <v>512</v>
      </c>
      <c r="H1095">
        <v>6</v>
      </c>
      <c r="I1095" s="1">
        <v>5060.55</v>
      </c>
      <c r="J1095" t="s">
        <v>17</v>
      </c>
      <c r="K1095" t="s">
        <v>18</v>
      </c>
      <c r="L1095" t="str" cm="1">
        <f t="array" ref="L1095">_xlfn.IFS(B1095&lt;30,"18-29",B1095&lt;45,"30-44",B1095&lt;60,"45-59",B1095&lt;75,"60-74",B1095&lt;=90,"75-90")</f>
        <v>75-90</v>
      </c>
      <c r="M1095" t="str">
        <f>IF(Table1[[#This Row],[length_of_stay_days]]&gt;7,"Yes","No")</f>
        <v>No</v>
      </c>
    </row>
    <row r="1096" spans="1:13" x14ac:dyDescent="0.3">
      <c r="A1096" t="s">
        <v>1493</v>
      </c>
      <c r="B1096">
        <v>27</v>
      </c>
      <c r="C1096" t="s">
        <v>20</v>
      </c>
      <c r="D1096" t="s">
        <v>28</v>
      </c>
      <c r="E1096" t="s">
        <v>14</v>
      </c>
      <c r="F1096" t="s">
        <v>606</v>
      </c>
      <c r="G1096" t="s">
        <v>730</v>
      </c>
      <c r="H1096">
        <v>6</v>
      </c>
      <c r="I1096" s="1">
        <v>4937.18</v>
      </c>
      <c r="J1096" t="s">
        <v>17</v>
      </c>
      <c r="K1096" t="s">
        <v>18</v>
      </c>
      <c r="L1096" t="str" cm="1">
        <f t="array" ref="L1096">_xlfn.IFS(B1096&lt;30,"18-29",B1096&lt;45,"30-44",B1096&lt;60,"45-59",B1096&lt;75,"60-74",B1096&lt;=90,"75-90")</f>
        <v>18-29</v>
      </c>
      <c r="M1096" t="str">
        <f>IF(Table1[[#This Row],[length_of_stay_days]]&gt;7,"Yes","No")</f>
        <v>No</v>
      </c>
    </row>
    <row r="1097" spans="1:13" x14ac:dyDescent="0.3">
      <c r="A1097" t="s">
        <v>1494</v>
      </c>
      <c r="B1097">
        <v>34</v>
      </c>
      <c r="C1097" t="s">
        <v>12</v>
      </c>
      <c r="D1097" t="s">
        <v>13</v>
      </c>
      <c r="E1097" t="s">
        <v>28</v>
      </c>
      <c r="F1097" t="s">
        <v>663</v>
      </c>
      <c r="G1097" t="s">
        <v>58</v>
      </c>
      <c r="H1097">
        <v>5</v>
      </c>
      <c r="I1097" s="1">
        <v>5568.35</v>
      </c>
      <c r="J1097" t="s">
        <v>17</v>
      </c>
      <c r="K1097" t="s">
        <v>18</v>
      </c>
      <c r="L1097" t="str" cm="1">
        <f t="array" ref="L1097">_xlfn.IFS(B1097&lt;30,"18-29",B1097&lt;45,"30-44",B1097&lt;60,"45-59",B1097&lt;75,"60-74",B1097&lt;=90,"75-90")</f>
        <v>30-44</v>
      </c>
      <c r="M1097" t="str">
        <f>IF(Table1[[#This Row],[length_of_stay_days]]&gt;7,"Yes","No")</f>
        <v>No</v>
      </c>
    </row>
    <row r="1098" spans="1:13" x14ac:dyDescent="0.3">
      <c r="A1098" t="s">
        <v>1495</v>
      </c>
      <c r="B1098">
        <v>70</v>
      </c>
      <c r="C1098" t="s">
        <v>12</v>
      </c>
      <c r="D1098" t="s">
        <v>13</v>
      </c>
      <c r="E1098" t="s">
        <v>21</v>
      </c>
      <c r="F1098" t="s">
        <v>275</v>
      </c>
      <c r="G1098" t="s">
        <v>276</v>
      </c>
      <c r="H1098">
        <v>7</v>
      </c>
      <c r="I1098" s="1">
        <v>8291.2000000000007</v>
      </c>
      <c r="J1098" t="s">
        <v>49</v>
      </c>
      <c r="K1098" t="s">
        <v>18</v>
      </c>
      <c r="L1098" t="str" cm="1">
        <f t="array" ref="L1098">_xlfn.IFS(B1098&lt;30,"18-29",B1098&lt;45,"30-44",B1098&lt;60,"45-59",B1098&lt;75,"60-74",B1098&lt;=90,"75-90")</f>
        <v>60-74</v>
      </c>
      <c r="M1098" t="str">
        <f>IF(Table1[[#This Row],[length_of_stay_days]]&gt;7,"Yes","No")</f>
        <v>No</v>
      </c>
    </row>
    <row r="1099" spans="1:13" x14ac:dyDescent="0.3">
      <c r="A1099" t="s">
        <v>1496</v>
      </c>
      <c r="B1099">
        <v>38</v>
      </c>
      <c r="C1099" t="s">
        <v>12</v>
      </c>
      <c r="D1099" t="s">
        <v>46</v>
      </c>
      <c r="E1099" t="s">
        <v>14</v>
      </c>
      <c r="F1099" t="s">
        <v>26</v>
      </c>
      <c r="G1099" t="s">
        <v>228</v>
      </c>
      <c r="H1099">
        <v>4</v>
      </c>
      <c r="I1099" s="1">
        <v>11076.57</v>
      </c>
      <c r="J1099" t="s">
        <v>17</v>
      </c>
      <c r="K1099" t="s">
        <v>18</v>
      </c>
      <c r="L1099" t="str" cm="1">
        <f t="array" ref="L1099">_xlfn.IFS(B1099&lt;30,"18-29",B1099&lt;45,"30-44",B1099&lt;60,"45-59",B1099&lt;75,"60-74",B1099&lt;=90,"75-90")</f>
        <v>30-44</v>
      </c>
      <c r="M1099" t="str">
        <f>IF(Table1[[#This Row],[length_of_stay_days]]&gt;7,"Yes","No")</f>
        <v>No</v>
      </c>
    </row>
    <row r="1100" spans="1:13" x14ac:dyDescent="0.3">
      <c r="A1100" t="s">
        <v>1497</v>
      </c>
      <c r="B1100">
        <v>23</v>
      </c>
      <c r="C1100" t="s">
        <v>12</v>
      </c>
      <c r="D1100" t="s">
        <v>13</v>
      </c>
      <c r="E1100" t="s">
        <v>14</v>
      </c>
      <c r="F1100" t="s">
        <v>282</v>
      </c>
      <c r="G1100" t="s">
        <v>478</v>
      </c>
      <c r="H1100">
        <v>5</v>
      </c>
      <c r="I1100" s="1">
        <v>7955.52</v>
      </c>
      <c r="J1100" t="s">
        <v>17</v>
      </c>
      <c r="K1100" t="s">
        <v>18</v>
      </c>
      <c r="L1100" t="str" cm="1">
        <f t="array" ref="L1100">_xlfn.IFS(B1100&lt;30,"18-29",B1100&lt;45,"30-44",B1100&lt;60,"45-59",B1100&lt;75,"60-74",B1100&lt;=90,"75-90")</f>
        <v>18-29</v>
      </c>
      <c r="M1100" t="str">
        <f>IF(Table1[[#This Row],[length_of_stay_days]]&gt;7,"Yes","No")</f>
        <v>No</v>
      </c>
    </row>
    <row r="1101" spans="1:13" x14ac:dyDescent="0.3">
      <c r="A1101" t="s">
        <v>1498</v>
      </c>
      <c r="B1101">
        <v>64</v>
      </c>
      <c r="C1101" t="s">
        <v>20</v>
      </c>
      <c r="D1101" t="s">
        <v>55</v>
      </c>
      <c r="E1101" t="s">
        <v>14</v>
      </c>
      <c r="F1101" t="s">
        <v>648</v>
      </c>
      <c r="G1101" t="s">
        <v>656</v>
      </c>
      <c r="H1101">
        <v>2</v>
      </c>
      <c r="I1101" s="1">
        <v>9021.7999999999993</v>
      </c>
      <c r="J1101" t="s">
        <v>17</v>
      </c>
      <c r="K1101" t="s">
        <v>44</v>
      </c>
      <c r="L1101" t="str" cm="1">
        <f t="array" ref="L1101">_xlfn.IFS(B1101&lt;30,"18-29",B1101&lt;45,"30-44",B1101&lt;60,"45-59",B1101&lt;75,"60-74",B1101&lt;=90,"75-90")</f>
        <v>60-74</v>
      </c>
      <c r="M1101" t="str">
        <f>IF(Table1[[#This Row],[length_of_stay_days]]&gt;7,"Yes","No")</f>
        <v>No</v>
      </c>
    </row>
    <row r="1102" spans="1:13" x14ac:dyDescent="0.3">
      <c r="A1102" t="s">
        <v>1499</v>
      </c>
      <c r="B1102">
        <v>56</v>
      </c>
      <c r="C1102" t="s">
        <v>20</v>
      </c>
      <c r="D1102" t="s">
        <v>32</v>
      </c>
      <c r="E1102" t="s">
        <v>14</v>
      </c>
      <c r="F1102" t="s">
        <v>144</v>
      </c>
      <c r="G1102" t="s">
        <v>879</v>
      </c>
      <c r="H1102">
        <v>5</v>
      </c>
      <c r="I1102" s="1">
        <v>11257.85</v>
      </c>
      <c r="J1102" t="s">
        <v>17</v>
      </c>
      <c r="K1102" t="s">
        <v>18</v>
      </c>
      <c r="L1102" t="str" cm="1">
        <f t="array" ref="L1102">_xlfn.IFS(B1102&lt;30,"18-29",B1102&lt;45,"30-44",B1102&lt;60,"45-59",B1102&lt;75,"60-74",B1102&lt;=90,"75-90")</f>
        <v>45-59</v>
      </c>
      <c r="M1102" t="str">
        <f>IF(Table1[[#This Row],[length_of_stay_days]]&gt;7,"Yes","No")</f>
        <v>No</v>
      </c>
    </row>
    <row r="1103" spans="1:13" x14ac:dyDescent="0.3">
      <c r="A1103" t="s">
        <v>1500</v>
      </c>
      <c r="B1103">
        <v>56</v>
      </c>
      <c r="C1103" t="s">
        <v>12</v>
      </c>
      <c r="D1103" t="s">
        <v>13</v>
      </c>
      <c r="E1103" t="s">
        <v>28</v>
      </c>
      <c r="F1103" t="s">
        <v>77</v>
      </c>
      <c r="G1103" t="s">
        <v>78</v>
      </c>
      <c r="H1103">
        <v>6</v>
      </c>
      <c r="I1103" s="1">
        <v>7304.65</v>
      </c>
      <c r="J1103" t="s">
        <v>17</v>
      </c>
      <c r="K1103" t="s">
        <v>18</v>
      </c>
      <c r="L1103" t="str" cm="1">
        <f t="array" ref="L1103">_xlfn.IFS(B1103&lt;30,"18-29",B1103&lt;45,"30-44",B1103&lt;60,"45-59",B1103&lt;75,"60-74",B1103&lt;=90,"75-90")</f>
        <v>45-59</v>
      </c>
      <c r="M1103" t="str">
        <f>IF(Table1[[#This Row],[length_of_stay_days]]&gt;7,"Yes","No")</f>
        <v>No</v>
      </c>
    </row>
    <row r="1104" spans="1:13" x14ac:dyDescent="0.3">
      <c r="A1104" t="s">
        <v>1501</v>
      </c>
      <c r="B1104">
        <v>29</v>
      </c>
      <c r="C1104" t="s">
        <v>20</v>
      </c>
      <c r="D1104" t="s">
        <v>51</v>
      </c>
      <c r="E1104" t="s">
        <v>28</v>
      </c>
      <c r="F1104" t="s">
        <v>112</v>
      </c>
      <c r="G1104" t="s">
        <v>205</v>
      </c>
      <c r="H1104">
        <v>7</v>
      </c>
      <c r="I1104" s="1">
        <v>12278.93</v>
      </c>
      <c r="J1104" t="s">
        <v>17</v>
      </c>
      <c r="K1104" t="s">
        <v>18</v>
      </c>
      <c r="L1104" t="str" cm="1">
        <f t="array" ref="L1104">_xlfn.IFS(B1104&lt;30,"18-29",B1104&lt;45,"30-44",B1104&lt;60,"45-59",B1104&lt;75,"60-74",B1104&lt;=90,"75-90")</f>
        <v>18-29</v>
      </c>
      <c r="M1104" t="str">
        <f>IF(Table1[[#This Row],[length_of_stay_days]]&gt;7,"Yes","No")</f>
        <v>No</v>
      </c>
    </row>
    <row r="1105" spans="1:13" x14ac:dyDescent="0.3">
      <c r="A1105" t="s">
        <v>1502</v>
      </c>
      <c r="B1105">
        <v>57</v>
      </c>
      <c r="C1105" t="s">
        <v>20</v>
      </c>
      <c r="D1105" t="s">
        <v>28</v>
      </c>
      <c r="E1105" t="s">
        <v>28</v>
      </c>
      <c r="F1105" t="s">
        <v>390</v>
      </c>
      <c r="G1105" t="s">
        <v>126</v>
      </c>
      <c r="H1105">
        <v>1</v>
      </c>
      <c r="I1105" s="1">
        <v>2777.37</v>
      </c>
      <c r="J1105" t="s">
        <v>17</v>
      </c>
      <c r="K1105" t="s">
        <v>18</v>
      </c>
      <c r="L1105" t="str" cm="1">
        <f t="array" ref="L1105">_xlfn.IFS(B1105&lt;30,"18-29",B1105&lt;45,"30-44",B1105&lt;60,"45-59",B1105&lt;75,"60-74",B1105&lt;=90,"75-90")</f>
        <v>45-59</v>
      </c>
      <c r="M1105" t="str">
        <f>IF(Table1[[#This Row],[length_of_stay_days]]&gt;7,"Yes","No")</f>
        <v>No</v>
      </c>
    </row>
    <row r="1106" spans="1:13" x14ac:dyDescent="0.3">
      <c r="A1106" t="s">
        <v>1503</v>
      </c>
      <c r="B1106">
        <v>72</v>
      </c>
      <c r="C1106" t="s">
        <v>12</v>
      </c>
      <c r="D1106" t="s">
        <v>28</v>
      </c>
      <c r="E1106" t="s">
        <v>28</v>
      </c>
      <c r="F1106" t="s">
        <v>114</v>
      </c>
      <c r="G1106" t="s">
        <v>520</v>
      </c>
      <c r="H1106">
        <v>9</v>
      </c>
      <c r="I1106" s="1">
        <v>9421.4500000000007</v>
      </c>
      <c r="J1106" t="s">
        <v>17</v>
      </c>
      <c r="K1106" t="s">
        <v>18</v>
      </c>
      <c r="L1106" t="str" cm="1">
        <f t="array" ref="L1106">_xlfn.IFS(B1106&lt;30,"18-29",B1106&lt;45,"30-44",B1106&lt;60,"45-59",B1106&lt;75,"60-74",B1106&lt;=90,"75-90")</f>
        <v>60-74</v>
      </c>
      <c r="M1106" t="str">
        <f>IF(Table1[[#This Row],[length_of_stay_days]]&gt;7,"Yes","No")</f>
        <v>Yes</v>
      </c>
    </row>
    <row r="1107" spans="1:13" x14ac:dyDescent="0.3">
      <c r="A1107" t="s">
        <v>1504</v>
      </c>
      <c r="B1107">
        <v>75</v>
      </c>
      <c r="C1107" t="s">
        <v>20</v>
      </c>
      <c r="D1107" t="s">
        <v>32</v>
      </c>
      <c r="E1107" t="s">
        <v>28</v>
      </c>
      <c r="F1107" t="s">
        <v>376</v>
      </c>
      <c r="G1107" t="s">
        <v>144</v>
      </c>
      <c r="H1107">
        <v>6</v>
      </c>
      <c r="I1107" s="1">
        <v>12663.05</v>
      </c>
      <c r="J1107" t="s">
        <v>17</v>
      </c>
      <c r="K1107" t="s">
        <v>18</v>
      </c>
      <c r="L1107" t="str" cm="1">
        <f t="array" ref="L1107">_xlfn.IFS(B1107&lt;30,"18-29",B1107&lt;45,"30-44",B1107&lt;60,"45-59",B1107&lt;75,"60-74",B1107&lt;=90,"75-90")</f>
        <v>75-90</v>
      </c>
      <c r="M1107" t="str">
        <f>IF(Table1[[#This Row],[length_of_stay_days]]&gt;7,"Yes","No")</f>
        <v>No</v>
      </c>
    </row>
    <row r="1108" spans="1:13" x14ac:dyDescent="0.3">
      <c r="A1108" t="s">
        <v>1505</v>
      </c>
      <c r="B1108">
        <v>85</v>
      </c>
      <c r="C1108" t="s">
        <v>20</v>
      </c>
      <c r="D1108" t="s">
        <v>13</v>
      </c>
      <c r="E1108" t="s">
        <v>21</v>
      </c>
      <c r="F1108" t="s">
        <v>895</v>
      </c>
      <c r="G1108" t="s">
        <v>270</v>
      </c>
      <c r="H1108">
        <v>5</v>
      </c>
      <c r="I1108" s="1">
        <v>6189.11</v>
      </c>
      <c r="J1108" t="s">
        <v>17</v>
      </c>
      <c r="K1108" t="s">
        <v>18</v>
      </c>
      <c r="L1108" t="str" cm="1">
        <f t="array" ref="L1108">_xlfn.IFS(B1108&lt;30,"18-29",B1108&lt;45,"30-44",B1108&lt;60,"45-59",B1108&lt;75,"60-74",B1108&lt;=90,"75-90")</f>
        <v>75-90</v>
      </c>
      <c r="M1108" t="str">
        <f>IF(Table1[[#This Row],[length_of_stay_days]]&gt;7,"Yes","No")</f>
        <v>No</v>
      </c>
    </row>
    <row r="1109" spans="1:13" x14ac:dyDescent="0.3">
      <c r="A1109" t="s">
        <v>1506</v>
      </c>
      <c r="B1109">
        <v>40</v>
      </c>
      <c r="C1109" t="s">
        <v>20</v>
      </c>
      <c r="D1109" t="s">
        <v>13</v>
      </c>
      <c r="E1109" t="s">
        <v>21</v>
      </c>
      <c r="F1109" t="s">
        <v>378</v>
      </c>
      <c r="G1109" t="s">
        <v>48</v>
      </c>
      <c r="H1109">
        <v>8</v>
      </c>
      <c r="I1109" s="1">
        <v>8262.7800000000007</v>
      </c>
      <c r="J1109" t="s">
        <v>17</v>
      </c>
      <c r="K1109" t="s">
        <v>18</v>
      </c>
      <c r="L1109" t="str" cm="1">
        <f t="array" ref="L1109">_xlfn.IFS(B1109&lt;30,"18-29",B1109&lt;45,"30-44",B1109&lt;60,"45-59",B1109&lt;75,"60-74",B1109&lt;=90,"75-90")</f>
        <v>30-44</v>
      </c>
      <c r="M1109" t="str">
        <f>IF(Table1[[#This Row],[length_of_stay_days]]&gt;7,"Yes","No")</f>
        <v>Yes</v>
      </c>
    </row>
    <row r="1110" spans="1:13" x14ac:dyDescent="0.3">
      <c r="A1110" t="s">
        <v>1507</v>
      </c>
      <c r="B1110">
        <v>51</v>
      </c>
      <c r="C1110" t="s">
        <v>20</v>
      </c>
      <c r="D1110" t="s">
        <v>55</v>
      </c>
      <c r="E1110" t="s">
        <v>28</v>
      </c>
      <c r="F1110" t="s">
        <v>15</v>
      </c>
      <c r="G1110" t="s">
        <v>246</v>
      </c>
      <c r="H1110">
        <v>4</v>
      </c>
      <c r="I1110" s="1">
        <v>8736.4699999999993</v>
      </c>
      <c r="J1110" t="s">
        <v>17</v>
      </c>
      <c r="K1110" t="s">
        <v>18</v>
      </c>
      <c r="L1110" t="str" cm="1">
        <f t="array" ref="L1110">_xlfn.IFS(B1110&lt;30,"18-29",B1110&lt;45,"30-44",B1110&lt;60,"45-59",B1110&lt;75,"60-74",B1110&lt;=90,"75-90")</f>
        <v>45-59</v>
      </c>
      <c r="M1110" t="str">
        <f>IF(Table1[[#This Row],[length_of_stay_days]]&gt;7,"Yes","No")</f>
        <v>No</v>
      </c>
    </row>
    <row r="1111" spans="1:13" x14ac:dyDescent="0.3">
      <c r="A1111" t="s">
        <v>1508</v>
      </c>
      <c r="B1111">
        <v>34</v>
      </c>
      <c r="C1111" t="s">
        <v>12</v>
      </c>
      <c r="D1111" t="s">
        <v>28</v>
      </c>
      <c r="E1111" t="s">
        <v>21</v>
      </c>
      <c r="F1111" t="s">
        <v>99</v>
      </c>
      <c r="G1111" t="s">
        <v>604</v>
      </c>
      <c r="H1111">
        <v>4</v>
      </c>
      <c r="I1111" s="1">
        <v>5148.72</v>
      </c>
      <c r="J1111" t="s">
        <v>17</v>
      </c>
      <c r="K1111" t="s">
        <v>18</v>
      </c>
      <c r="L1111" t="str" cm="1">
        <f t="array" ref="L1111">_xlfn.IFS(B1111&lt;30,"18-29",B1111&lt;45,"30-44",B1111&lt;60,"45-59",B1111&lt;75,"60-74",B1111&lt;=90,"75-90")</f>
        <v>30-44</v>
      </c>
      <c r="M1111" t="str">
        <f>IF(Table1[[#This Row],[length_of_stay_days]]&gt;7,"Yes","No")</f>
        <v>No</v>
      </c>
    </row>
    <row r="1112" spans="1:13" x14ac:dyDescent="0.3">
      <c r="A1112" t="s">
        <v>1509</v>
      </c>
      <c r="B1112">
        <v>39</v>
      </c>
      <c r="C1112" t="s">
        <v>20</v>
      </c>
      <c r="D1112" t="s">
        <v>51</v>
      </c>
      <c r="E1112" t="s">
        <v>28</v>
      </c>
      <c r="F1112" t="s">
        <v>123</v>
      </c>
      <c r="G1112" t="s">
        <v>751</v>
      </c>
      <c r="H1112">
        <v>8</v>
      </c>
      <c r="I1112" s="1">
        <v>14502.5</v>
      </c>
      <c r="J1112" t="s">
        <v>17</v>
      </c>
      <c r="K1112" t="s">
        <v>44</v>
      </c>
      <c r="L1112" t="str" cm="1">
        <f t="array" ref="L1112">_xlfn.IFS(B1112&lt;30,"18-29",B1112&lt;45,"30-44",B1112&lt;60,"45-59",B1112&lt;75,"60-74",B1112&lt;=90,"75-90")</f>
        <v>30-44</v>
      </c>
      <c r="M1112" t="str">
        <f>IF(Table1[[#This Row],[length_of_stay_days]]&gt;7,"Yes","No")</f>
        <v>Yes</v>
      </c>
    </row>
    <row r="1113" spans="1:13" x14ac:dyDescent="0.3">
      <c r="A1113" t="s">
        <v>1510</v>
      </c>
      <c r="B1113">
        <v>20</v>
      </c>
      <c r="C1113" t="s">
        <v>12</v>
      </c>
      <c r="D1113" t="s">
        <v>55</v>
      </c>
      <c r="E1113" t="s">
        <v>21</v>
      </c>
      <c r="F1113" t="s">
        <v>648</v>
      </c>
      <c r="G1113" t="s">
        <v>90</v>
      </c>
      <c r="H1113">
        <v>7</v>
      </c>
      <c r="I1113" s="1">
        <v>10170.620000000001</v>
      </c>
      <c r="J1113" t="s">
        <v>49</v>
      </c>
      <c r="K1113" t="s">
        <v>18</v>
      </c>
      <c r="L1113" t="str" cm="1">
        <f t="array" ref="L1113">_xlfn.IFS(B1113&lt;30,"18-29",B1113&lt;45,"30-44",B1113&lt;60,"45-59",B1113&lt;75,"60-74",B1113&lt;=90,"75-90")</f>
        <v>18-29</v>
      </c>
      <c r="M1113" t="str">
        <f>IF(Table1[[#This Row],[length_of_stay_days]]&gt;7,"Yes","No")</f>
        <v>No</v>
      </c>
    </row>
    <row r="1114" spans="1:13" x14ac:dyDescent="0.3">
      <c r="A1114" t="s">
        <v>1511</v>
      </c>
      <c r="B1114">
        <v>46</v>
      </c>
      <c r="C1114" t="s">
        <v>12</v>
      </c>
      <c r="D1114" t="s">
        <v>13</v>
      </c>
      <c r="E1114" t="s">
        <v>21</v>
      </c>
      <c r="F1114" t="s">
        <v>342</v>
      </c>
      <c r="G1114" t="s">
        <v>163</v>
      </c>
      <c r="H1114">
        <v>3</v>
      </c>
      <c r="I1114" s="1">
        <v>7894.7</v>
      </c>
      <c r="J1114" t="s">
        <v>49</v>
      </c>
      <c r="K1114" t="s">
        <v>18</v>
      </c>
      <c r="L1114" t="str" cm="1">
        <f t="array" ref="L1114">_xlfn.IFS(B1114&lt;30,"18-29",B1114&lt;45,"30-44",B1114&lt;60,"45-59",B1114&lt;75,"60-74",B1114&lt;=90,"75-90")</f>
        <v>45-59</v>
      </c>
      <c r="M1114" t="str">
        <f>IF(Table1[[#This Row],[length_of_stay_days]]&gt;7,"Yes","No")</f>
        <v>No</v>
      </c>
    </row>
    <row r="1115" spans="1:13" x14ac:dyDescent="0.3">
      <c r="A1115" t="s">
        <v>1512</v>
      </c>
      <c r="B1115">
        <v>77</v>
      </c>
      <c r="C1115" t="s">
        <v>20</v>
      </c>
      <c r="D1115" t="s">
        <v>55</v>
      </c>
      <c r="E1115" t="s">
        <v>14</v>
      </c>
      <c r="F1115" t="s">
        <v>503</v>
      </c>
      <c r="G1115" t="s">
        <v>504</v>
      </c>
      <c r="H1115">
        <v>5</v>
      </c>
      <c r="I1115" s="1">
        <v>9659.5400000000009</v>
      </c>
      <c r="J1115" t="s">
        <v>17</v>
      </c>
      <c r="K1115" t="s">
        <v>18</v>
      </c>
      <c r="L1115" t="str" cm="1">
        <f t="array" ref="L1115">_xlfn.IFS(B1115&lt;30,"18-29",B1115&lt;45,"30-44",B1115&lt;60,"45-59",B1115&lt;75,"60-74",B1115&lt;=90,"75-90")</f>
        <v>75-90</v>
      </c>
      <c r="M1115" t="str">
        <f>IF(Table1[[#This Row],[length_of_stay_days]]&gt;7,"Yes","No")</f>
        <v>No</v>
      </c>
    </row>
    <row r="1116" spans="1:13" x14ac:dyDescent="0.3">
      <c r="A1116" t="s">
        <v>1513</v>
      </c>
      <c r="B1116">
        <v>36</v>
      </c>
      <c r="C1116" t="s">
        <v>20</v>
      </c>
      <c r="D1116" t="s">
        <v>46</v>
      </c>
      <c r="E1116" t="s">
        <v>14</v>
      </c>
      <c r="F1116" t="s">
        <v>98</v>
      </c>
      <c r="G1116" t="s">
        <v>530</v>
      </c>
      <c r="H1116">
        <v>11</v>
      </c>
      <c r="I1116" s="1">
        <v>13554.64</v>
      </c>
      <c r="J1116" t="s">
        <v>17</v>
      </c>
      <c r="K1116" t="s">
        <v>18</v>
      </c>
      <c r="L1116" t="str" cm="1">
        <f t="array" ref="L1116">_xlfn.IFS(B1116&lt;30,"18-29",B1116&lt;45,"30-44",B1116&lt;60,"45-59",B1116&lt;75,"60-74",B1116&lt;=90,"75-90")</f>
        <v>30-44</v>
      </c>
      <c r="M1116" t="str">
        <f>IF(Table1[[#This Row],[length_of_stay_days]]&gt;7,"Yes","No")</f>
        <v>Yes</v>
      </c>
    </row>
    <row r="1117" spans="1:13" x14ac:dyDescent="0.3">
      <c r="A1117" t="s">
        <v>1514</v>
      </c>
      <c r="B1117">
        <v>83</v>
      </c>
      <c r="C1117" t="s">
        <v>12</v>
      </c>
      <c r="D1117" t="s">
        <v>51</v>
      </c>
      <c r="E1117" t="s">
        <v>14</v>
      </c>
      <c r="F1117" t="s">
        <v>140</v>
      </c>
      <c r="G1117" t="s">
        <v>388</v>
      </c>
      <c r="H1117">
        <v>6</v>
      </c>
      <c r="I1117" s="1">
        <v>8176.09</v>
      </c>
      <c r="J1117" t="s">
        <v>17</v>
      </c>
      <c r="K1117" t="s">
        <v>44</v>
      </c>
      <c r="L1117" t="str" cm="1">
        <f t="array" ref="L1117">_xlfn.IFS(B1117&lt;30,"18-29",B1117&lt;45,"30-44",B1117&lt;60,"45-59",B1117&lt;75,"60-74",B1117&lt;=90,"75-90")</f>
        <v>75-90</v>
      </c>
      <c r="M1117" t="str">
        <f>IF(Table1[[#This Row],[length_of_stay_days]]&gt;7,"Yes","No")</f>
        <v>No</v>
      </c>
    </row>
    <row r="1118" spans="1:13" x14ac:dyDescent="0.3">
      <c r="A1118" t="s">
        <v>1515</v>
      </c>
      <c r="B1118">
        <v>40</v>
      </c>
      <c r="C1118" t="s">
        <v>12</v>
      </c>
      <c r="D1118" t="s">
        <v>32</v>
      </c>
      <c r="E1118" t="s">
        <v>28</v>
      </c>
      <c r="F1118" t="s">
        <v>40</v>
      </c>
      <c r="G1118" t="s">
        <v>248</v>
      </c>
      <c r="H1118">
        <v>6</v>
      </c>
      <c r="I1118" s="1">
        <v>11969.6</v>
      </c>
      <c r="J1118" t="s">
        <v>17</v>
      </c>
      <c r="K1118" t="s">
        <v>18</v>
      </c>
      <c r="L1118" t="str" cm="1">
        <f t="array" ref="L1118">_xlfn.IFS(B1118&lt;30,"18-29",B1118&lt;45,"30-44",B1118&lt;60,"45-59",B1118&lt;75,"60-74",B1118&lt;=90,"75-90")</f>
        <v>30-44</v>
      </c>
      <c r="M1118" t="str">
        <f>IF(Table1[[#This Row],[length_of_stay_days]]&gt;7,"Yes","No")</f>
        <v>No</v>
      </c>
    </row>
    <row r="1119" spans="1:13" x14ac:dyDescent="0.3">
      <c r="A1119" t="s">
        <v>1516</v>
      </c>
      <c r="B1119">
        <v>42</v>
      </c>
      <c r="C1119" t="s">
        <v>12</v>
      </c>
      <c r="D1119" t="s">
        <v>28</v>
      </c>
      <c r="E1119" t="s">
        <v>28</v>
      </c>
      <c r="F1119" t="s">
        <v>162</v>
      </c>
      <c r="G1119" t="s">
        <v>342</v>
      </c>
      <c r="H1119">
        <v>6</v>
      </c>
      <c r="I1119" s="1">
        <v>8526.39</v>
      </c>
      <c r="J1119" t="s">
        <v>49</v>
      </c>
      <c r="K1119" t="s">
        <v>18</v>
      </c>
      <c r="L1119" t="str" cm="1">
        <f t="array" ref="L1119">_xlfn.IFS(B1119&lt;30,"18-29",B1119&lt;45,"30-44",B1119&lt;60,"45-59",B1119&lt;75,"60-74",B1119&lt;=90,"75-90")</f>
        <v>30-44</v>
      </c>
      <c r="M1119" t="str">
        <f>IF(Table1[[#This Row],[length_of_stay_days]]&gt;7,"Yes","No")</f>
        <v>No</v>
      </c>
    </row>
    <row r="1120" spans="1:13" x14ac:dyDescent="0.3">
      <c r="A1120" t="s">
        <v>1517</v>
      </c>
      <c r="B1120">
        <v>80</v>
      </c>
      <c r="C1120" t="s">
        <v>20</v>
      </c>
      <c r="D1120" t="s">
        <v>13</v>
      </c>
      <c r="E1120" t="s">
        <v>21</v>
      </c>
      <c r="F1120" t="s">
        <v>472</v>
      </c>
      <c r="G1120" t="s">
        <v>354</v>
      </c>
      <c r="H1120">
        <v>5</v>
      </c>
      <c r="I1120" s="1">
        <v>8579.8799999999992</v>
      </c>
      <c r="J1120" t="s">
        <v>17</v>
      </c>
      <c r="K1120" t="s">
        <v>18</v>
      </c>
      <c r="L1120" t="str" cm="1">
        <f t="array" ref="L1120">_xlfn.IFS(B1120&lt;30,"18-29",B1120&lt;45,"30-44",B1120&lt;60,"45-59",B1120&lt;75,"60-74",B1120&lt;=90,"75-90")</f>
        <v>75-90</v>
      </c>
      <c r="M1120" t="str">
        <f>IF(Table1[[#This Row],[length_of_stay_days]]&gt;7,"Yes","No")</f>
        <v>No</v>
      </c>
    </row>
    <row r="1121" spans="1:13" x14ac:dyDescent="0.3">
      <c r="A1121" t="s">
        <v>1518</v>
      </c>
      <c r="B1121">
        <v>71</v>
      </c>
      <c r="C1121" t="s">
        <v>12</v>
      </c>
      <c r="D1121" t="s">
        <v>13</v>
      </c>
      <c r="E1121" t="s">
        <v>14</v>
      </c>
      <c r="F1121" t="s">
        <v>485</v>
      </c>
      <c r="G1121" t="s">
        <v>422</v>
      </c>
      <c r="H1121">
        <v>3</v>
      </c>
      <c r="I1121" s="1">
        <v>8284.1200000000008</v>
      </c>
      <c r="J1121" t="s">
        <v>17</v>
      </c>
      <c r="K1121" t="s">
        <v>18</v>
      </c>
      <c r="L1121" t="str" cm="1">
        <f t="array" ref="L1121">_xlfn.IFS(B1121&lt;30,"18-29",B1121&lt;45,"30-44",B1121&lt;60,"45-59",B1121&lt;75,"60-74",B1121&lt;=90,"75-90")</f>
        <v>60-74</v>
      </c>
      <c r="M1121" t="str">
        <f>IF(Table1[[#This Row],[length_of_stay_days]]&gt;7,"Yes","No")</f>
        <v>No</v>
      </c>
    </row>
    <row r="1122" spans="1:13" x14ac:dyDescent="0.3">
      <c r="A1122" t="s">
        <v>1519</v>
      </c>
      <c r="B1122">
        <v>76</v>
      </c>
      <c r="C1122" t="s">
        <v>20</v>
      </c>
      <c r="D1122" t="s">
        <v>32</v>
      </c>
      <c r="E1122" t="s">
        <v>28</v>
      </c>
      <c r="F1122" t="s">
        <v>112</v>
      </c>
      <c r="G1122" t="s">
        <v>941</v>
      </c>
      <c r="H1122">
        <v>9</v>
      </c>
      <c r="I1122" s="1">
        <v>13752.9</v>
      </c>
      <c r="J1122" t="s">
        <v>17</v>
      </c>
      <c r="K1122" t="s">
        <v>18</v>
      </c>
      <c r="L1122" t="str" cm="1">
        <f t="array" ref="L1122">_xlfn.IFS(B1122&lt;30,"18-29",B1122&lt;45,"30-44",B1122&lt;60,"45-59",B1122&lt;75,"60-74",B1122&lt;=90,"75-90")</f>
        <v>75-90</v>
      </c>
      <c r="M1122" t="str">
        <f>IF(Table1[[#This Row],[length_of_stay_days]]&gt;7,"Yes","No")</f>
        <v>Yes</v>
      </c>
    </row>
    <row r="1123" spans="1:13" x14ac:dyDescent="0.3">
      <c r="A1123" t="s">
        <v>1520</v>
      </c>
      <c r="B1123">
        <v>87</v>
      </c>
      <c r="C1123" t="s">
        <v>20</v>
      </c>
      <c r="D1123" t="s">
        <v>55</v>
      </c>
      <c r="E1123" t="s">
        <v>14</v>
      </c>
      <c r="F1123" t="s">
        <v>214</v>
      </c>
      <c r="G1123" t="s">
        <v>320</v>
      </c>
      <c r="H1123">
        <v>1</v>
      </c>
      <c r="I1123" s="1">
        <v>6751.2</v>
      </c>
      <c r="J1123" t="s">
        <v>17</v>
      </c>
      <c r="K1123" t="s">
        <v>18</v>
      </c>
      <c r="L1123" t="str" cm="1">
        <f t="array" ref="L1123">_xlfn.IFS(B1123&lt;30,"18-29",B1123&lt;45,"30-44",B1123&lt;60,"45-59",B1123&lt;75,"60-74",B1123&lt;=90,"75-90")</f>
        <v>75-90</v>
      </c>
      <c r="M1123" t="str">
        <f>IF(Table1[[#This Row],[length_of_stay_days]]&gt;7,"Yes","No")</f>
        <v>No</v>
      </c>
    </row>
    <row r="1124" spans="1:13" x14ac:dyDescent="0.3">
      <c r="A1124" t="s">
        <v>1521</v>
      </c>
      <c r="B1124">
        <v>55</v>
      </c>
      <c r="C1124" t="s">
        <v>20</v>
      </c>
      <c r="D1124" t="s">
        <v>28</v>
      </c>
      <c r="E1124" t="s">
        <v>28</v>
      </c>
      <c r="F1124" t="s">
        <v>680</v>
      </c>
      <c r="G1124" t="s">
        <v>501</v>
      </c>
      <c r="H1124">
        <v>4</v>
      </c>
      <c r="I1124" s="1">
        <v>5629.9</v>
      </c>
      <c r="J1124" t="s">
        <v>17</v>
      </c>
      <c r="K1124" t="s">
        <v>18</v>
      </c>
      <c r="L1124" t="str" cm="1">
        <f t="array" ref="L1124">_xlfn.IFS(B1124&lt;30,"18-29",B1124&lt;45,"30-44",B1124&lt;60,"45-59",B1124&lt;75,"60-74",B1124&lt;=90,"75-90")</f>
        <v>45-59</v>
      </c>
      <c r="M1124" t="str">
        <f>IF(Table1[[#This Row],[length_of_stay_days]]&gt;7,"Yes","No")</f>
        <v>No</v>
      </c>
    </row>
    <row r="1125" spans="1:13" x14ac:dyDescent="0.3">
      <c r="A1125" t="s">
        <v>1522</v>
      </c>
      <c r="B1125">
        <v>53</v>
      </c>
      <c r="C1125" t="s">
        <v>12</v>
      </c>
      <c r="D1125" t="s">
        <v>55</v>
      </c>
      <c r="E1125" t="s">
        <v>21</v>
      </c>
      <c r="F1125" t="s">
        <v>481</v>
      </c>
      <c r="G1125" t="s">
        <v>169</v>
      </c>
      <c r="H1125">
        <v>7</v>
      </c>
      <c r="I1125" s="1">
        <v>8856.43</v>
      </c>
      <c r="J1125" t="s">
        <v>49</v>
      </c>
      <c r="K1125" t="s">
        <v>18</v>
      </c>
      <c r="L1125" t="str" cm="1">
        <f t="array" ref="L1125">_xlfn.IFS(B1125&lt;30,"18-29",B1125&lt;45,"30-44",B1125&lt;60,"45-59",B1125&lt;75,"60-74",B1125&lt;=90,"75-90")</f>
        <v>45-59</v>
      </c>
      <c r="M1125" t="str">
        <f>IF(Table1[[#This Row],[length_of_stay_days]]&gt;7,"Yes","No")</f>
        <v>No</v>
      </c>
    </row>
    <row r="1126" spans="1:13" x14ac:dyDescent="0.3">
      <c r="A1126" t="s">
        <v>1523</v>
      </c>
      <c r="B1126">
        <v>81</v>
      </c>
      <c r="C1126" t="s">
        <v>20</v>
      </c>
      <c r="D1126" t="s">
        <v>32</v>
      </c>
      <c r="E1126" t="s">
        <v>28</v>
      </c>
      <c r="F1126" t="s">
        <v>241</v>
      </c>
      <c r="G1126" t="s">
        <v>638</v>
      </c>
      <c r="H1126">
        <v>7</v>
      </c>
      <c r="I1126" s="1">
        <v>14031.58</v>
      </c>
      <c r="J1126" t="s">
        <v>17</v>
      </c>
      <c r="K1126" t="s">
        <v>18</v>
      </c>
      <c r="L1126" t="str" cm="1">
        <f t="array" ref="L1126">_xlfn.IFS(B1126&lt;30,"18-29",B1126&lt;45,"30-44",B1126&lt;60,"45-59",B1126&lt;75,"60-74",B1126&lt;=90,"75-90")</f>
        <v>75-90</v>
      </c>
      <c r="M1126" t="str">
        <f>IF(Table1[[#This Row],[length_of_stay_days]]&gt;7,"Yes","No")</f>
        <v>No</v>
      </c>
    </row>
    <row r="1127" spans="1:13" x14ac:dyDescent="0.3">
      <c r="A1127" t="s">
        <v>1524</v>
      </c>
      <c r="B1127">
        <v>32</v>
      </c>
      <c r="C1127" t="s">
        <v>20</v>
      </c>
      <c r="D1127" t="s">
        <v>28</v>
      </c>
      <c r="E1127" t="s">
        <v>28</v>
      </c>
      <c r="F1127" t="s">
        <v>742</v>
      </c>
      <c r="G1127" t="s">
        <v>15</v>
      </c>
      <c r="H1127">
        <v>2</v>
      </c>
      <c r="I1127" s="1">
        <v>6991.6</v>
      </c>
      <c r="J1127" t="s">
        <v>17</v>
      </c>
      <c r="K1127" t="s">
        <v>18</v>
      </c>
      <c r="L1127" t="str" cm="1">
        <f t="array" ref="L1127">_xlfn.IFS(B1127&lt;30,"18-29",B1127&lt;45,"30-44",B1127&lt;60,"45-59",B1127&lt;75,"60-74",B1127&lt;=90,"75-90")</f>
        <v>30-44</v>
      </c>
      <c r="M1127" t="str">
        <f>IF(Table1[[#This Row],[length_of_stay_days]]&gt;7,"Yes","No")</f>
        <v>No</v>
      </c>
    </row>
    <row r="1128" spans="1:13" x14ac:dyDescent="0.3">
      <c r="A1128" t="s">
        <v>1525</v>
      </c>
      <c r="B1128">
        <v>45</v>
      </c>
      <c r="C1128" t="s">
        <v>12</v>
      </c>
      <c r="D1128" t="s">
        <v>51</v>
      </c>
      <c r="E1128" t="s">
        <v>21</v>
      </c>
      <c r="F1128" t="s">
        <v>325</v>
      </c>
      <c r="G1128" t="s">
        <v>378</v>
      </c>
      <c r="H1128">
        <v>8</v>
      </c>
      <c r="I1128" s="1">
        <v>11910.06</v>
      </c>
      <c r="J1128" t="s">
        <v>49</v>
      </c>
      <c r="K1128" t="s">
        <v>18</v>
      </c>
      <c r="L1128" t="str" cm="1">
        <f t="array" ref="L1128">_xlfn.IFS(B1128&lt;30,"18-29",B1128&lt;45,"30-44",B1128&lt;60,"45-59",B1128&lt;75,"60-74",B1128&lt;=90,"75-90")</f>
        <v>45-59</v>
      </c>
      <c r="M1128" t="str">
        <f>IF(Table1[[#This Row],[length_of_stay_days]]&gt;7,"Yes","No")</f>
        <v>Yes</v>
      </c>
    </row>
    <row r="1129" spans="1:13" x14ac:dyDescent="0.3">
      <c r="A1129" t="s">
        <v>1526</v>
      </c>
      <c r="B1129">
        <v>47</v>
      </c>
      <c r="C1129" t="s">
        <v>12</v>
      </c>
      <c r="D1129" t="s">
        <v>51</v>
      </c>
      <c r="E1129" t="s">
        <v>28</v>
      </c>
      <c r="F1129" t="s">
        <v>783</v>
      </c>
      <c r="G1129" t="s">
        <v>26</v>
      </c>
      <c r="H1129">
        <v>7</v>
      </c>
      <c r="I1129" s="1">
        <v>10991.62</v>
      </c>
      <c r="J1129" t="s">
        <v>17</v>
      </c>
      <c r="K1129" t="s">
        <v>18</v>
      </c>
      <c r="L1129" t="str" cm="1">
        <f t="array" ref="L1129">_xlfn.IFS(B1129&lt;30,"18-29",B1129&lt;45,"30-44",B1129&lt;60,"45-59",B1129&lt;75,"60-74",B1129&lt;=90,"75-90")</f>
        <v>45-59</v>
      </c>
      <c r="M1129" t="str">
        <f>IF(Table1[[#This Row],[length_of_stay_days]]&gt;7,"Yes","No")</f>
        <v>No</v>
      </c>
    </row>
    <row r="1130" spans="1:13" x14ac:dyDescent="0.3">
      <c r="A1130" t="s">
        <v>1527</v>
      </c>
      <c r="B1130">
        <v>63</v>
      </c>
      <c r="C1130" t="s">
        <v>20</v>
      </c>
      <c r="D1130" t="s">
        <v>28</v>
      </c>
      <c r="E1130" t="s">
        <v>14</v>
      </c>
      <c r="F1130" t="s">
        <v>148</v>
      </c>
      <c r="G1130" t="s">
        <v>346</v>
      </c>
      <c r="H1130">
        <v>3</v>
      </c>
      <c r="I1130" s="1">
        <v>6021.74</v>
      </c>
      <c r="J1130" t="s">
        <v>17</v>
      </c>
      <c r="K1130" t="s">
        <v>18</v>
      </c>
      <c r="L1130" t="str" cm="1">
        <f t="array" ref="L1130">_xlfn.IFS(B1130&lt;30,"18-29",B1130&lt;45,"30-44",B1130&lt;60,"45-59",B1130&lt;75,"60-74",B1130&lt;=90,"75-90")</f>
        <v>60-74</v>
      </c>
      <c r="M1130" t="str">
        <f>IF(Table1[[#This Row],[length_of_stay_days]]&gt;7,"Yes","No")</f>
        <v>No</v>
      </c>
    </row>
    <row r="1131" spans="1:13" x14ac:dyDescent="0.3">
      <c r="A1131" t="s">
        <v>1528</v>
      </c>
      <c r="B1131">
        <v>89</v>
      </c>
      <c r="C1131" t="s">
        <v>20</v>
      </c>
      <c r="D1131" t="s">
        <v>55</v>
      </c>
      <c r="E1131" t="s">
        <v>21</v>
      </c>
      <c r="F1131" t="s">
        <v>40</v>
      </c>
      <c r="G1131" t="s">
        <v>248</v>
      </c>
      <c r="H1131">
        <v>6</v>
      </c>
      <c r="I1131" s="1">
        <v>9216.2800000000007</v>
      </c>
      <c r="J1131" t="s">
        <v>17</v>
      </c>
      <c r="K1131" t="s">
        <v>18</v>
      </c>
      <c r="L1131" t="str" cm="1">
        <f t="array" ref="L1131">_xlfn.IFS(B1131&lt;30,"18-29",B1131&lt;45,"30-44",B1131&lt;60,"45-59",B1131&lt;75,"60-74",B1131&lt;=90,"75-90")</f>
        <v>75-90</v>
      </c>
      <c r="M1131" t="str">
        <f>IF(Table1[[#This Row],[length_of_stay_days]]&gt;7,"Yes","No")</f>
        <v>No</v>
      </c>
    </row>
    <row r="1132" spans="1:13" x14ac:dyDescent="0.3">
      <c r="A1132" t="s">
        <v>1529</v>
      </c>
      <c r="B1132">
        <v>59</v>
      </c>
      <c r="C1132" t="s">
        <v>20</v>
      </c>
      <c r="D1132" t="s">
        <v>46</v>
      </c>
      <c r="E1132" t="s">
        <v>14</v>
      </c>
      <c r="F1132" t="s">
        <v>427</v>
      </c>
      <c r="G1132" t="s">
        <v>77</v>
      </c>
      <c r="H1132">
        <v>5</v>
      </c>
      <c r="I1132" s="1">
        <v>12769.47</v>
      </c>
      <c r="J1132" t="s">
        <v>17</v>
      </c>
      <c r="K1132" t="s">
        <v>18</v>
      </c>
      <c r="L1132" t="str" cm="1">
        <f t="array" ref="L1132">_xlfn.IFS(B1132&lt;30,"18-29",B1132&lt;45,"30-44",B1132&lt;60,"45-59",B1132&lt;75,"60-74",B1132&lt;=90,"75-90")</f>
        <v>45-59</v>
      </c>
      <c r="M1132" t="str">
        <f>IF(Table1[[#This Row],[length_of_stay_days]]&gt;7,"Yes","No")</f>
        <v>No</v>
      </c>
    </row>
    <row r="1133" spans="1:13" x14ac:dyDescent="0.3">
      <c r="A1133" t="s">
        <v>1530</v>
      </c>
      <c r="B1133">
        <v>30</v>
      </c>
      <c r="C1133" t="s">
        <v>20</v>
      </c>
      <c r="D1133" t="s">
        <v>13</v>
      </c>
      <c r="E1133" t="s">
        <v>21</v>
      </c>
      <c r="F1133" t="s">
        <v>276</v>
      </c>
      <c r="G1133" t="s">
        <v>451</v>
      </c>
      <c r="H1133">
        <v>5</v>
      </c>
      <c r="I1133" s="1">
        <v>7963.44</v>
      </c>
      <c r="J1133" t="s">
        <v>17</v>
      </c>
      <c r="K1133" t="s">
        <v>18</v>
      </c>
      <c r="L1133" t="str" cm="1">
        <f t="array" ref="L1133">_xlfn.IFS(B1133&lt;30,"18-29",B1133&lt;45,"30-44",B1133&lt;60,"45-59",B1133&lt;75,"60-74",B1133&lt;=90,"75-90")</f>
        <v>30-44</v>
      </c>
      <c r="M1133" t="str">
        <f>IF(Table1[[#This Row],[length_of_stay_days]]&gt;7,"Yes","No")</f>
        <v>No</v>
      </c>
    </row>
    <row r="1134" spans="1:13" x14ac:dyDescent="0.3">
      <c r="A1134" t="s">
        <v>1531</v>
      </c>
      <c r="B1134">
        <v>42</v>
      </c>
      <c r="C1134" t="s">
        <v>20</v>
      </c>
      <c r="D1134" t="s">
        <v>55</v>
      </c>
      <c r="E1134" t="s">
        <v>28</v>
      </c>
      <c r="F1134" t="s">
        <v>309</v>
      </c>
      <c r="G1134" t="s">
        <v>273</v>
      </c>
      <c r="H1134">
        <v>4</v>
      </c>
      <c r="I1134" s="1">
        <v>10353.98</v>
      </c>
      <c r="J1134" t="s">
        <v>17</v>
      </c>
      <c r="K1134" t="s">
        <v>18</v>
      </c>
      <c r="L1134" t="str" cm="1">
        <f t="array" ref="L1134">_xlfn.IFS(B1134&lt;30,"18-29",B1134&lt;45,"30-44",B1134&lt;60,"45-59",B1134&lt;75,"60-74",B1134&lt;=90,"75-90")</f>
        <v>30-44</v>
      </c>
      <c r="M1134" t="str">
        <f>IF(Table1[[#This Row],[length_of_stay_days]]&gt;7,"Yes","No")</f>
        <v>No</v>
      </c>
    </row>
    <row r="1135" spans="1:13" x14ac:dyDescent="0.3">
      <c r="A1135" t="s">
        <v>1532</v>
      </c>
      <c r="B1135">
        <v>34</v>
      </c>
      <c r="C1135" t="s">
        <v>20</v>
      </c>
      <c r="D1135" t="s">
        <v>13</v>
      </c>
      <c r="E1135" t="s">
        <v>14</v>
      </c>
      <c r="F1135" t="s">
        <v>226</v>
      </c>
      <c r="G1135" t="s">
        <v>381</v>
      </c>
      <c r="H1135">
        <v>3</v>
      </c>
      <c r="I1135" s="1">
        <v>6985.18</v>
      </c>
      <c r="J1135" t="s">
        <v>17</v>
      </c>
      <c r="K1135" t="s">
        <v>18</v>
      </c>
      <c r="L1135" t="str" cm="1">
        <f t="array" ref="L1135">_xlfn.IFS(B1135&lt;30,"18-29",B1135&lt;45,"30-44",B1135&lt;60,"45-59",B1135&lt;75,"60-74",B1135&lt;=90,"75-90")</f>
        <v>30-44</v>
      </c>
      <c r="M1135" t="str">
        <f>IF(Table1[[#This Row],[length_of_stay_days]]&gt;7,"Yes","No")</f>
        <v>No</v>
      </c>
    </row>
    <row r="1136" spans="1:13" x14ac:dyDescent="0.3">
      <c r="A1136" t="s">
        <v>1533</v>
      </c>
      <c r="B1136">
        <v>40</v>
      </c>
      <c r="C1136" t="s">
        <v>12</v>
      </c>
      <c r="D1136" t="s">
        <v>32</v>
      </c>
      <c r="E1136" t="s">
        <v>21</v>
      </c>
      <c r="F1136" t="s">
        <v>530</v>
      </c>
      <c r="G1136" t="s">
        <v>75</v>
      </c>
      <c r="H1136">
        <v>7</v>
      </c>
      <c r="I1136" s="1">
        <v>11200.13</v>
      </c>
      <c r="J1136" t="s">
        <v>17</v>
      </c>
      <c r="K1136" t="s">
        <v>18</v>
      </c>
      <c r="L1136" t="str" cm="1">
        <f t="array" ref="L1136">_xlfn.IFS(B1136&lt;30,"18-29",B1136&lt;45,"30-44",B1136&lt;60,"45-59",B1136&lt;75,"60-74",B1136&lt;=90,"75-90")</f>
        <v>30-44</v>
      </c>
      <c r="M1136" t="str">
        <f>IF(Table1[[#This Row],[length_of_stay_days]]&gt;7,"Yes","No")</f>
        <v>No</v>
      </c>
    </row>
    <row r="1137" spans="1:13" x14ac:dyDescent="0.3">
      <c r="A1137" t="s">
        <v>1534</v>
      </c>
      <c r="B1137">
        <v>28</v>
      </c>
      <c r="C1137" t="s">
        <v>12</v>
      </c>
      <c r="D1137" t="s">
        <v>55</v>
      </c>
      <c r="E1137" t="s">
        <v>28</v>
      </c>
      <c r="F1137" t="s">
        <v>280</v>
      </c>
      <c r="G1137" t="s">
        <v>1135</v>
      </c>
      <c r="H1137">
        <v>7</v>
      </c>
      <c r="I1137" s="1">
        <v>11452.54</v>
      </c>
      <c r="J1137" t="s">
        <v>17</v>
      </c>
      <c r="K1137" t="s">
        <v>18</v>
      </c>
      <c r="L1137" t="str" cm="1">
        <f t="array" ref="L1137">_xlfn.IFS(B1137&lt;30,"18-29",B1137&lt;45,"30-44",B1137&lt;60,"45-59",B1137&lt;75,"60-74",B1137&lt;=90,"75-90")</f>
        <v>18-29</v>
      </c>
      <c r="M1137" t="str">
        <f>IF(Table1[[#This Row],[length_of_stay_days]]&gt;7,"Yes","No")</f>
        <v>No</v>
      </c>
    </row>
    <row r="1138" spans="1:13" x14ac:dyDescent="0.3">
      <c r="A1138" t="s">
        <v>1535</v>
      </c>
      <c r="B1138">
        <v>53</v>
      </c>
      <c r="C1138" t="s">
        <v>20</v>
      </c>
      <c r="D1138" t="s">
        <v>13</v>
      </c>
      <c r="E1138" t="s">
        <v>21</v>
      </c>
      <c r="F1138" t="s">
        <v>516</v>
      </c>
      <c r="G1138" t="s">
        <v>449</v>
      </c>
      <c r="H1138">
        <v>2</v>
      </c>
      <c r="I1138" s="1">
        <v>6724.25</v>
      </c>
      <c r="J1138" t="s">
        <v>17</v>
      </c>
      <c r="K1138" t="s">
        <v>18</v>
      </c>
      <c r="L1138" t="str" cm="1">
        <f t="array" ref="L1138">_xlfn.IFS(B1138&lt;30,"18-29",B1138&lt;45,"30-44",B1138&lt;60,"45-59",B1138&lt;75,"60-74",B1138&lt;=90,"75-90")</f>
        <v>45-59</v>
      </c>
      <c r="M1138" t="str">
        <f>IF(Table1[[#This Row],[length_of_stay_days]]&gt;7,"Yes","No")</f>
        <v>No</v>
      </c>
    </row>
    <row r="1139" spans="1:13" x14ac:dyDescent="0.3">
      <c r="A1139" t="s">
        <v>1536</v>
      </c>
      <c r="B1139">
        <v>76</v>
      </c>
      <c r="C1139" t="s">
        <v>12</v>
      </c>
      <c r="D1139" t="s">
        <v>55</v>
      </c>
      <c r="E1139" t="s">
        <v>21</v>
      </c>
      <c r="F1139" t="s">
        <v>530</v>
      </c>
      <c r="G1139" t="s">
        <v>501</v>
      </c>
      <c r="H1139">
        <v>5</v>
      </c>
      <c r="I1139" s="1">
        <v>11141.67</v>
      </c>
      <c r="J1139" t="s">
        <v>17</v>
      </c>
      <c r="K1139" t="s">
        <v>18</v>
      </c>
      <c r="L1139" t="str" cm="1">
        <f t="array" ref="L1139">_xlfn.IFS(B1139&lt;30,"18-29",B1139&lt;45,"30-44",B1139&lt;60,"45-59",B1139&lt;75,"60-74",B1139&lt;=90,"75-90")</f>
        <v>75-90</v>
      </c>
      <c r="M1139" t="str">
        <f>IF(Table1[[#This Row],[length_of_stay_days]]&gt;7,"Yes","No")</f>
        <v>No</v>
      </c>
    </row>
    <row r="1140" spans="1:13" x14ac:dyDescent="0.3">
      <c r="A1140" t="s">
        <v>1537</v>
      </c>
      <c r="B1140">
        <v>90</v>
      </c>
      <c r="C1140" t="s">
        <v>12</v>
      </c>
      <c r="D1140" t="s">
        <v>28</v>
      </c>
      <c r="E1140" t="s">
        <v>28</v>
      </c>
      <c r="F1140" t="s">
        <v>433</v>
      </c>
      <c r="G1140" t="s">
        <v>555</v>
      </c>
      <c r="H1140">
        <v>5</v>
      </c>
      <c r="I1140" s="1">
        <v>6568.52</v>
      </c>
      <c r="J1140" t="s">
        <v>17</v>
      </c>
      <c r="K1140" t="s">
        <v>18</v>
      </c>
      <c r="L1140" t="str" cm="1">
        <f t="array" ref="L1140">_xlfn.IFS(B1140&lt;30,"18-29",B1140&lt;45,"30-44",B1140&lt;60,"45-59",B1140&lt;75,"60-74",B1140&lt;=90,"75-90")</f>
        <v>75-90</v>
      </c>
      <c r="M1140" t="str">
        <f>IF(Table1[[#This Row],[length_of_stay_days]]&gt;7,"Yes","No")</f>
        <v>No</v>
      </c>
    </row>
    <row r="1141" spans="1:13" x14ac:dyDescent="0.3">
      <c r="A1141" t="s">
        <v>1538</v>
      </c>
      <c r="B1141">
        <v>24</v>
      </c>
      <c r="C1141" t="s">
        <v>20</v>
      </c>
      <c r="D1141" t="s">
        <v>46</v>
      </c>
      <c r="E1141" t="s">
        <v>28</v>
      </c>
      <c r="F1141" t="s">
        <v>520</v>
      </c>
      <c r="G1141" t="s">
        <v>84</v>
      </c>
      <c r="H1141">
        <v>8</v>
      </c>
      <c r="I1141" s="1">
        <v>13580.96</v>
      </c>
      <c r="J1141" t="s">
        <v>17</v>
      </c>
      <c r="K1141" t="s">
        <v>18</v>
      </c>
      <c r="L1141" t="str" cm="1">
        <f t="array" ref="L1141">_xlfn.IFS(B1141&lt;30,"18-29",B1141&lt;45,"30-44",B1141&lt;60,"45-59",B1141&lt;75,"60-74",B1141&lt;=90,"75-90")</f>
        <v>18-29</v>
      </c>
      <c r="M1141" t="str">
        <f>IF(Table1[[#This Row],[length_of_stay_days]]&gt;7,"Yes","No")</f>
        <v>Yes</v>
      </c>
    </row>
    <row r="1142" spans="1:13" x14ac:dyDescent="0.3">
      <c r="A1142" t="s">
        <v>1539</v>
      </c>
      <c r="B1142">
        <v>77</v>
      </c>
      <c r="C1142" t="s">
        <v>20</v>
      </c>
      <c r="D1142" t="s">
        <v>13</v>
      </c>
      <c r="E1142" t="s">
        <v>21</v>
      </c>
      <c r="F1142" t="s">
        <v>174</v>
      </c>
      <c r="G1142" t="s">
        <v>308</v>
      </c>
      <c r="H1142">
        <v>7</v>
      </c>
      <c r="I1142" s="1">
        <v>7410.81</v>
      </c>
      <c r="J1142" t="s">
        <v>17</v>
      </c>
      <c r="K1142" t="s">
        <v>18</v>
      </c>
      <c r="L1142" t="str" cm="1">
        <f t="array" ref="L1142">_xlfn.IFS(B1142&lt;30,"18-29",B1142&lt;45,"30-44",B1142&lt;60,"45-59",B1142&lt;75,"60-74",B1142&lt;=90,"75-90")</f>
        <v>75-90</v>
      </c>
      <c r="M1142" t="str">
        <f>IF(Table1[[#This Row],[length_of_stay_days]]&gt;7,"Yes","No")</f>
        <v>No</v>
      </c>
    </row>
    <row r="1143" spans="1:13" x14ac:dyDescent="0.3">
      <c r="A1143" t="s">
        <v>1540</v>
      </c>
      <c r="B1143">
        <v>22</v>
      </c>
      <c r="C1143" t="s">
        <v>20</v>
      </c>
      <c r="D1143" t="s">
        <v>28</v>
      </c>
      <c r="E1143" t="s">
        <v>28</v>
      </c>
      <c r="F1143" t="s">
        <v>354</v>
      </c>
      <c r="G1143" t="s">
        <v>372</v>
      </c>
      <c r="H1143">
        <v>3</v>
      </c>
      <c r="I1143" s="1">
        <v>5318.42</v>
      </c>
      <c r="J1143" t="s">
        <v>17</v>
      </c>
      <c r="K1143" t="s">
        <v>18</v>
      </c>
      <c r="L1143" t="str" cm="1">
        <f t="array" ref="L1143">_xlfn.IFS(B1143&lt;30,"18-29",B1143&lt;45,"30-44",B1143&lt;60,"45-59",B1143&lt;75,"60-74",B1143&lt;=90,"75-90")</f>
        <v>18-29</v>
      </c>
      <c r="M1143" t="str">
        <f>IF(Table1[[#This Row],[length_of_stay_days]]&gt;7,"Yes","No")</f>
        <v>No</v>
      </c>
    </row>
    <row r="1144" spans="1:13" x14ac:dyDescent="0.3">
      <c r="A1144" t="s">
        <v>1541</v>
      </c>
      <c r="B1144">
        <v>81</v>
      </c>
      <c r="C1144" t="s">
        <v>12</v>
      </c>
      <c r="D1144" t="s">
        <v>28</v>
      </c>
      <c r="E1144" t="s">
        <v>21</v>
      </c>
      <c r="F1144" t="s">
        <v>1181</v>
      </c>
      <c r="G1144" t="s">
        <v>523</v>
      </c>
      <c r="H1144">
        <v>3</v>
      </c>
      <c r="I1144" s="1">
        <v>5611.16</v>
      </c>
      <c r="J1144" t="s">
        <v>49</v>
      </c>
      <c r="K1144" t="s">
        <v>18</v>
      </c>
      <c r="L1144" t="str" cm="1">
        <f t="array" ref="L1144">_xlfn.IFS(B1144&lt;30,"18-29",B1144&lt;45,"30-44",B1144&lt;60,"45-59",B1144&lt;75,"60-74",B1144&lt;=90,"75-90")</f>
        <v>75-90</v>
      </c>
      <c r="M1144" t="str">
        <f>IF(Table1[[#This Row],[length_of_stay_days]]&gt;7,"Yes","No")</f>
        <v>No</v>
      </c>
    </row>
    <row r="1145" spans="1:13" x14ac:dyDescent="0.3">
      <c r="A1145" t="s">
        <v>1542</v>
      </c>
      <c r="B1145">
        <v>61</v>
      </c>
      <c r="C1145" t="s">
        <v>20</v>
      </c>
      <c r="D1145" t="s">
        <v>13</v>
      </c>
      <c r="E1145" t="s">
        <v>21</v>
      </c>
      <c r="F1145" t="s">
        <v>378</v>
      </c>
      <c r="G1145" t="s">
        <v>189</v>
      </c>
      <c r="H1145">
        <v>4</v>
      </c>
      <c r="I1145" s="1">
        <v>6124.35</v>
      </c>
      <c r="J1145" t="s">
        <v>17</v>
      </c>
      <c r="K1145" t="s">
        <v>18</v>
      </c>
      <c r="L1145" t="str" cm="1">
        <f t="array" ref="L1145">_xlfn.IFS(B1145&lt;30,"18-29",B1145&lt;45,"30-44",B1145&lt;60,"45-59",B1145&lt;75,"60-74",B1145&lt;=90,"75-90")</f>
        <v>60-74</v>
      </c>
      <c r="M1145" t="str">
        <f>IF(Table1[[#This Row],[length_of_stay_days]]&gt;7,"Yes","No")</f>
        <v>No</v>
      </c>
    </row>
    <row r="1146" spans="1:13" x14ac:dyDescent="0.3">
      <c r="A1146" t="s">
        <v>1543</v>
      </c>
      <c r="B1146">
        <v>60</v>
      </c>
      <c r="C1146" t="s">
        <v>12</v>
      </c>
      <c r="D1146" t="s">
        <v>28</v>
      </c>
      <c r="E1146" t="s">
        <v>14</v>
      </c>
      <c r="F1146" t="s">
        <v>1207</v>
      </c>
      <c r="G1146" t="s">
        <v>481</v>
      </c>
      <c r="H1146">
        <v>2</v>
      </c>
      <c r="I1146" s="1">
        <v>3425.26</v>
      </c>
      <c r="J1146" t="s">
        <v>17</v>
      </c>
      <c r="K1146" t="s">
        <v>18</v>
      </c>
      <c r="L1146" t="str" cm="1">
        <f t="array" ref="L1146">_xlfn.IFS(B1146&lt;30,"18-29",B1146&lt;45,"30-44",B1146&lt;60,"45-59",B1146&lt;75,"60-74",B1146&lt;=90,"75-90")</f>
        <v>60-74</v>
      </c>
      <c r="M1146" t="str">
        <f>IF(Table1[[#This Row],[length_of_stay_days]]&gt;7,"Yes","No")</f>
        <v>No</v>
      </c>
    </row>
    <row r="1147" spans="1:13" x14ac:dyDescent="0.3">
      <c r="A1147" t="s">
        <v>1544</v>
      </c>
      <c r="B1147">
        <v>89</v>
      </c>
      <c r="C1147" t="s">
        <v>12</v>
      </c>
      <c r="D1147" t="s">
        <v>28</v>
      </c>
      <c r="E1147" t="s">
        <v>28</v>
      </c>
      <c r="F1147" t="s">
        <v>296</v>
      </c>
      <c r="G1147" t="s">
        <v>248</v>
      </c>
      <c r="H1147">
        <v>3</v>
      </c>
      <c r="I1147" s="1">
        <v>3342.05</v>
      </c>
      <c r="J1147" t="s">
        <v>17</v>
      </c>
      <c r="K1147" t="s">
        <v>18</v>
      </c>
      <c r="L1147" t="str" cm="1">
        <f t="array" ref="L1147">_xlfn.IFS(B1147&lt;30,"18-29",B1147&lt;45,"30-44",B1147&lt;60,"45-59",B1147&lt;75,"60-74",B1147&lt;=90,"75-90")</f>
        <v>75-90</v>
      </c>
      <c r="M1147" t="str">
        <f>IF(Table1[[#This Row],[length_of_stay_days]]&gt;7,"Yes","No")</f>
        <v>No</v>
      </c>
    </row>
    <row r="1148" spans="1:13" x14ac:dyDescent="0.3">
      <c r="A1148" t="s">
        <v>1545</v>
      </c>
      <c r="B1148">
        <v>87</v>
      </c>
      <c r="C1148" t="s">
        <v>12</v>
      </c>
      <c r="D1148" t="s">
        <v>13</v>
      </c>
      <c r="E1148" t="s">
        <v>28</v>
      </c>
      <c r="F1148" t="s">
        <v>177</v>
      </c>
      <c r="G1148" t="s">
        <v>59</v>
      </c>
      <c r="H1148">
        <v>4</v>
      </c>
      <c r="I1148" s="1">
        <v>4711.5</v>
      </c>
      <c r="J1148" t="s">
        <v>17</v>
      </c>
      <c r="K1148" t="s">
        <v>18</v>
      </c>
      <c r="L1148" t="str" cm="1">
        <f t="array" ref="L1148">_xlfn.IFS(B1148&lt;30,"18-29",B1148&lt;45,"30-44",B1148&lt;60,"45-59",B1148&lt;75,"60-74",B1148&lt;=90,"75-90")</f>
        <v>75-90</v>
      </c>
      <c r="M1148" t="str">
        <f>IF(Table1[[#This Row],[length_of_stay_days]]&gt;7,"Yes","No")</f>
        <v>No</v>
      </c>
    </row>
    <row r="1149" spans="1:13" x14ac:dyDescent="0.3">
      <c r="A1149" t="s">
        <v>1546</v>
      </c>
      <c r="B1149">
        <v>31</v>
      </c>
      <c r="C1149" t="s">
        <v>12</v>
      </c>
      <c r="D1149" t="s">
        <v>13</v>
      </c>
      <c r="E1149" t="s">
        <v>21</v>
      </c>
      <c r="F1149" t="s">
        <v>151</v>
      </c>
      <c r="G1149" t="s">
        <v>152</v>
      </c>
      <c r="H1149">
        <v>3</v>
      </c>
      <c r="I1149" s="1">
        <v>3496.76</v>
      </c>
      <c r="J1149" t="s">
        <v>17</v>
      </c>
      <c r="K1149" t="s">
        <v>18</v>
      </c>
      <c r="L1149" t="str" cm="1">
        <f t="array" ref="L1149">_xlfn.IFS(B1149&lt;30,"18-29",B1149&lt;45,"30-44",B1149&lt;60,"45-59",B1149&lt;75,"60-74",B1149&lt;=90,"75-90")</f>
        <v>30-44</v>
      </c>
      <c r="M1149" t="str">
        <f>IF(Table1[[#This Row],[length_of_stay_days]]&gt;7,"Yes","No")</f>
        <v>No</v>
      </c>
    </row>
    <row r="1150" spans="1:13" x14ac:dyDescent="0.3">
      <c r="A1150" t="s">
        <v>1547</v>
      </c>
      <c r="B1150">
        <v>80</v>
      </c>
      <c r="C1150" t="s">
        <v>20</v>
      </c>
      <c r="D1150" t="s">
        <v>51</v>
      </c>
      <c r="E1150" t="s">
        <v>28</v>
      </c>
      <c r="F1150" t="s">
        <v>144</v>
      </c>
      <c r="G1150" t="s">
        <v>34</v>
      </c>
      <c r="H1150">
        <v>8</v>
      </c>
      <c r="I1150" s="1">
        <v>11482.76</v>
      </c>
      <c r="J1150" t="s">
        <v>49</v>
      </c>
      <c r="K1150" t="s">
        <v>18</v>
      </c>
      <c r="L1150" t="str" cm="1">
        <f t="array" ref="L1150">_xlfn.IFS(B1150&lt;30,"18-29",B1150&lt;45,"30-44",B1150&lt;60,"45-59",B1150&lt;75,"60-74",B1150&lt;=90,"75-90")</f>
        <v>75-90</v>
      </c>
      <c r="M1150" t="str">
        <f>IF(Table1[[#This Row],[length_of_stay_days]]&gt;7,"Yes","No")</f>
        <v>Yes</v>
      </c>
    </row>
    <row r="1151" spans="1:13" x14ac:dyDescent="0.3">
      <c r="A1151" t="s">
        <v>1548</v>
      </c>
      <c r="B1151">
        <v>39</v>
      </c>
      <c r="C1151" t="s">
        <v>12</v>
      </c>
      <c r="D1151" t="s">
        <v>55</v>
      </c>
      <c r="E1151" t="s">
        <v>28</v>
      </c>
      <c r="F1151" t="s">
        <v>408</v>
      </c>
      <c r="G1151" t="s">
        <v>37</v>
      </c>
      <c r="H1151">
        <v>5</v>
      </c>
      <c r="I1151" s="1">
        <v>9931.8799999999992</v>
      </c>
      <c r="J1151" t="s">
        <v>17</v>
      </c>
      <c r="K1151" t="s">
        <v>18</v>
      </c>
      <c r="L1151" t="str" cm="1">
        <f t="array" ref="L1151">_xlfn.IFS(B1151&lt;30,"18-29",B1151&lt;45,"30-44",B1151&lt;60,"45-59",B1151&lt;75,"60-74",B1151&lt;=90,"75-90")</f>
        <v>30-44</v>
      </c>
      <c r="M1151" t="str">
        <f>IF(Table1[[#This Row],[length_of_stay_days]]&gt;7,"Yes","No")</f>
        <v>No</v>
      </c>
    </row>
    <row r="1152" spans="1:13" x14ac:dyDescent="0.3">
      <c r="A1152" t="s">
        <v>1549</v>
      </c>
      <c r="B1152">
        <v>87</v>
      </c>
      <c r="C1152" t="s">
        <v>12</v>
      </c>
      <c r="D1152" t="s">
        <v>13</v>
      </c>
      <c r="E1152" t="s">
        <v>28</v>
      </c>
      <c r="F1152" t="s">
        <v>78</v>
      </c>
      <c r="G1152" t="s">
        <v>184</v>
      </c>
      <c r="H1152">
        <v>7</v>
      </c>
      <c r="I1152" s="1">
        <v>7256.63</v>
      </c>
      <c r="J1152" t="s">
        <v>17</v>
      </c>
      <c r="K1152" t="s">
        <v>18</v>
      </c>
      <c r="L1152" t="str" cm="1">
        <f t="array" ref="L1152">_xlfn.IFS(B1152&lt;30,"18-29",B1152&lt;45,"30-44",B1152&lt;60,"45-59",B1152&lt;75,"60-74",B1152&lt;=90,"75-90")</f>
        <v>75-90</v>
      </c>
      <c r="M1152" t="str">
        <f>IF(Table1[[#This Row],[length_of_stay_days]]&gt;7,"Yes","No")</f>
        <v>No</v>
      </c>
    </row>
    <row r="1153" spans="1:13" x14ac:dyDescent="0.3">
      <c r="A1153" t="s">
        <v>1550</v>
      </c>
      <c r="B1153">
        <v>74</v>
      </c>
      <c r="C1153" t="s">
        <v>12</v>
      </c>
      <c r="D1153" t="s">
        <v>13</v>
      </c>
      <c r="E1153" t="s">
        <v>28</v>
      </c>
      <c r="F1153" t="s">
        <v>646</v>
      </c>
      <c r="G1153" t="s">
        <v>168</v>
      </c>
      <c r="H1153">
        <v>7</v>
      </c>
      <c r="I1153" s="1">
        <v>9116.66</v>
      </c>
      <c r="J1153" t="s">
        <v>17</v>
      </c>
      <c r="K1153" t="s">
        <v>18</v>
      </c>
      <c r="L1153" t="str" cm="1">
        <f t="array" ref="L1153">_xlfn.IFS(B1153&lt;30,"18-29",B1153&lt;45,"30-44",B1153&lt;60,"45-59",B1153&lt;75,"60-74",B1153&lt;=90,"75-90")</f>
        <v>60-74</v>
      </c>
      <c r="M1153" t="str">
        <f>IF(Table1[[#This Row],[length_of_stay_days]]&gt;7,"Yes","No")</f>
        <v>No</v>
      </c>
    </row>
    <row r="1154" spans="1:13" x14ac:dyDescent="0.3">
      <c r="A1154" t="s">
        <v>1551</v>
      </c>
      <c r="B1154">
        <v>84</v>
      </c>
      <c r="C1154" t="s">
        <v>12</v>
      </c>
      <c r="D1154" t="s">
        <v>32</v>
      </c>
      <c r="E1154" t="s">
        <v>14</v>
      </c>
      <c r="F1154" t="s">
        <v>411</v>
      </c>
      <c r="G1154" t="s">
        <v>1207</v>
      </c>
      <c r="H1154">
        <v>6</v>
      </c>
      <c r="I1154" s="1">
        <v>10501.17</v>
      </c>
      <c r="J1154" t="s">
        <v>17</v>
      </c>
      <c r="K1154" t="s">
        <v>18</v>
      </c>
      <c r="L1154" t="str" cm="1">
        <f t="array" ref="L1154">_xlfn.IFS(B1154&lt;30,"18-29",B1154&lt;45,"30-44",B1154&lt;60,"45-59",B1154&lt;75,"60-74",B1154&lt;=90,"75-90")</f>
        <v>75-90</v>
      </c>
      <c r="M1154" t="str">
        <f>IF(Table1[[#This Row],[length_of_stay_days]]&gt;7,"Yes","No")</f>
        <v>No</v>
      </c>
    </row>
    <row r="1155" spans="1:13" x14ac:dyDescent="0.3">
      <c r="A1155" t="s">
        <v>1552</v>
      </c>
      <c r="B1155">
        <v>60</v>
      </c>
      <c r="C1155" t="s">
        <v>12</v>
      </c>
      <c r="D1155" t="s">
        <v>28</v>
      </c>
      <c r="E1155" t="s">
        <v>14</v>
      </c>
      <c r="F1155" t="s">
        <v>928</v>
      </c>
      <c r="G1155" t="s">
        <v>23</v>
      </c>
      <c r="H1155">
        <v>5</v>
      </c>
      <c r="I1155" s="1">
        <v>6461.53</v>
      </c>
      <c r="J1155" t="s">
        <v>49</v>
      </c>
      <c r="K1155" t="s">
        <v>18</v>
      </c>
      <c r="L1155" t="str" cm="1">
        <f t="array" ref="L1155">_xlfn.IFS(B1155&lt;30,"18-29",B1155&lt;45,"30-44",B1155&lt;60,"45-59",B1155&lt;75,"60-74",B1155&lt;=90,"75-90")</f>
        <v>60-74</v>
      </c>
      <c r="M1155" t="str">
        <f>IF(Table1[[#This Row],[length_of_stay_days]]&gt;7,"Yes","No")</f>
        <v>No</v>
      </c>
    </row>
    <row r="1156" spans="1:13" x14ac:dyDescent="0.3">
      <c r="A1156" t="s">
        <v>1553</v>
      </c>
      <c r="B1156">
        <v>51</v>
      </c>
      <c r="C1156" t="s">
        <v>12</v>
      </c>
      <c r="D1156" t="s">
        <v>32</v>
      </c>
      <c r="E1156" t="s">
        <v>28</v>
      </c>
      <c r="F1156" t="s">
        <v>449</v>
      </c>
      <c r="G1156" t="s">
        <v>40</v>
      </c>
      <c r="H1156">
        <v>6</v>
      </c>
      <c r="I1156" s="1">
        <v>11449.5</v>
      </c>
      <c r="J1156" t="s">
        <v>17</v>
      </c>
      <c r="K1156" t="s">
        <v>18</v>
      </c>
      <c r="L1156" t="str" cm="1">
        <f t="array" ref="L1156">_xlfn.IFS(B1156&lt;30,"18-29",B1156&lt;45,"30-44",B1156&lt;60,"45-59",B1156&lt;75,"60-74",B1156&lt;=90,"75-90")</f>
        <v>45-59</v>
      </c>
      <c r="M1156" t="str">
        <f>IF(Table1[[#This Row],[length_of_stay_days]]&gt;7,"Yes","No")</f>
        <v>No</v>
      </c>
    </row>
    <row r="1157" spans="1:13" x14ac:dyDescent="0.3">
      <c r="A1157" t="s">
        <v>1554</v>
      </c>
      <c r="B1157">
        <v>47</v>
      </c>
      <c r="C1157" t="s">
        <v>12</v>
      </c>
      <c r="D1157" t="s">
        <v>28</v>
      </c>
      <c r="E1157" t="s">
        <v>21</v>
      </c>
      <c r="F1157" t="s">
        <v>742</v>
      </c>
      <c r="G1157" t="s">
        <v>119</v>
      </c>
      <c r="H1157">
        <v>1</v>
      </c>
      <c r="I1157" s="1">
        <v>4014.86</v>
      </c>
      <c r="J1157" t="s">
        <v>17</v>
      </c>
      <c r="K1157" t="s">
        <v>18</v>
      </c>
      <c r="L1157" t="str" cm="1">
        <f t="array" ref="L1157">_xlfn.IFS(B1157&lt;30,"18-29",B1157&lt;45,"30-44",B1157&lt;60,"45-59",B1157&lt;75,"60-74",B1157&lt;=90,"75-90")</f>
        <v>45-59</v>
      </c>
      <c r="M1157" t="str">
        <f>IF(Table1[[#This Row],[length_of_stay_days]]&gt;7,"Yes","No")</f>
        <v>No</v>
      </c>
    </row>
    <row r="1158" spans="1:13" x14ac:dyDescent="0.3">
      <c r="A1158" t="s">
        <v>1555</v>
      </c>
      <c r="B1158">
        <v>73</v>
      </c>
      <c r="C1158" t="s">
        <v>20</v>
      </c>
      <c r="D1158" t="s">
        <v>28</v>
      </c>
      <c r="E1158" t="s">
        <v>28</v>
      </c>
      <c r="F1158" t="s">
        <v>399</v>
      </c>
      <c r="G1158" t="s">
        <v>898</v>
      </c>
      <c r="H1158">
        <v>3</v>
      </c>
      <c r="I1158" s="1">
        <v>5070.59</v>
      </c>
      <c r="J1158" t="s">
        <v>17</v>
      </c>
      <c r="K1158" t="s">
        <v>18</v>
      </c>
      <c r="L1158" t="str" cm="1">
        <f t="array" ref="L1158">_xlfn.IFS(B1158&lt;30,"18-29",B1158&lt;45,"30-44",B1158&lt;60,"45-59",B1158&lt;75,"60-74",B1158&lt;=90,"75-90")</f>
        <v>60-74</v>
      </c>
      <c r="M1158" t="str">
        <f>IF(Table1[[#This Row],[length_of_stay_days]]&gt;7,"Yes","No")</f>
        <v>No</v>
      </c>
    </row>
    <row r="1159" spans="1:13" x14ac:dyDescent="0.3">
      <c r="A1159" t="s">
        <v>1556</v>
      </c>
      <c r="B1159">
        <v>24</v>
      </c>
      <c r="C1159" t="s">
        <v>12</v>
      </c>
      <c r="D1159" t="s">
        <v>55</v>
      </c>
      <c r="E1159" t="s">
        <v>28</v>
      </c>
      <c r="F1159" t="s">
        <v>190</v>
      </c>
      <c r="H1159">
        <v>8</v>
      </c>
      <c r="I1159" s="1">
        <v>11443.48</v>
      </c>
      <c r="J1159" t="s">
        <v>17</v>
      </c>
      <c r="K1159" t="s">
        <v>18</v>
      </c>
      <c r="L1159" t="str" cm="1">
        <f t="array" ref="L1159">_xlfn.IFS(B1159&lt;30,"18-29",B1159&lt;45,"30-44",B1159&lt;60,"45-59",B1159&lt;75,"60-74",B1159&lt;=90,"75-90")</f>
        <v>18-29</v>
      </c>
      <c r="M1159" t="str">
        <f>IF(Table1[[#This Row],[length_of_stay_days]]&gt;7,"Yes","No")</f>
        <v>Yes</v>
      </c>
    </row>
    <row r="1160" spans="1:13" x14ac:dyDescent="0.3">
      <c r="A1160" t="s">
        <v>1557</v>
      </c>
      <c r="B1160">
        <v>48</v>
      </c>
      <c r="C1160" t="s">
        <v>12</v>
      </c>
      <c r="D1160" t="s">
        <v>28</v>
      </c>
      <c r="E1160" t="s">
        <v>14</v>
      </c>
      <c r="F1160" t="s">
        <v>609</v>
      </c>
      <c r="G1160" t="s">
        <v>16</v>
      </c>
      <c r="H1160">
        <v>4</v>
      </c>
      <c r="I1160" s="1">
        <v>3511.56</v>
      </c>
      <c r="J1160" t="s">
        <v>49</v>
      </c>
      <c r="K1160" t="s">
        <v>18</v>
      </c>
      <c r="L1160" t="str" cm="1">
        <f t="array" ref="L1160">_xlfn.IFS(B1160&lt;30,"18-29",B1160&lt;45,"30-44",B1160&lt;60,"45-59",B1160&lt;75,"60-74",B1160&lt;=90,"75-90")</f>
        <v>45-59</v>
      </c>
      <c r="M1160" t="str">
        <f>IF(Table1[[#This Row],[length_of_stay_days]]&gt;7,"Yes","No")</f>
        <v>No</v>
      </c>
    </row>
    <row r="1161" spans="1:13" x14ac:dyDescent="0.3">
      <c r="A1161" t="s">
        <v>1558</v>
      </c>
      <c r="B1161">
        <v>58</v>
      </c>
      <c r="C1161" t="s">
        <v>20</v>
      </c>
      <c r="D1161" t="s">
        <v>32</v>
      </c>
      <c r="E1161" t="s">
        <v>28</v>
      </c>
      <c r="F1161" t="s">
        <v>558</v>
      </c>
      <c r="G1161" t="s">
        <v>680</v>
      </c>
      <c r="H1161">
        <v>5</v>
      </c>
      <c r="I1161" s="1">
        <v>8175.72</v>
      </c>
      <c r="J1161" t="s">
        <v>17</v>
      </c>
      <c r="K1161" t="s">
        <v>18</v>
      </c>
      <c r="L1161" t="str" cm="1">
        <f t="array" ref="L1161">_xlfn.IFS(B1161&lt;30,"18-29",B1161&lt;45,"30-44",B1161&lt;60,"45-59",B1161&lt;75,"60-74",B1161&lt;=90,"75-90")</f>
        <v>45-59</v>
      </c>
      <c r="M1161" t="str">
        <f>IF(Table1[[#This Row],[length_of_stay_days]]&gt;7,"Yes","No")</f>
        <v>No</v>
      </c>
    </row>
    <row r="1162" spans="1:13" x14ac:dyDescent="0.3">
      <c r="A1162" t="s">
        <v>1559</v>
      </c>
      <c r="B1162">
        <v>32</v>
      </c>
      <c r="C1162" t="s">
        <v>20</v>
      </c>
      <c r="D1162" t="s">
        <v>51</v>
      </c>
      <c r="E1162" t="s">
        <v>28</v>
      </c>
      <c r="F1162" t="s">
        <v>355</v>
      </c>
      <c r="G1162" t="s">
        <v>1207</v>
      </c>
      <c r="H1162">
        <v>9</v>
      </c>
      <c r="I1162" s="1">
        <v>12095.36</v>
      </c>
      <c r="J1162" t="s">
        <v>17</v>
      </c>
      <c r="K1162" t="s">
        <v>18</v>
      </c>
      <c r="L1162" t="str" cm="1">
        <f t="array" ref="L1162">_xlfn.IFS(B1162&lt;30,"18-29",B1162&lt;45,"30-44",B1162&lt;60,"45-59",B1162&lt;75,"60-74",B1162&lt;=90,"75-90")</f>
        <v>30-44</v>
      </c>
      <c r="M1162" t="str">
        <f>IF(Table1[[#This Row],[length_of_stay_days]]&gt;7,"Yes","No")</f>
        <v>Yes</v>
      </c>
    </row>
    <row r="1163" spans="1:13" x14ac:dyDescent="0.3">
      <c r="A1163" t="s">
        <v>1560</v>
      </c>
      <c r="B1163">
        <v>77</v>
      </c>
      <c r="C1163" t="s">
        <v>20</v>
      </c>
      <c r="D1163" t="s">
        <v>32</v>
      </c>
      <c r="E1163" t="s">
        <v>14</v>
      </c>
      <c r="F1163" t="s">
        <v>259</v>
      </c>
      <c r="H1163">
        <v>7</v>
      </c>
      <c r="I1163" s="1">
        <v>11077.01</v>
      </c>
      <c r="J1163" t="s">
        <v>17</v>
      </c>
      <c r="K1163" t="s">
        <v>18</v>
      </c>
      <c r="L1163" t="str" cm="1">
        <f t="array" ref="L1163">_xlfn.IFS(B1163&lt;30,"18-29",B1163&lt;45,"30-44",B1163&lt;60,"45-59",B1163&lt;75,"60-74",B1163&lt;=90,"75-90")</f>
        <v>75-90</v>
      </c>
      <c r="M1163" t="str">
        <f>IF(Table1[[#This Row],[length_of_stay_days]]&gt;7,"Yes","No")</f>
        <v>No</v>
      </c>
    </row>
    <row r="1164" spans="1:13" x14ac:dyDescent="0.3">
      <c r="A1164" t="s">
        <v>1561</v>
      </c>
      <c r="B1164">
        <v>40</v>
      </c>
      <c r="C1164" t="s">
        <v>12</v>
      </c>
      <c r="D1164" t="s">
        <v>55</v>
      </c>
      <c r="E1164" t="s">
        <v>28</v>
      </c>
      <c r="F1164" t="s">
        <v>879</v>
      </c>
      <c r="G1164" t="s">
        <v>306</v>
      </c>
      <c r="H1164">
        <v>7</v>
      </c>
      <c r="I1164" s="1">
        <v>12245.3</v>
      </c>
      <c r="J1164" t="s">
        <v>17</v>
      </c>
      <c r="K1164" t="s">
        <v>18</v>
      </c>
      <c r="L1164" t="str" cm="1">
        <f t="array" ref="L1164">_xlfn.IFS(B1164&lt;30,"18-29",B1164&lt;45,"30-44",B1164&lt;60,"45-59",B1164&lt;75,"60-74",B1164&lt;=90,"75-90")</f>
        <v>30-44</v>
      </c>
      <c r="M1164" t="str">
        <f>IF(Table1[[#This Row],[length_of_stay_days]]&gt;7,"Yes","No")</f>
        <v>No</v>
      </c>
    </row>
    <row r="1165" spans="1:13" x14ac:dyDescent="0.3">
      <c r="A1165" t="s">
        <v>1562</v>
      </c>
      <c r="B1165">
        <v>85</v>
      </c>
      <c r="C1165" t="s">
        <v>12</v>
      </c>
      <c r="D1165" t="s">
        <v>55</v>
      </c>
      <c r="E1165" t="s">
        <v>14</v>
      </c>
      <c r="F1165" t="s">
        <v>171</v>
      </c>
      <c r="G1165" t="s">
        <v>205</v>
      </c>
      <c r="H1165">
        <v>6</v>
      </c>
      <c r="I1165" s="1">
        <v>10608.93</v>
      </c>
      <c r="J1165" t="s">
        <v>17</v>
      </c>
      <c r="K1165" t="s">
        <v>18</v>
      </c>
      <c r="L1165" t="str" cm="1">
        <f t="array" ref="L1165">_xlfn.IFS(B1165&lt;30,"18-29",B1165&lt;45,"30-44",B1165&lt;60,"45-59",B1165&lt;75,"60-74",B1165&lt;=90,"75-90")</f>
        <v>75-90</v>
      </c>
      <c r="M1165" t="str">
        <f>IF(Table1[[#This Row],[length_of_stay_days]]&gt;7,"Yes","No")</f>
        <v>No</v>
      </c>
    </row>
    <row r="1166" spans="1:13" x14ac:dyDescent="0.3">
      <c r="A1166" t="s">
        <v>1563</v>
      </c>
      <c r="B1166">
        <v>60</v>
      </c>
      <c r="C1166" t="s">
        <v>20</v>
      </c>
      <c r="D1166" t="s">
        <v>55</v>
      </c>
      <c r="E1166" t="s">
        <v>21</v>
      </c>
      <c r="F1166" t="s">
        <v>376</v>
      </c>
      <c r="G1166" t="s">
        <v>96</v>
      </c>
      <c r="H1166">
        <v>1</v>
      </c>
      <c r="I1166" s="1">
        <v>6606.31</v>
      </c>
      <c r="J1166" t="s">
        <v>17</v>
      </c>
      <c r="K1166" t="s">
        <v>18</v>
      </c>
      <c r="L1166" t="str" cm="1">
        <f t="array" ref="L1166">_xlfn.IFS(B1166&lt;30,"18-29",B1166&lt;45,"30-44",B1166&lt;60,"45-59",B1166&lt;75,"60-74",B1166&lt;=90,"75-90")</f>
        <v>60-74</v>
      </c>
      <c r="M1166" t="str">
        <f>IF(Table1[[#This Row],[length_of_stay_days]]&gt;7,"Yes","No")</f>
        <v>No</v>
      </c>
    </row>
    <row r="1167" spans="1:13" x14ac:dyDescent="0.3">
      <c r="A1167" t="s">
        <v>1564</v>
      </c>
      <c r="B1167">
        <v>56</v>
      </c>
      <c r="C1167" t="s">
        <v>12</v>
      </c>
      <c r="D1167" t="s">
        <v>13</v>
      </c>
      <c r="E1167" t="s">
        <v>21</v>
      </c>
      <c r="F1167" t="s">
        <v>95</v>
      </c>
      <c r="G1167" t="s">
        <v>226</v>
      </c>
      <c r="H1167">
        <v>4</v>
      </c>
      <c r="I1167" s="1">
        <v>8185.6</v>
      </c>
      <c r="J1167" t="s">
        <v>17</v>
      </c>
      <c r="K1167" t="s">
        <v>18</v>
      </c>
      <c r="L1167" t="str" cm="1">
        <f t="array" ref="L1167">_xlfn.IFS(B1167&lt;30,"18-29",B1167&lt;45,"30-44",B1167&lt;60,"45-59",B1167&lt;75,"60-74",B1167&lt;=90,"75-90")</f>
        <v>45-59</v>
      </c>
      <c r="M1167" t="str">
        <f>IF(Table1[[#This Row],[length_of_stay_days]]&gt;7,"Yes","No")</f>
        <v>No</v>
      </c>
    </row>
    <row r="1168" spans="1:13" x14ac:dyDescent="0.3">
      <c r="A1168" t="s">
        <v>1565</v>
      </c>
      <c r="B1168">
        <v>22</v>
      </c>
      <c r="C1168" t="s">
        <v>20</v>
      </c>
      <c r="D1168" t="s">
        <v>28</v>
      </c>
      <c r="E1168" t="s">
        <v>28</v>
      </c>
      <c r="F1168" t="s">
        <v>152</v>
      </c>
      <c r="G1168" t="s">
        <v>124</v>
      </c>
      <c r="H1168">
        <v>6</v>
      </c>
      <c r="I1168" s="1">
        <v>6537.85</v>
      </c>
      <c r="J1168" t="s">
        <v>17</v>
      </c>
      <c r="K1168" t="s">
        <v>18</v>
      </c>
      <c r="L1168" t="str" cm="1">
        <f t="array" ref="L1168">_xlfn.IFS(B1168&lt;30,"18-29",B1168&lt;45,"30-44",B1168&lt;60,"45-59",B1168&lt;75,"60-74",B1168&lt;=90,"75-90")</f>
        <v>18-29</v>
      </c>
      <c r="M1168" t="str">
        <f>IF(Table1[[#This Row],[length_of_stay_days]]&gt;7,"Yes","No")</f>
        <v>No</v>
      </c>
    </row>
    <row r="1169" spans="1:13" x14ac:dyDescent="0.3">
      <c r="A1169" t="s">
        <v>1566</v>
      </c>
      <c r="B1169">
        <v>71</v>
      </c>
      <c r="C1169" t="s">
        <v>20</v>
      </c>
      <c r="D1169" t="s">
        <v>55</v>
      </c>
      <c r="E1169" t="s">
        <v>28</v>
      </c>
      <c r="F1169" t="s">
        <v>133</v>
      </c>
      <c r="G1169" t="s">
        <v>58</v>
      </c>
      <c r="H1169">
        <v>6</v>
      </c>
      <c r="I1169" s="1">
        <v>8839.15</v>
      </c>
      <c r="J1169" t="s">
        <v>17</v>
      </c>
      <c r="K1169" t="s">
        <v>18</v>
      </c>
      <c r="L1169" t="str" cm="1">
        <f t="array" ref="L1169">_xlfn.IFS(B1169&lt;30,"18-29",B1169&lt;45,"30-44",B1169&lt;60,"45-59",B1169&lt;75,"60-74",B1169&lt;=90,"75-90")</f>
        <v>60-74</v>
      </c>
      <c r="M1169" t="str">
        <f>IF(Table1[[#This Row],[length_of_stay_days]]&gt;7,"Yes","No")</f>
        <v>No</v>
      </c>
    </row>
    <row r="1170" spans="1:13" x14ac:dyDescent="0.3">
      <c r="A1170" t="s">
        <v>1567</v>
      </c>
      <c r="B1170">
        <v>21</v>
      </c>
      <c r="C1170" t="s">
        <v>20</v>
      </c>
      <c r="D1170" t="s">
        <v>55</v>
      </c>
      <c r="E1170" t="s">
        <v>21</v>
      </c>
      <c r="F1170" t="s">
        <v>367</v>
      </c>
      <c r="G1170" t="s">
        <v>96</v>
      </c>
      <c r="H1170">
        <v>5</v>
      </c>
      <c r="I1170" s="1">
        <v>8667.7099999999991</v>
      </c>
      <c r="J1170" t="s">
        <v>17</v>
      </c>
      <c r="K1170" t="s">
        <v>18</v>
      </c>
      <c r="L1170" t="str" cm="1">
        <f t="array" ref="L1170">_xlfn.IFS(B1170&lt;30,"18-29",B1170&lt;45,"30-44",B1170&lt;60,"45-59",B1170&lt;75,"60-74",B1170&lt;=90,"75-90")</f>
        <v>18-29</v>
      </c>
      <c r="M1170" t="str">
        <f>IF(Table1[[#This Row],[length_of_stay_days]]&gt;7,"Yes","No")</f>
        <v>No</v>
      </c>
    </row>
    <row r="1171" spans="1:13" x14ac:dyDescent="0.3">
      <c r="A1171" t="s">
        <v>1568</v>
      </c>
      <c r="B1171">
        <v>86</v>
      </c>
      <c r="C1171" t="s">
        <v>20</v>
      </c>
      <c r="D1171" t="s">
        <v>28</v>
      </c>
      <c r="E1171" t="s">
        <v>21</v>
      </c>
      <c r="F1171" t="s">
        <v>165</v>
      </c>
      <c r="G1171" t="s">
        <v>551</v>
      </c>
      <c r="H1171">
        <v>7</v>
      </c>
      <c r="I1171" s="1">
        <v>9965.61</v>
      </c>
      <c r="J1171" t="s">
        <v>49</v>
      </c>
      <c r="K1171" t="s">
        <v>18</v>
      </c>
      <c r="L1171" t="str" cm="1">
        <f t="array" ref="L1171">_xlfn.IFS(B1171&lt;30,"18-29",B1171&lt;45,"30-44",B1171&lt;60,"45-59",B1171&lt;75,"60-74",B1171&lt;=90,"75-90")</f>
        <v>75-90</v>
      </c>
      <c r="M1171" t="str">
        <f>IF(Table1[[#This Row],[length_of_stay_days]]&gt;7,"Yes","No")</f>
        <v>No</v>
      </c>
    </row>
    <row r="1172" spans="1:13" x14ac:dyDescent="0.3">
      <c r="A1172" t="s">
        <v>1569</v>
      </c>
      <c r="B1172">
        <v>34</v>
      </c>
      <c r="C1172" t="s">
        <v>20</v>
      </c>
      <c r="D1172" t="s">
        <v>28</v>
      </c>
      <c r="E1172" t="s">
        <v>28</v>
      </c>
      <c r="F1172" t="s">
        <v>381</v>
      </c>
      <c r="G1172" t="s">
        <v>807</v>
      </c>
      <c r="H1172">
        <v>2</v>
      </c>
      <c r="I1172" s="1">
        <v>5580.73</v>
      </c>
      <c r="J1172" t="s">
        <v>17</v>
      </c>
      <c r="K1172" t="s">
        <v>18</v>
      </c>
      <c r="L1172" t="str" cm="1">
        <f t="array" ref="L1172">_xlfn.IFS(B1172&lt;30,"18-29",B1172&lt;45,"30-44",B1172&lt;60,"45-59",B1172&lt;75,"60-74",B1172&lt;=90,"75-90")</f>
        <v>30-44</v>
      </c>
      <c r="M1172" t="str">
        <f>IF(Table1[[#This Row],[length_of_stay_days]]&gt;7,"Yes","No")</f>
        <v>No</v>
      </c>
    </row>
    <row r="1173" spans="1:13" x14ac:dyDescent="0.3">
      <c r="A1173" t="s">
        <v>1570</v>
      </c>
      <c r="B1173">
        <v>74</v>
      </c>
      <c r="C1173" t="s">
        <v>12</v>
      </c>
      <c r="D1173" t="s">
        <v>51</v>
      </c>
      <c r="E1173" t="s">
        <v>28</v>
      </c>
      <c r="F1173" t="s">
        <v>283</v>
      </c>
      <c r="G1173" t="s">
        <v>823</v>
      </c>
      <c r="H1173">
        <v>4</v>
      </c>
      <c r="I1173" s="1">
        <v>9882.8799999999992</v>
      </c>
      <c r="J1173" t="s">
        <v>17</v>
      </c>
      <c r="K1173" t="s">
        <v>18</v>
      </c>
      <c r="L1173" t="str" cm="1">
        <f t="array" ref="L1173">_xlfn.IFS(B1173&lt;30,"18-29",B1173&lt;45,"30-44",B1173&lt;60,"45-59",B1173&lt;75,"60-74",B1173&lt;=90,"75-90")</f>
        <v>60-74</v>
      </c>
      <c r="M1173" t="str">
        <f>IF(Table1[[#This Row],[length_of_stay_days]]&gt;7,"Yes","No")</f>
        <v>No</v>
      </c>
    </row>
    <row r="1174" spans="1:13" x14ac:dyDescent="0.3">
      <c r="A1174" t="s">
        <v>1571</v>
      </c>
      <c r="B1174">
        <v>70</v>
      </c>
      <c r="C1174" t="s">
        <v>12</v>
      </c>
      <c r="D1174" t="s">
        <v>28</v>
      </c>
      <c r="E1174" t="s">
        <v>14</v>
      </c>
      <c r="F1174" t="s">
        <v>536</v>
      </c>
      <c r="G1174" t="s">
        <v>350</v>
      </c>
      <c r="H1174">
        <v>1</v>
      </c>
      <c r="I1174" s="1">
        <v>4078.99</v>
      </c>
      <c r="J1174" t="s">
        <v>17</v>
      </c>
      <c r="K1174" t="s">
        <v>18</v>
      </c>
      <c r="L1174" t="str" cm="1">
        <f t="array" ref="L1174">_xlfn.IFS(B1174&lt;30,"18-29",B1174&lt;45,"30-44",B1174&lt;60,"45-59",B1174&lt;75,"60-74",B1174&lt;=90,"75-90")</f>
        <v>60-74</v>
      </c>
      <c r="M1174" t="str">
        <f>IF(Table1[[#This Row],[length_of_stay_days]]&gt;7,"Yes","No")</f>
        <v>No</v>
      </c>
    </row>
    <row r="1175" spans="1:13" x14ac:dyDescent="0.3">
      <c r="A1175" t="s">
        <v>1572</v>
      </c>
      <c r="B1175">
        <v>62</v>
      </c>
      <c r="C1175" t="s">
        <v>20</v>
      </c>
      <c r="D1175" t="s">
        <v>32</v>
      </c>
      <c r="E1175" t="s">
        <v>28</v>
      </c>
      <c r="F1175" t="s">
        <v>200</v>
      </c>
      <c r="G1175" t="s">
        <v>77</v>
      </c>
      <c r="H1175">
        <v>7</v>
      </c>
      <c r="I1175" s="1">
        <v>10216.25</v>
      </c>
      <c r="J1175" t="s">
        <v>17</v>
      </c>
      <c r="K1175" t="s">
        <v>18</v>
      </c>
      <c r="L1175" t="str" cm="1">
        <f t="array" ref="L1175">_xlfn.IFS(B1175&lt;30,"18-29",B1175&lt;45,"30-44",B1175&lt;60,"45-59",B1175&lt;75,"60-74",B1175&lt;=90,"75-90")</f>
        <v>60-74</v>
      </c>
      <c r="M1175" t="str">
        <f>IF(Table1[[#This Row],[length_of_stay_days]]&gt;7,"Yes","No")</f>
        <v>No</v>
      </c>
    </row>
    <row r="1176" spans="1:13" x14ac:dyDescent="0.3">
      <c r="A1176" t="s">
        <v>1573</v>
      </c>
      <c r="B1176">
        <v>87</v>
      </c>
      <c r="C1176" t="s">
        <v>20</v>
      </c>
      <c r="D1176" t="s">
        <v>28</v>
      </c>
      <c r="E1176" t="s">
        <v>21</v>
      </c>
      <c r="F1176" t="s">
        <v>584</v>
      </c>
      <c r="G1176" t="s">
        <v>596</v>
      </c>
      <c r="H1176">
        <v>4</v>
      </c>
      <c r="I1176" s="1">
        <v>3133.5</v>
      </c>
      <c r="J1176" t="s">
        <v>17</v>
      </c>
      <c r="K1176" t="s">
        <v>18</v>
      </c>
      <c r="L1176" t="str" cm="1">
        <f t="array" ref="L1176">_xlfn.IFS(B1176&lt;30,"18-29",B1176&lt;45,"30-44",B1176&lt;60,"45-59",B1176&lt;75,"60-74",B1176&lt;=90,"75-90")</f>
        <v>75-90</v>
      </c>
      <c r="M1176" t="str">
        <f>IF(Table1[[#This Row],[length_of_stay_days]]&gt;7,"Yes","No")</f>
        <v>No</v>
      </c>
    </row>
    <row r="1177" spans="1:13" x14ac:dyDescent="0.3">
      <c r="A1177" t="s">
        <v>1574</v>
      </c>
      <c r="B1177">
        <v>32</v>
      </c>
      <c r="C1177" t="s">
        <v>20</v>
      </c>
      <c r="D1177" t="s">
        <v>32</v>
      </c>
      <c r="E1177" t="s">
        <v>28</v>
      </c>
      <c r="F1177" t="s">
        <v>509</v>
      </c>
      <c r="G1177" t="s">
        <v>59</v>
      </c>
      <c r="H1177">
        <v>7</v>
      </c>
      <c r="I1177" s="1">
        <v>11411.86</v>
      </c>
      <c r="J1177" t="s">
        <v>17</v>
      </c>
      <c r="K1177" t="s">
        <v>18</v>
      </c>
      <c r="L1177" t="str" cm="1">
        <f t="array" ref="L1177">_xlfn.IFS(B1177&lt;30,"18-29",B1177&lt;45,"30-44",B1177&lt;60,"45-59",B1177&lt;75,"60-74",B1177&lt;=90,"75-90")</f>
        <v>30-44</v>
      </c>
      <c r="M1177" t="str">
        <f>IF(Table1[[#This Row],[length_of_stay_days]]&gt;7,"Yes","No")</f>
        <v>No</v>
      </c>
    </row>
    <row r="1178" spans="1:13" x14ac:dyDescent="0.3">
      <c r="A1178" t="s">
        <v>1575</v>
      </c>
      <c r="B1178">
        <v>23</v>
      </c>
      <c r="C1178" t="s">
        <v>12</v>
      </c>
      <c r="D1178" t="s">
        <v>46</v>
      </c>
      <c r="E1178" t="s">
        <v>21</v>
      </c>
      <c r="F1178" t="s">
        <v>348</v>
      </c>
      <c r="G1178" t="s">
        <v>162</v>
      </c>
      <c r="H1178">
        <v>8</v>
      </c>
      <c r="I1178" s="1">
        <v>15056.9</v>
      </c>
      <c r="J1178" t="s">
        <v>17</v>
      </c>
      <c r="K1178" t="s">
        <v>18</v>
      </c>
      <c r="L1178" t="str" cm="1">
        <f t="array" ref="L1178">_xlfn.IFS(B1178&lt;30,"18-29",B1178&lt;45,"30-44",B1178&lt;60,"45-59",B1178&lt;75,"60-74",B1178&lt;=90,"75-90")</f>
        <v>18-29</v>
      </c>
      <c r="M1178" t="str">
        <f>IF(Table1[[#This Row],[length_of_stay_days]]&gt;7,"Yes","No")</f>
        <v>Yes</v>
      </c>
    </row>
    <row r="1179" spans="1:13" x14ac:dyDescent="0.3">
      <c r="A1179" t="s">
        <v>1576</v>
      </c>
      <c r="B1179">
        <v>48</v>
      </c>
      <c r="C1179" t="s">
        <v>12</v>
      </c>
      <c r="D1179" t="s">
        <v>13</v>
      </c>
      <c r="E1179" t="s">
        <v>28</v>
      </c>
      <c r="F1179" t="s">
        <v>591</v>
      </c>
      <c r="H1179">
        <v>6</v>
      </c>
      <c r="I1179" s="1">
        <v>5843.03</v>
      </c>
      <c r="J1179" t="s">
        <v>49</v>
      </c>
      <c r="K1179" t="s">
        <v>18</v>
      </c>
      <c r="L1179" t="str" cm="1">
        <f t="array" ref="L1179">_xlfn.IFS(B1179&lt;30,"18-29",B1179&lt;45,"30-44",B1179&lt;60,"45-59",B1179&lt;75,"60-74",B1179&lt;=90,"75-90")</f>
        <v>45-59</v>
      </c>
      <c r="M1179" t="str">
        <f>IF(Table1[[#This Row],[length_of_stay_days]]&gt;7,"Yes","No")</f>
        <v>No</v>
      </c>
    </row>
    <row r="1180" spans="1:13" x14ac:dyDescent="0.3">
      <c r="A1180" t="s">
        <v>1577</v>
      </c>
      <c r="B1180">
        <v>56</v>
      </c>
      <c r="C1180" t="s">
        <v>20</v>
      </c>
      <c r="D1180" t="s">
        <v>51</v>
      </c>
      <c r="E1180" t="s">
        <v>21</v>
      </c>
      <c r="F1180" t="s">
        <v>469</v>
      </c>
      <c r="G1180" t="s">
        <v>81</v>
      </c>
      <c r="H1180">
        <v>5</v>
      </c>
      <c r="I1180" s="1">
        <v>12040.46</v>
      </c>
      <c r="J1180" t="s">
        <v>49</v>
      </c>
      <c r="K1180" t="s">
        <v>18</v>
      </c>
      <c r="L1180" t="str" cm="1">
        <f t="array" ref="L1180">_xlfn.IFS(B1180&lt;30,"18-29",B1180&lt;45,"30-44",B1180&lt;60,"45-59",B1180&lt;75,"60-74",B1180&lt;=90,"75-90")</f>
        <v>45-59</v>
      </c>
      <c r="M1180" t="str">
        <f>IF(Table1[[#This Row],[length_of_stay_days]]&gt;7,"Yes","No")</f>
        <v>No</v>
      </c>
    </row>
    <row r="1181" spans="1:13" x14ac:dyDescent="0.3">
      <c r="A1181" t="s">
        <v>1578</v>
      </c>
      <c r="B1181">
        <v>72</v>
      </c>
      <c r="C1181" t="s">
        <v>12</v>
      </c>
      <c r="D1181" t="s">
        <v>51</v>
      </c>
      <c r="E1181" t="s">
        <v>21</v>
      </c>
      <c r="F1181" t="s">
        <v>427</v>
      </c>
      <c r="G1181" t="s">
        <v>78</v>
      </c>
      <c r="H1181">
        <v>11</v>
      </c>
      <c r="I1181" s="1">
        <v>14697.78</v>
      </c>
      <c r="J1181" t="s">
        <v>49</v>
      </c>
      <c r="K1181" t="s">
        <v>18</v>
      </c>
      <c r="L1181" t="str" cm="1">
        <f t="array" ref="L1181">_xlfn.IFS(B1181&lt;30,"18-29",B1181&lt;45,"30-44",B1181&lt;60,"45-59",B1181&lt;75,"60-74",B1181&lt;=90,"75-90")</f>
        <v>60-74</v>
      </c>
      <c r="M1181" t="str">
        <f>IF(Table1[[#This Row],[length_of_stay_days]]&gt;7,"Yes","No")</f>
        <v>Yes</v>
      </c>
    </row>
    <row r="1182" spans="1:13" x14ac:dyDescent="0.3">
      <c r="A1182" t="s">
        <v>1579</v>
      </c>
      <c r="B1182">
        <v>65</v>
      </c>
      <c r="C1182" t="s">
        <v>12</v>
      </c>
      <c r="D1182" t="s">
        <v>13</v>
      </c>
      <c r="E1182" t="s">
        <v>21</v>
      </c>
      <c r="F1182" t="s">
        <v>182</v>
      </c>
      <c r="G1182" t="s">
        <v>1135</v>
      </c>
      <c r="H1182">
        <v>5</v>
      </c>
      <c r="I1182" s="1">
        <v>8307.76</v>
      </c>
      <c r="J1182" t="s">
        <v>17</v>
      </c>
      <c r="K1182" t="s">
        <v>18</v>
      </c>
      <c r="L1182" t="str" cm="1">
        <f t="array" ref="L1182">_xlfn.IFS(B1182&lt;30,"18-29",B1182&lt;45,"30-44",B1182&lt;60,"45-59",B1182&lt;75,"60-74",B1182&lt;=90,"75-90")</f>
        <v>60-74</v>
      </c>
      <c r="M1182" t="str">
        <f>IF(Table1[[#This Row],[length_of_stay_days]]&gt;7,"Yes","No")</f>
        <v>No</v>
      </c>
    </row>
    <row r="1183" spans="1:13" x14ac:dyDescent="0.3">
      <c r="A1183" t="s">
        <v>1580</v>
      </c>
      <c r="B1183">
        <v>55</v>
      </c>
      <c r="C1183" t="s">
        <v>20</v>
      </c>
      <c r="D1183" t="s">
        <v>32</v>
      </c>
      <c r="E1183" t="s">
        <v>14</v>
      </c>
      <c r="F1183" t="s">
        <v>306</v>
      </c>
      <c r="G1183" t="s">
        <v>179</v>
      </c>
      <c r="H1183">
        <v>7</v>
      </c>
      <c r="I1183" s="1">
        <v>13224.03</v>
      </c>
      <c r="J1183" t="s">
        <v>49</v>
      </c>
      <c r="K1183" t="s">
        <v>18</v>
      </c>
      <c r="L1183" t="str" cm="1">
        <f t="array" ref="L1183">_xlfn.IFS(B1183&lt;30,"18-29",B1183&lt;45,"30-44",B1183&lt;60,"45-59",B1183&lt;75,"60-74",B1183&lt;=90,"75-90")</f>
        <v>45-59</v>
      </c>
      <c r="M1183" t="str">
        <f>IF(Table1[[#This Row],[length_of_stay_days]]&gt;7,"Yes","No")</f>
        <v>No</v>
      </c>
    </row>
    <row r="1184" spans="1:13" x14ac:dyDescent="0.3">
      <c r="A1184" t="s">
        <v>1581</v>
      </c>
      <c r="B1184">
        <v>64</v>
      </c>
      <c r="C1184" t="s">
        <v>12</v>
      </c>
      <c r="D1184" t="s">
        <v>32</v>
      </c>
      <c r="E1184" t="s">
        <v>28</v>
      </c>
      <c r="F1184" t="s">
        <v>485</v>
      </c>
      <c r="G1184" t="s">
        <v>783</v>
      </c>
      <c r="H1184">
        <v>9</v>
      </c>
      <c r="I1184" s="1">
        <v>15017.77</v>
      </c>
      <c r="J1184" t="s">
        <v>17</v>
      </c>
      <c r="K1184" t="s">
        <v>18</v>
      </c>
      <c r="L1184" t="str" cm="1">
        <f t="array" ref="L1184">_xlfn.IFS(B1184&lt;30,"18-29",B1184&lt;45,"30-44",B1184&lt;60,"45-59",B1184&lt;75,"60-74",B1184&lt;=90,"75-90")</f>
        <v>60-74</v>
      </c>
      <c r="M1184" t="str">
        <f>IF(Table1[[#This Row],[length_of_stay_days]]&gt;7,"Yes","No")</f>
        <v>Yes</v>
      </c>
    </row>
    <row r="1185" spans="1:13" x14ac:dyDescent="0.3">
      <c r="A1185" t="s">
        <v>1582</v>
      </c>
      <c r="B1185">
        <v>79</v>
      </c>
      <c r="C1185" t="s">
        <v>12</v>
      </c>
      <c r="D1185" t="s">
        <v>46</v>
      </c>
      <c r="E1185" t="s">
        <v>14</v>
      </c>
      <c r="F1185" t="s">
        <v>378</v>
      </c>
      <c r="G1185" t="s">
        <v>190</v>
      </c>
      <c r="H1185">
        <v>10</v>
      </c>
      <c r="I1185" s="1">
        <v>15257.05</v>
      </c>
      <c r="J1185" t="s">
        <v>17</v>
      </c>
      <c r="K1185" t="s">
        <v>18</v>
      </c>
      <c r="L1185" t="str" cm="1">
        <f t="array" ref="L1185">_xlfn.IFS(B1185&lt;30,"18-29",B1185&lt;45,"30-44",B1185&lt;60,"45-59",B1185&lt;75,"60-74",B1185&lt;=90,"75-90")</f>
        <v>75-90</v>
      </c>
      <c r="M1185" t="str">
        <f>IF(Table1[[#This Row],[length_of_stay_days]]&gt;7,"Yes","No")</f>
        <v>Yes</v>
      </c>
    </row>
    <row r="1186" spans="1:13" x14ac:dyDescent="0.3">
      <c r="A1186" t="s">
        <v>1583</v>
      </c>
      <c r="B1186">
        <v>85</v>
      </c>
      <c r="C1186" t="s">
        <v>20</v>
      </c>
      <c r="D1186" t="s">
        <v>32</v>
      </c>
      <c r="E1186" t="s">
        <v>14</v>
      </c>
      <c r="F1186" t="s">
        <v>663</v>
      </c>
      <c r="G1186" t="s">
        <v>58</v>
      </c>
      <c r="H1186">
        <v>5</v>
      </c>
      <c r="I1186" s="1">
        <v>11825.32</v>
      </c>
      <c r="J1186" t="s">
        <v>17</v>
      </c>
      <c r="K1186" t="s">
        <v>18</v>
      </c>
      <c r="L1186" t="str" cm="1">
        <f t="array" ref="L1186">_xlfn.IFS(B1186&lt;30,"18-29",B1186&lt;45,"30-44",B1186&lt;60,"45-59",B1186&lt;75,"60-74",B1186&lt;=90,"75-90")</f>
        <v>75-90</v>
      </c>
      <c r="M1186" t="str">
        <f>IF(Table1[[#This Row],[length_of_stay_days]]&gt;7,"Yes","No")</f>
        <v>No</v>
      </c>
    </row>
    <row r="1187" spans="1:13" x14ac:dyDescent="0.3">
      <c r="A1187" t="s">
        <v>1584</v>
      </c>
      <c r="B1187">
        <v>27</v>
      </c>
      <c r="C1187" t="s">
        <v>12</v>
      </c>
      <c r="D1187" t="s">
        <v>46</v>
      </c>
      <c r="E1187" t="s">
        <v>14</v>
      </c>
      <c r="F1187" t="s">
        <v>217</v>
      </c>
      <c r="G1187" t="s">
        <v>399</v>
      </c>
      <c r="H1187">
        <v>6</v>
      </c>
      <c r="I1187" s="1">
        <v>14372.27</v>
      </c>
      <c r="J1187" t="s">
        <v>17</v>
      </c>
      <c r="K1187" t="s">
        <v>18</v>
      </c>
      <c r="L1187" t="str" cm="1">
        <f t="array" ref="L1187">_xlfn.IFS(B1187&lt;30,"18-29",B1187&lt;45,"30-44",B1187&lt;60,"45-59",B1187&lt;75,"60-74",B1187&lt;=90,"75-90")</f>
        <v>18-29</v>
      </c>
      <c r="M1187" t="str">
        <f>IF(Table1[[#This Row],[length_of_stay_days]]&gt;7,"Yes","No")</f>
        <v>No</v>
      </c>
    </row>
    <row r="1188" spans="1:13" x14ac:dyDescent="0.3">
      <c r="A1188" t="s">
        <v>1585</v>
      </c>
      <c r="B1188">
        <v>38</v>
      </c>
      <c r="C1188" t="s">
        <v>12</v>
      </c>
      <c r="D1188" t="s">
        <v>28</v>
      </c>
      <c r="E1188" t="s">
        <v>21</v>
      </c>
      <c r="F1188" t="s">
        <v>127</v>
      </c>
      <c r="G1188" t="s">
        <v>396</v>
      </c>
      <c r="H1188">
        <v>3</v>
      </c>
      <c r="I1188" s="1">
        <v>3110.7</v>
      </c>
      <c r="J1188" t="s">
        <v>17</v>
      </c>
      <c r="K1188" t="s">
        <v>18</v>
      </c>
      <c r="L1188" t="str" cm="1">
        <f t="array" ref="L1188">_xlfn.IFS(B1188&lt;30,"18-29",B1188&lt;45,"30-44",B1188&lt;60,"45-59",B1188&lt;75,"60-74",B1188&lt;=90,"75-90")</f>
        <v>30-44</v>
      </c>
      <c r="M1188" t="str">
        <f>IF(Table1[[#This Row],[length_of_stay_days]]&gt;7,"Yes","No")</f>
        <v>No</v>
      </c>
    </row>
    <row r="1189" spans="1:13" x14ac:dyDescent="0.3">
      <c r="A1189" t="s">
        <v>1586</v>
      </c>
      <c r="B1189">
        <v>32</v>
      </c>
      <c r="C1189" t="s">
        <v>12</v>
      </c>
      <c r="D1189" t="s">
        <v>28</v>
      </c>
      <c r="E1189" t="s">
        <v>14</v>
      </c>
      <c r="F1189" t="s">
        <v>311</v>
      </c>
      <c r="G1189" t="s">
        <v>250</v>
      </c>
      <c r="H1189">
        <v>7</v>
      </c>
      <c r="I1189" s="1">
        <v>7956.14</v>
      </c>
      <c r="J1189" t="s">
        <v>17</v>
      </c>
      <c r="K1189" t="s">
        <v>18</v>
      </c>
      <c r="L1189" t="str" cm="1">
        <f t="array" ref="L1189">_xlfn.IFS(B1189&lt;30,"18-29",B1189&lt;45,"30-44",B1189&lt;60,"45-59",B1189&lt;75,"60-74",B1189&lt;=90,"75-90")</f>
        <v>30-44</v>
      </c>
      <c r="M1189" t="str">
        <f>IF(Table1[[#This Row],[length_of_stay_days]]&gt;7,"Yes","No")</f>
        <v>No</v>
      </c>
    </row>
    <row r="1190" spans="1:13" x14ac:dyDescent="0.3">
      <c r="A1190" t="s">
        <v>1587</v>
      </c>
      <c r="B1190">
        <v>47</v>
      </c>
      <c r="C1190" t="s">
        <v>12</v>
      </c>
      <c r="D1190" t="s">
        <v>28</v>
      </c>
      <c r="E1190" t="s">
        <v>14</v>
      </c>
      <c r="F1190" t="s">
        <v>390</v>
      </c>
      <c r="G1190" t="s">
        <v>126</v>
      </c>
      <c r="H1190">
        <v>1</v>
      </c>
      <c r="I1190" s="1">
        <v>6392.08</v>
      </c>
      <c r="J1190" t="s">
        <v>17</v>
      </c>
      <c r="K1190" t="s">
        <v>18</v>
      </c>
      <c r="L1190" t="str" cm="1">
        <f t="array" ref="L1190">_xlfn.IFS(B1190&lt;30,"18-29",B1190&lt;45,"30-44",B1190&lt;60,"45-59",B1190&lt;75,"60-74",B1190&lt;=90,"75-90")</f>
        <v>45-59</v>
      </c>
      <c r="M1190" t="str">
        <f>IF(Table1[[#This Row],[length_of_stay_days]]&gt;7,"Yes","No")</f>
        <v>No</v>
      </c>
    </row>
    <row r="1191" spans="1:13" x14ac:dyDescent="0.3">
      <c r="A1191" t="s">
        <v>1588</v>
      </c>
      <c r="B1191">
        <v>52</v>
      </c>
      <c r="C1191" t="s">
        <v>20</v>
      </c>
      <c r="D1191" t="s">
        <v>13</v>
      </c>
      <c r="E1191" t="s">
        <v>14</v>
      </c>
      <c r="F1191" t="s">
        <v>390</v>
      </c>
      <c r="G1191" t="s">
        <v>126</v>
      </c>
      <c r="H1191">
        <v>1</v>
      </c>
      <c r="I1191" s="1">
        <v>4948.59</v>
      </c>
      <c r="J1191" t="s">
        <v>17</v>
      </c>
      <c r="K1191" t="s">
        <v>18</v>
      </c>
      <c r="L1191" t="str" cm="1">
        <f t="array" ref="L1191">_xlfn.IFS(B1191&lt;30,"18-29",B1191&lt;45,"30-44",B1191&lt;60,"45-59",B1191&lt;75,"60-74",B1191&lt;=90,"75-90")</f>
        <v>45-59</v>
      </c>
      <c r="M1191" t="str">
        <f>IF(Table1[[#This Row],[length_of_stay_days]]&gt;7,"Yes","No")</f>
        <v>No</v>
      </c>
    </row>
    <row r="1192" spans="1:13" x14ac:dyDescent="0.3">
      <c r="A1192" t="s">
        <v>1589</v>
      </c>
      <c r="B1192">
        <v>79</v>
      </c>
      <c r="C1192" t="s">
        <v>12</v>
      </c>
      <c r="D1192" t="s">
        <v>28</v>
      </c>
      <c r="E1192" t="s">
        <v>28</v>
      </c>
      <c r="F1192" t="s">
        <v>742</v>
      </c>
      <c r="G1192" t="s">
        <v>246</v>
      </c>
      <c r="H1192">
        <v>6</v>
      </c>
      <c r="I1192" s="1">
        <v>5938.8</v>
      </c>
      <c r="J1192" t="s">
        <v>17</v>
      </c>
      <c r="K1192" t="s">
        <v>18</v>
      </c>
      <c r="L1192" t="str" cm="1">
        <f t="array" ref="L1192">_xlfn.IFS(B1192&lt;30,"18-29",B1192&lt;45,"30-44",B1192&lt;60,"45-59",B1192&lt;75,"60-74",B1192&lt;=90,"75-90")</f>
        <v>75-90</v>
      </c>
      <c r="M1192" t="str">
        <f>IF(Table1[[#This Row],[length_of_stay_days]]&gt;7,"Yes","No")</f>
        <v>No</v>
      </c>
    </row>
    <row r="1193" spans="1:13" x14ac:dyDescent="0.3">
      <c r="A1193" t="s">
        <v>1590</v>
      </c>
      <c r="B1193">
        <v>45</v>
      </c>
      <c r="C1193" t="s">
        <v>70</v>
      </c>
      <c r="D1193" t="s">
        <v>13</v>
      </c>
      <c r="E1193" t="s">
        <v>28</v>
      </c>
      <c r="F1193" t="s">
        <v>604</v>
      </c>
      <c r="G1193" t="s">
        <v>676</v>
      </c>
      <c r="H1193">
        <v>8</v>
      </c>
      <c r="I1193" s="1">
        <v>9484.3700000000008</v>
      </c>
      <c r="J1193" t="s">
        <v>17</v>
      </c>
      <c r="K1193" t="s">
        <v>18</v>
      </c>
      <c r="L1193" t="str" cm="1">
        <f t="array" ref="L1193">_xlfn.IFS(B1193&lt;30,"18-29",B1193&lt;45,"30-44",B1193&lt;60,"45-59",B1193&lt;75,"60-74",B1193&lt;=90,"75-90")</f>
        <v>45-59</v>
      </c>
      <c r="M1193" t="str">
        <f>IF(Table1[[#This Row],[length_of_stay_days]]&gt;7,"Yes","No")</f>
        <v>Yes</v>
      </c>
    </row>
    <row r="1194" spans="1:13" x14ac:dyDescent="0.3">
      <c r="A1194" t="s">
        <v>1591</v>
      </c>
      <c r="B1194">
        <v>76</v>
      </c>
      <c r="C1194" t="s">
        <v>12</v>
      </c>
      <c r="D1194" t="s">
        <v>28</v>
      </c>
      <c r="E1194" t="s">
        <v>14</v>
      </c>
      <c r="F1194" t="s">
        <v>255</v>
      </c>
      <c r="G1194" t="s">
        <v>537</v>
      </c>
      <c r="H1194">
        <v>3</v>
      </c>
      <c r="I1194" s="1">
        <v>6112.49</v>
      </c>
      <c r="J1194" t="s">
        <v>49</v>
      </c>
      <c r="K1194" t="s">
        <v>18</v>
      </c>
      <c r="L1194" t="str" cm="1">
        <f t="array" ref="L1194">_xlfn.IFS(B1194&lt;30,"18-29",B1194&lt;45,"30-44",B1194&lt;60,"45-59",B1194&lt;75,"60-74",B1194&lt;=90,"75-90")</f>
        <v>75-90</v>
      </c>
      <c r="M1194" t="str">
        <f>IF(Table1[[#This Row],[length_of_stay_days]]&gt;7,"Yes","No")</f>
        <v>No</v>
      </c>
    </row>
    <row r="1195" spans="1:13" x14ac:dyDescent="0.3">
      <c r="A1195" t="s">
        <v>1592</v>
      </c>
      <c r="B1195">
        <v>43</v>
      </c>
      <c r="C1195" t="s">
        <v>12</v>
      </c>
      <c r="D1195" t="s">
        <v>55</v>
      </c>
      <c r="E1195" t="s">
        <v>28</v>
      </c>
      <c r="F1195" t="s">
        <v>144</v>
      </c>
      <c r="G1195" t="s">
        <v>879</v>
      </c>
      <c r="H1195">
        <v>5</v>
      </c>
      <c r="I1195" s="1">
        <v>8945.69</v>
      </c>
      <c r="J1195" t="s">
        <v>17</v>
      </c>
      <c r="K1195" t="s">
        <v>18</v>
      </c>
      <c r="L1195" t="str" cm="1">
        <f t="array" ref="L1195">_xlfn.IFS(B1195&lt;30,"18-29",B1195&lt;45,"30-44",B1195&lt;60,"45-59",B1195&lt;75,"60-74",B1195&lt;=90,"75-90")</f>
        <v>30-44</v>
      </c>
      <c r="M1195" t="str">
        <f>IF(Table1[[#This Row],[length_of_stay_days]]&gt;7,"Yes","No")</f>
        <v>No</v>
      </c>
    </row>
    <row r="1196" spans="1:13" x14ac:dyDescent="0.3">
      <c r="A1196" t="s">
        <v>1593</v>
      </c>
      <c r="B1196">
        <v>58</v>
      </c>
      <c r="C1196" t="s">
        <v>20</v>
      </c>
      <c r="D1196" t="s">
        <v>13</v>
      </c>
      <c r="E1196" t="s">
        <v>28</v>
      </c>
      <c r="F1196" t="s">
        <v>341</v>
      </c>
      <c r="G1196" t="s">
        <v>173</v>
      </c>
      <c r="H1196">
        <v>2</v>
      </c>
      <c r="I1196" s="1">
        <v>4998.83</v>
      </c>
      <c r="J1196" t="s">
        <v>17</v>
      </c>
      <c r="K1196" t="s">
        <v>18</v>
      </c>
      <c r="L1196" t="str" cm="1">
        <f t="array" ref="L1196">_xlfn.IFS(B1196&lt;30,"18-29",B1196&lt;45,"30-44",B1196&lt;60,"45-59",B1196&lt;75,"60-74",B1196&lt;=90,"75-90")</f>
        <v>45-59</v>
      </c>
      <c r="M1196" t="str">
        <f>IF(Table1[[#This Row],[length_of_stay_days]]&gt;7,"Yes","No")</f>
        <v>No</v>
      </c>
    </row>
    <row r="1197" spans="1:13" x14ac:dyDescent="0.3">
      <c r="A1197" t="s">
        <v>1594</v>
      </c>
      <c r="B1197">
        <v>78</v>
      </c>
      <c r="C1197" t="s">
        <v>20</v>
      </c>
      <c r="D1197" t="s">
        <v>51</v>
      </c>
      <c r="E1197" t="s">
        <v>28</v>
      </c>
      <c r="F1197" t="s">
        <v>1595</v>
      </c>
      <c r="G1197" t="s">
        <v>408</v>
      </c>
      <c r="H1197">
        <v>7</v>
      </c>
      <c r="I1197" s="1">
        <v>11846.18</v>
      </c>
      <c r="J1197" t="s">
        <v>49</v>
      </c>
      <c r="K1197" t="s">
        <v>18</v>
      </c>
      <c r="L1197" t="str" cm="1">
        <f t="array" ref="L1197">_xlfn.IFS(B1197&lt;30,"18-29",B1197&lt;45,"30-44",B1197&lt;60,"45-59",B1197&lt;75,"60-74",B1197&lt;=90,"75-90")</f>
        <v>75-90</v>
      </c>
      <c r="M1197" t="str">
        <f>IF(Table1[[#This Row],[length_of_stay_days]]&gt;7,"Yes","No")</f>
        <v>No</v>
      </c>
    </row>
    <row r="1198" spans="1:13" x14ac:dyDescent="0.3">
      <c r="A1198" t="s">
        <v>1596</v>
      </c>
      <c r="B1198">
        <v>54</v>
      </c>
      <c r="C1198" t="s">
        <v>12</v>
      </c>
      <c r="D1198" t="s">
        <v>55</v>
      </c>
      <c r="E1198" t="s">
        <v>21</v>
      </c>
      <c r="F1198" t="s">
        <v>765</v>
      </c>
      <c r="G1198" t="s">
        <v>234</v>
      </c>
      <c r="H1198">
        <v>5</v>
      </c>
      <c r="I1198" s="1">
        <v>9946.7099999999991</v>
      </c>
      <c r="J1198" t="s">
        <v>17</v>
      </c>
      <c r="K1198" t="s">
        <v>18</v>
      </c>
      <c r="L1198" t="str" cm="1">
        <f t="array" ref="L1198">_xlfn.IFS(B1198&lt;30,"18-29",B1198&lt;45,"30-44",B1198&lt;60,"45-59",B1198&lt;75,"60-74",B1198&lt;=90,"75-90")</f>
        <v>45-59</v>
      </c>
      <c r="M1198" t="str">
        <f>IF(Table1[[#This Row],[length_of_stay_days]]&gt;7,"Yes","No")</f>
        <v>No</v>
      </c>
    </row>
    <row r="1199" spans="1:13" x14ac:dyDescent="0.3">
      <c r="A1199" t="s">
        <v>1597</v>
      </c>
      <c r="B1199">
        <v>39</v>
      </c>
      <c r="C1199" t="s">
        <v>20</v>
      </c>
      <c r="D1199" t="s">
        <v>13</v>
      </c>
      <c r="E1199" t="s">
        <v>14</v>
      </c>
      <c r="F1199" t="s">
        <v>203</v>
      </c>
      <c r="G1199" t="s">
        <v>146</v>
      </c>
      <c r="H1199">
        <v>1</v>
      </c>
      <c r="I1199" s="1">
        <v>3343.14</v>
      </c>
      <c r="J1199" t="s">
        <v>17</v>
      </c>
      <c r="K1199" t="s">
        <v>223</v>
      </c>
      <c r="L1199" t="str" cm="1">
        <f t="array" ref="L1199">_xlfn.IFS(B1199&lt;30,"18-29",B1199&lt;45,"30-44",B1199&lt;60,"45-59",B1199&lt;75,"60-74",B1199&lt;=90,"75-90")</f>
        <v>30-44</v>
      </c>
      <c r="M1199" t="str">
        <f>IF(Table1[[#This Row],[length_of_stay_days]]&gt;7,"Yes","No")</f>
        <v>No</v>
      </c>
    </row>
    <row r="1200" spans="1:13" x14ac:dyDescent="0.3">
      <c r="A1200" t="s">
        <v>1598</v>
      </c>
      <c r="B1200">
        <v>42</v>
      </c>
      <c r="C1200" t="s">
        <v>20</v>
      </c>
      <c r="D1200" t="s">
        <v>32</v>
      </c>
      <c r="E1200" t="s">
        <v>28</v>
      </c>
      <c r="F1200" t="s">
        <v>491</v>
      </c>
      <c r="G1200" t="s">
        <v>288</v>
      </c>
      <c r="H1200">
        <v>7</v>
      </c>
      <c r="I1200" s="1">
        <v>9640.7199999999993</v>
      </c>
      <c r="J1200" t="s">
        <v>17</v>
      </c>
      <c r="K1200" t="s">
        <v>18</v>
      </c>
      <c r="L1200" t="str" cm="1">
        <f t="array" ref="L1200">_xlfn.IFS(B1200&lt;30,"18-29",B1200&lt;45,"30-44",B1200&lt;60,"45-59",B1200&lt;75,"60-74",B1200&lt;=90,"75-90")</f>
        <v>30-44</v>
      </c>
      <c r="M1200" t="str">
        <f>IF(Table1[[#This Row],[length_of_stay_days]]&gt;7,"Yes","No")</f>
        <v>No</v>
      </c>
    </row>
    <row r="1201" spans="1:13" x14ac:dyDescent="0.3">
      <c r="A1201" t="s">
        <v>1599</v>
      </c>
      <c r="B1201">
        <v>72</v>
      </c>
      <c r="C1201" t="s">
        <v>20</v>
      </c>
      <c r="D1201" t="s">
        <v>13</v>
      </c>
      <c r="E1201" t="s">
        <v>14</v>
      </c>
      <c r="F1201" t="s">
        <v>162</v>
      </c>
      <c r="G1201" t="s">
        <v>341</v>
      </c>
      <c r="H1201">
        <v>1</v>
      </c>
      <c r="I1201" s="1">
        <v>4486.68</v>
      </c>
      <c r="J1201" t="s">
        <v>17</v>
      </c>
      <c r="K1201" t="s">
        <v>18</v>
      </c>
      <c r="L1201" t="str" cm="1">
        <f t="array" ref="L1201">_xlfn.IFS(B1201&lt;30,"18-29",B1201&lt;45,"30-44",B1201&lt;60,"45-59",B1201&lt;75,"60-74",B1201&lt;=90,"75-90")</f>
        <v>60-74</v>
      </c>
      <c r="M1201" t="str">
        <f>IF(Table1[[#This Row],[length_of_stay_days]]&gt;7,"Yes","No")</f>
        <v>No</v>
      </c>
    </row>
    <row r="1202" spans="1:13" x14ac:dyDescent="0.3">
      <c r="A1202" t="s">
        <v>1600</v>
      </c>
      <c r="B1202">
        <v>36</v>
      </c>
      <c r="C1202" t="s">
        <v>20</v>
      </c>
      <c r="D1202" t="s">
        <v>13</v>
      </c>
      <c r="E1202" t="s">
        <v>14</v>
      </c>
      <c r="F1202" t="s">
        <v>428</v>
      </c>
      <c r="G1202" t="s">
        <v>623</v>
      </c>
      <c r="H1202">
        <v>4</v>
      </c>
      <c r="I1202" s="1">
        <v>5470.21</v>
      </c>
      <c r="J1202" t="s">
        <v>17</v>
      </c>
      <c r="K1202" t="s">
        <v>44</v>
      </c>
      <c r="L1202" t="str" cm="1">
        <f t="array" ref="L1202">_xlfn.IFS(B1202&lt;30,"18-29",B1202&lt;45,"30-44",B1202&lt;60,"45-59",B1202&lt;75,"60-74",B1202&lt;=90,"75-90")</f>
        <v>30-44</v>
      </c>
      <c r="M1202" t="str">
        <f>IF(Table1[[#This Row],[length_of_stay_days]]&gt;7,"Yes","No")</f>
        <v>No</v>
      </c>
    </row>
    <row r="1203" spans="1:13" x14ac:dyDescent="0.3">
      <c r="A1203" t="s">
        <v>1601</v>
      </c>
      <c r="B1203">
        <v>84</v>
      </c>
      <c r="C1203" t="s">
        <v>12</v>
      </c>
      <c r="D1203" t="s">
        <v>13</v>
      </c>
      <c r="E1203" t="s">
        <v>14</v>
      </c>
      <c r="F1203" t="s">
        <v>222</v>
      </c>
      <c r="G1203" t="s">
        <v>25</v>
      </c>
      <c r="H1203">
        <v>7</v>
      </c>
      <c r="I1203" s="1">
        <v>7706.5</v>
      </c>
      <c r="J1203" t="s">
        <v>17</v>
      </c>
      <c r="K1203" t="s">
        <v>18</v>
      </c>
      <c r="L1203" t="str" cm="1">
        <f t="array" ref="L1203">_xlfn.IFS(B1203&lt;30,"18-29",B1203&lt;45,"30-44",B1203&lt;60,"45-59",B1203&lt;75,"60-74",B1203&lt;=90,"75-90")</f>
        <v>75-90</v>
      </c>
      <c r="M1203" t="str">
        <f>IF(Table1[[#This Row],[length_of_stay_days]]&gt;7,"Yes","No")</f>
        <v>No</v>
      </c>
    </row>
    <row r="1204" spans="1:13" x14ac:dyDescent="0.3">
      <c r="A1204" t="s">
        <v>1602</v>
      </c>
      <c r="B1204">
        <v>58</v>
      </c>
      <c r="C1204" t="s">
        <v>20</v>
      </c>
      <c r="D1204" t="s">
        <v>55</v>
      </c>
      <c r="E1204" t="s">
        <v>28</v>
      </c>
      <c r="F1204" t="s">
        <v>232</v>
      </c>
      <c r="G1204" t="s">
        <v>308</v>
      </c>
      <c r="H1204">
        <v>3</v>
      </c>
      <c r="I1204" s="1">
        <v>7935.3</v>
      </c>
      <c r="J1204" t="s">
        <v>17</v>
      </c>
      <c r="K1204" t="s">
        <v>18</v>
      </c>
      <c r="L1204" t="str" cm="1">
        <f t="array" ref="L1204">_xlfn.IFS(B1204&lt;30,"18-29",B1204&lt;45,"30-44",B1204&lt;60,"45-59",B1204&lt;75,"60-74",B1204&lt;=90,"75-90")</f>
        <v>45-59</v>
      </c>
      <c r="M1204" t="str">
        <f>IF(Table1[[#This Row],[length_of_stay_days]]&gt;7,"Yes","No")</f>
        <v>No</v>
      </c>
    </row>
    <row r="1205" spans="1:13" x14ac:dyDescent="0.3">
      <c r="A1205" t="s">
        <v>1603</v>
      </c>
      <c r="B1205">
        <v>41</v>
      </c>
      <c r="C1205" t="s">
        <v>20</v>
      </c>
      <c r="D1205" t="s">
        <v>32</v>
      </c>
      <c r="E1205" t="s">
        <v>28</v>
      </c>
      <c r="F1205" t="s">
        <v>675</v>
      </c>
      <c r="G1205" t="s">
        <v>74</v>
      </c>
      <c r="H1205">
        <v>4</v>
      </c>
      <c r="I1205" s="1">
        <v>8583.59</v>
      </c>
      <c r="J1205" t="s">
        <v>17</v>
      </c>
      <c r="K1205" t="s">
        <v>18</v>
      </c>
      <c r="L1205" t="str" cm="1">
        <f t="array" ref="L1205">_xlfn.IFS(B1205&lt;30,"18-29",B1205&lt;45,"30-44",B1205&lt;60,"45-59",B1205&lt;75,"60-74",B1205&lt;=90,"75-90")</f>
        <v>30-44</v>
      </c>
      <c r="M1205" t="str">
        <f>IF(Table1[[#This Row],[length_of_stay_days]]&gt;7,"Yes","No")</f>
        <v>No</v>
      </c>
    </row>
    <row r="1206" spans="1:13" x14ac:dyDescent="0.3">
      <c r="A1206" t="s">
        <v>1604</v>
      </c>
      <c r="B1206">
        <v>63</v>
      </c>
      <c r="C1206" t="s">
        <v>12</v>
      </c>
      <c r="D1206" t="s">
        <v>13</v>
      </c>
      <c r="E1206" t="s">
        <v>14</v>
      </c>
      <c r="F1206" t="s">
        <v>154</v>
      </c>
      <c r="G1206" t="s">
        <v>364</v>
      </c>
      <c r="H1206">
        <v>3</v>
      </c>
      <c r="I1206" s="1">
        <v>3803.16</v>
      </c>
      <c r="J1206" t="s">
        <v>17</v>
      </c>
      <c r="K1206" t="s">
        <v>18</v>
      </c>
      <c r="L1206" t="str" cm="1">
        <f t="array" ref="L1206">_xlfn.IFS(B1206&lt;30,"18-29",B1206&lt;45,"30-44",B1206&lt;60,"45-59",B1206&lt;75,"60-74",B1206&lt;=90,"75-90")</f>
        <v>60-74</v>
      </c>
      <c r="M1206" t="str">
        <f>IF(Table1[[#This Row],[length_of_stay_days]]&gt;7,"Yes","No")</f>
        <v>No</v>
      </c>
    </row>
    <row r="1207" spans="1:13" x14ac:dyDescent="0.3">
      <c r="A1207" t="s">
        <v>1605</v>
      </c>
      <c r="B1207">
        <v>60</v>
      </c>
      <c r="C1207" t="s">
        <v>20</v>
      </c>
      <c r="D1207" t="s">
        <v>13</v>
      </c>
      <c r="E1207" t="s">
        <v>14</v>
      </c>
      <c r="F1207" t="s">
        <v>109</v>
      </c>
      <c r="G1207" t="s">
        <v>39</v>
      </c>
      <c r="H1207">
        <v>7</v>
      </c>
      <c r="I1207" s="1">
        <v>8359.41</v>
      </c>
      <c r="J1207" t="s">
        <v>49</v>
      </c>
      <c r="K1207" t="s">
        <v>18</v>
      </c>
      <c r="L1207" t="str" cm="1">
        <f t="array" ref="L1207">_xlfn.IFS(B1207&lt;30,"18-29",B1207&lt;45,"30-44",B1207&lt;60,"45-59",B1207&lt;75,"60-74",B1207&lt;=90,"75-90")</f>
        <v>60-74</v>
      </c>
      <c r="M1207" t="str">
        <f>IF(Table1[[#This Row],[length_of_stay_days]]&gt;7,"Yes","No")</f>
        <v>No</v>
      </c>
    </row>
    <row r="1208" spans="1:13" x14ac:dyDescent="0.3">
      <c r="A1208" t="s">
        <v>1606</v>
      </c>
      <c r="B1208">
        <v>81</v>
      </c>
      <c r="C1208" t="s">
        <v>12</v>
      </c>
      <c r="D1208" t="s">
        <v>13</v>
      </c>
      <c r="E1208" t="s">
        <v>21</v>
      </c>
      <c r="F1208" t="s">
        <v>427</v>
      </c>
      <c r="G1208" t="s">
        <v>77</v>
      </c>
      <c r="H1208">
        <v>5</v>
      </c>
      <c r="I1208" s="1">
        <v>7977.95</v>
      </c>
      <c r="J1208" t="s">
        <v>17</v>
      </c>
      <c r="K1208" t="s">
        <v>18</v>
      </c>
      <c r="L1208" t="str" cm="1">
        <f t="array" ref="L1208">_xlfn.IFS(B1208&lt;30,"18-29",B1208&lt;45,"30-44",B1208&lt;60,"45-59",B1208&lt;75,"60-74",B1208&lt;=90,"75-90")</f>
        <v>75-90</v>
      </c>
      <c r="M1208" t="str">
        <f>IF(Table1[[#This Row],[length_of_stay_days]]&gt;7,"Yes","No")</f>
        <v>No</v>
      </c>
    </row>
    <row r="1209" spans="1:13" x14ac:dyDescent="0.3">
      <c r="A1209" t="s">
        <v>1607</v>
      </c>
      <c r="B1209">
        <v>51</v>
      </c>
      <c r="C1209" t="s">
        <v>20</v>
      </c>
      <c r="D1209" t="s">
        <v>28</v>
      </c>
      <c r="E1209" t="s">
        <v>28</v>
      </c>
      <c r="F1209" t="s">
        <v>549</v>
      </c>
      <c r="G1209" t="s">
        <v>118</v>
      </c>
      <c r="H1209">
        <v>6</v>
      </c>
      <c r="I1209" s="1">
        <v>6969.74</v>
      </c>
      <c r="J1209" t="s">
        <v>17</v>
      </c>
      <c r="K1209" t="s">
        <v>18</v>
      </c>
      <c r="L1209" t="str" cm="1">
        <f t="array" ref="L1209">_xlfn.IFS(B1209&lt;30,"18-29",B1209&lt;45,"30-44",B1209&lt;60,"45-59",B1209&lt;75,"60-74",B1209&lt;=90,"75-90")</f>
        <v>45-59</v>
      </c>
      <c r="M1209" t="str">
        <f>IF(Table1[[#This Row],[length_of_stay_days]]&gt;7,"Yes","No")</f>
        <v>No</v>
      </c>
    </row>
    <row r="1210" spans="1:13" x14ac:dyDescent="0.3">
      <c r="A1210" t="s">
        <v>1608</v>
      </c>
      <c r="B1210">
        <v>71</v>
      </c>
      <c r="C1210" t="s">
        <v>20</v>
      </c>
      <c r="D1210" t="s">
        <v>32</v>
      </c>
      <c r="E1210" t="s">
        <v>28</v>
      </c>
      <c r="F1210" t="s">
        <v>395</v>
      </c>
      <c r="G1210" t="s">
        <v>129</v>
      </c>
      <c r="H1210">
        <v>10</v>
      </c>
      <c r="I1210" s="1">
        <v>13251.88</v>
      </c>
      <c r="J1210" t="s">
        <v>17</v>
      </c>
      <c r="K1210" t="s">
        <v>18</v>
      </c>
      <c r="L1210" t="str" cm="1">
        <f t="array" ref="L1210">_xlfn.IFS(B1210&lt;30,"18-29",B1210&lt;45,"30-44",B1210&lt;60,"45-59",B1210&lt;75,"60-74",B1210&lt;=90,"75-90")</f>
        <v>60-74</v>
      </c>
      <c r="M1210" t="str">
        <f>IF(Table1[[#This Row],[length_of_stay_days]]&gt;7,"Yes","No")</f>
        <v>Yes</v>
      </c>
    </row>
    <row r="1211" spans="1:13" x14ac:dyDescent="0.3">
      <c r="A1211" t="s">
        <v>1609</v>
      </c>
      <c r="B1211">
        <v>35</v>
      </c>
      <c r="C1211" t="s">
        <v>20</v>
      </c>
      <c r="D1211" t="s">
        <v>32</v>
      </c>
      <c r="E1211" t="s">
        <v>21</v>
      </c>
      <c r="F1211" t="s">
        <v>396</v>
      </c>
      <c r="G1211" t="s">
        <v>29</v>
      </c>
      <c r="H1211">
        <v>7</v>
      </c>
      <c r="I1211" s="1">
        <v>10925.72</v>
      </c>
      <c r="J1211" t="s">
        <v>17</v>
      </c>
      <c r="K1211" t="s">
        <v>18</v>
      </c>
      <c r="L1211" t="str" cm="1">
        <f t="array" ref="L1211">_xlfn.IFS(B1211&lt;30,"18-29",B1211&lt;45,"30-44",B1211&lt;60,"45-59",B1211&lt;75,"60-74",B1211&lt;=90,"75-90")</f>
        <v>30-44</v>
      </c>
      <c r="M1211" t="str">
        <f>IF(Table1[[#This Row],[length_of_stay_days]]&gt;7,"Yes","No")</f>
        <v>No</v>
      </c>
    </row>
    <row r="1212" spans="1:13" x14ac:dyDescent="0.3">
      <c r="A1212" t="s">
        <v>1610</v>
      </c>
      <c r="B1212">
        <v>22</v>
      </c>
      <c r="C1212" t="s">
        <v>20</v>
      </c>
      <c r="D1212" t="s">
        <v>46</v>
      </c>
      <c r="E1212" t="s">
        <v>28</v>
      </c>
      <c r="F1212" t="s">
        <v>514</v>
      </c>
      <c r="G1212" t="s">
        <v>841</v>
      </c>
      <c r="H1212">
        <v>8</v>
      </c>
      <c r="I1212" s="1">
        <v>12848.83</v>
      </c>
      <c r="J1212" t="s">
        <v>17</v>
      </c>
      <c r="K1212" t="s">
        <v>44</v>
      </c>
      <c r="L1212" t="str" cm="1">
        <f t="array" ref="L1212">_xlfn.IFS(B1212&lt;30,"18-29",B1212&lt;45,"30-44",B1212&lt;60,"45-59",B1212&lt;75,"60-74",B1212&lt;=90,"75-90")</f>
        <v>18-29</v>
      </c>
      <c r="M1212" t="str">
        <f>IF(Table1[[#This Row],[length_of_stay_days]]&gt;7,"Yes","No")</f>
        <v>Yes</v>
      </c>
    </row>
    <row r="1213" spans="1:13" x14ac:dyDescent="0.3">
      <c r="A1213" t="s">
        <v>1611</v>
      </c>
      <c r="B1213">
        <v>63</v>
      </c>
      <c r="C1213" t="s">
        <v>20</v>
      </c>
      <c r="D1213" t="s">
        <v>13</v>
      </c>
      <c r="E1213" t="s">
        <v>28</v>
      </c>
      <c r="F1213" t="s">
        <v>928</v>
      </c>
      <c r="G1213" t="s">
        <v>299</v>
      </c>
      <c r="H1213">
        <v>6</v>
      </c>
      <c r="I1213" s="1">
        <v>6836.63</v>
      </c>
      <c r="J1213" t="s">
        <v>17</v>
      </c>
      <c r="K1213" t="s">
        <v>18</v>
      </c>
      <c r="L1213" t="str" cm="1">
        <f t="array" ref="L1213">_xlfn.IFS(B1213&lt;30,"18-29",B1213&lt;45,"30-44",B1213&lt;60,"45-59",B1213&lt;75,"60-74",B1213&lt;=90,"75-90")</f>
        <v>60-74</v>
      </c>
      <c r="M1213" t="str">
        <f>IF(Table1[[#This Row],[length_of_stay_days]]&gt;7,"Yes","No")</f>
        <v>No</v>
      </c>
    </row>
    <row r="1214" spans="1:13" x14ac:dyDescent="0.3">
      <c r="A1214" t="s">
        <v>1612</v>
      </c>
      <c r="B1214">
        <v>24</v>
      </c>
      <c r="C1214" t="s">
        <v>12</v>
      </c>
      <c r="D1214" t="s">
        <v>28</v>
      </c>
      <c r="E1214" t="s">
        <v>21</v>
      </c>
      <c r="F1214" t="s">
        <v>405</v>
      </c>
      <c r="G1214" t="s">
        <v>791</v>
      </c>
      <c r="H1214">
        <v>3</v>
      </c>
      <c r="I1214" s="1">
        <v>2343.29</v>
      </c>
      <c r="J1214" t="s">
        <v>17</v>
      </c>
      <c r="K1214" t="s">
        <v>18</v>
      </c>
      <c r="L1214" t="str" cm="1">
        <f t="array" ref="L1214">_xlfn.IFS(B1214&lt;30,"18-29",B1214&lt;45,"30-44",B1214&lt;60,"45-59",B1214&lt;75,"60-74",B1214&lt;=90,"75-90")</f>
        <v>18-29</v>
      </c>
      <c r="M1214" t="str">
        <f>IF(Table1[[#This Row],[length_of_stay_days]]&gt;7,"Yes","No")</f>
        <v>No</v>
      </c>
    </row>
    <row r="1215" spans="1:13" x14ac:dyDescent="0.3">
      <c r="A1215" t="s">
        <v>1613</v>
      </c>
      <c r="B1215">
        <v>32</v>
      </c>
      <c r="C1215" t="s">
        <v>12</v>
      </c>
      <c r="D1215" t="s">
        <v>28</v>
      </c>
      <c r="E1215" t="s">
        <v>21</v>
      </c>
      <c r="F1215" t="s">
        <v>751</v>
      </c>
      <c r="G1215" t="s">
        <v>941</v>
      </c>
      <c r="H1215">
        <v>4</v>
      </c>
      <c r="I1215" s="1">
        <v>3604.37</v>
      </c>
      <c r="J1215" t="s">
        <v>17</v>
      </c>
      <c r="K1215" t="s">
        <v>18</v>
      </c>
      <c r="L1215" t="str" cm="1">
        <f t="array" ref="L1215">_xlfn.IFS(B1215&lt;30,"18-29",B1215&lt;45,"30-44",B1215&lt;60,"45-59",B1215&lt;75,"60-74",B1215&lt;=90,"75-90")</f>
        <v>30-44</v>
      </c>
      <c r="M1215" t="str">
        <f>IF(Table1[[#This Row],[length_of_stay_days]]&gt;7,"Yes","No")</f>
        <v>No</v>
      </c>
    </row>
    <row r="1216" spans="1:13" x14ac:dyDescent="0.3">
      <c r="A1216" t="s">
        <v>1614</v>
      </c>
      <c r="B1216">
        <v>20</v>
      </c>
      <c r="C1216" t="s">
        <v>12</v>
      </c>
      <c r="D1216" t="s">
        <v>46</v>
      </c>
      <c r="E1216" t="s">
        <v>14</v>
      </c>
      <c r="F1216" t="s">
        <v>282</v>
      </c>
      <c r="G1216" t="s">
        <v>478</v>
      </c>
      <c r="H1216">
        <v>5</v>
      </c>
      <c r="I1216" s="1">
        <v>12021.64</v>
      </c>
      <c r="J1216" t="s">
        <v>49</v>
      </c>
      <c r="K1216" t="s">
        <v>18</v>
      </c>
      <c r="L1216" t="str" cm="1">
        <f t="array" ref="L1216">_xlfn.IFS(B1216&lt;30,"18-29",B1216&lt;45,"30-44",B1216&lt;60,"45-59",B1216&lt;75,"60-74",B1216&lt;=90,"75-90")</f>
        <v>18-29</v>
      </c>
      <c r="M1216" t="str">
        <f>IF(Table1[[#This Row],[length_of_stay_days]]&gt;7,"Yes","No")</f>
        <v>No</v>
      </c>
    </row>
    <row r="1217" spans="1:13" x14ac:dyDescent="0.3">
      <c r="A1217" t="s">
        <v>1615</v>
      </c>
      <c r="B1217">
        <v>37</v>
      </c>
      <c r="C1217" t="s">
        <v>20</v>
      </c>
      <c r="D1217" t="s">
        <v>13</v>
      </c>
      <c r="E1217" t="s">
        <v>14</v>
      </c>
      <c r="F1217" t="s">
        <v>198</v>
      </c>
      <c r="G1217" t="s">
        <v>555</v>
      </c>
      <c r="H1217">
        <v>6</v>
      </c>
      <c r="I1217" s="1">
        <v>6708.36</v>
      </c>
      <c r="J1217" t="s">
        <v>17</v>
      </c>
      <c r="K1217" t="s">
        <v>18</v>
      </c>
      <c r="L1217" t="str" cm="1">
        <f t="array" ref="L1217">_xlfn.IFS(B1217&lt;30,"18-29",B1217&lt;45,"30-44",B1217&lt;60,"45-59",B1217&lt;75,"60-74",B1217&lt;=90,"75-90")</f>
        <v>30-44</v>
      </c>
      <c r="M1217" t="str">
        <f>IF(Table1[[#This Row],[length_of_stay_days]]&gt;7,"Yes","No")</f>
        <v>No</v>
      </c>
    </row>
    <row r="1218" spans="1:13" x14ac:dyDescent="0.3">
      <c r="A1218" t="s">
        <v>1616</v>
      </c>
      <c r="B1218">
        <v>28</v>
      </c>
      <c r="C1218" t="s">
        <v>20</v>
      </c>
      <c r="D1218" t="s">
        <v>32</v>
      </c>
      <c r="E1218" t="s">
        <v>28</v>
      </c>
      <c r="F1218" t="s">
        <v>108</v>
      </c>
      <c r="G1218" t="s">
        <v>109</v>
      </c>
      <c r="H1218">
        <v>6</v>
      </c>
      <c r="I1218" s="1">
        <v>9042.25</v>
      </c>
      <c r="J1218" t="s">
        <v>17</v>
      </c>
      <c r="K1218" t="s">
        <v>18</v>
      </c>
      <c r="L1218" t="str" cm="1">
        <f t="array" ref="L1218">_xlfn.IFS(B1218&lt;30,"18-29",B1218&lt;45,"30-44",B1218&lt;60,"45-59",B1218&lt;75,"60-74",B1218&lt;=90,"75-90")</f>
        <v>18-29</v>
      </c>
      <c r="M1218" t="str">
        <f>IF(Table1[[#This Row],[length_of_stay_days]]&gt;7,"Yes","No")</f>
        <v>No</v>
      </c>
    </row>
    <row r="1219" spans="1:13" x14ac:dyDescent="0.3">
      <c r="A1219" t="s">
        <v>1617</v>
      </c>
      <c r="B1219">
        <v>39</v>
      </c>
      <c r="C1219" t="s">
        <v>12</v>
      </c>
      <c r="D1219" t="s">
        <v>28</v>
      </c>
      <c r="E1219" t="s">
        <v>28</v>
      </c>
      <c r="F1219" t="s">
        <v>234</v>
      </c>
      <c r="G1219" t="s">
        <v>372</v>
      </c>
      <c r="H1219">
        <v>4</v>
      </c>
      <c r="I1219" s="1">
        <v>6573.5</v>
      </c>
      <c r="J1219" t="s">
        <v>17</v>
      </c>
      <c r="K1219" t="s">
        <v>18</v>
      </c>
      <c r="L1219" t="str" cm="1">
        <f t="array" ref="L1219">_xlfn.IFS(B1219&lt;30,"18-29",B1219&lt;45,"30-44",B1219&lt;60,"45-59",B1219&lt;75,"60-74",B1219&lt;=90,"75-90")</f>
        <v>30-44</v>
      </c>
      <c r="M1219" t="str">
        <f>IF(Table1[[#This Row],[length_of_stay_days]]&gt;7,"Yes","No")</f>
        <v>No</v>
      </c>
    </row>
    <row r="1220" spans="1:13" x14ac:dyDescent="0.3">
      <c r="A1220" t="s">
        <v>1618</v>
      </c>
      <c r="B1220">
        <v>49</v>
      </c>
      <c r="C1220" t="s">
        <v>12</v>
      </c>
      <c r="D1220" t="s">
        <v>32</v>
      </c>
      <c r="E1220" t="s">
        <v>21</v>
      </c>
      <c r="F1220" t="s">
        <v>536</v>
      </c>
      <c r="G1220" t="s">
        <v>87</v>
      </c>
      <c r="H1220">
        <v>3</v>
      </c>
      <c r="I1220" s="1">
        <v>8194.5300000000007</v>
      </c>
      <c r="J1220" t="s">
        <v>49</v>
      </c>
      <c r="K1220" t="s">
        <v>18</v>
      </c>
      <c r="L1220" t="str" cm="1">
        <f t="array" ref="L1220">_xlfn.IFS(B1220&lt;30,"18-29",B1220&lt;45,"30-44",B1220&lt;60,"45-59",B1220&lt;75,"60-74",B1220&lt;=90,"75-90")</f>
        <v>45-59</v>
      </c>
      <c r="M1220" t="str">
        <f>IF(Table1[[#This Row],[length_of_stay_days]]&gt;7,"Yes","No")</f>
        <v>No</v>
      </c>
    </row>
    <row r="1221" spans="1:13" x14ac:dyDescent="0.3">
      <c r="A1221" t="s">
        <v>1619</v>
      </c>
      <c r="B1221">
        <v>19</v>
      </c>
      <c r="C1221" t="s">
        <v>20</v>
      </c>
      <c r="D1221" t="s">
        <v>28</v>
      </c>
      <c r="E1221" t="s">
        <v>28</v>
      </c>
      <c r="F1221" t="s">
        <v>158</v>
      </c>
      <c r="G1221" t="s">
        <v>184</v>
      </c>
      <c r="H1221">
        <v>3</v>
      </c>
      <c r="I1221" s="1">
        <v>6043.23</v>
      </c>
      <c r="J1221" t="s">
        <v>17</v>
      </c>
      <c r="K1221" t="s">
        <v>18</v>
      </c>
      <c r="L1221" t="str" cm="1">
        <f t="array" ref="L1221">_xlfn.IFS(B1221&lt;30,"18-29",B1221&lt;45,"30-44",B1221&lt;60,"45-59",B1221&lt;75,"60-74",B1221&lt;=90,"75-90")</f>
        <v>18-29</v>
      </c>
      <c r="M1221" t="str">
        <f>IF(Table1[[#This Row],[length_of_stay_days]]&gt;7,"Yes","No")</f>
        <v>No</v>
      </c>
    </row>
    <row r="1222" spans="1:13" x14ac:dyDescent="0.3">
      <c r="A1222" t="s">
        <v>1620</v>
      </c>
      <c r="B1222">
        <v>83</v>
      </c>
      <c r="C1222" t="s">
        <v>12</v>
      </c>
      <c r="D1222" t="s">
        <v>13</v>
      </c>
      <c r="E1222" t="s">
        <v>14</v>
      </c>
      <c r="F1222" t="s">
        <v>288</v>
      </c>
      <c r="G1222" t="s">
        <v>395</v>
      </c>
      <c r="H1222">
        <v>7</v>
      </c>
      <c r="I1222" s="1">
        <v>9403.33</v>
      </c>
      <c r="J1222" t="s">
        <v>17</v>
      </c>
      <c r="K1222" t="s">
        <v>18</v>
      </c>
      <c r="L1222" t="str" cm="1">
        <f t="array" ref="L1222">_xlfn.IFS(B1222&lt;30,"18-29",B1222&lt;45,"30-44",B1222&lt;60,"45-59",B1222&lt;75,"60-74",B1222&lt;=90,"75-90")</f>
        <v>75-90</v>
      </c>
      <c r="M1222" t="str">
        <f>IF(Table1[[#This Row],[length_of_stay_days]]&gt;7,"Yes","No")</f>
        <v>No</v>
      </c>
    </row>
    <row r="1223" spans="1:13" x14ac:dyDescent="0.3">
      <c r="A1223" t="s">
        <v>1621</v>
      </c>
      <c r="B1223">
        <v>53</v>
      </c>
      <c r="C1223" t="s">
        <v>12</v>
      </c>
      <c r="D1223" t="s">
        <v>55</v>
      </c>
      <c r="E1223" t="s">
        <v>28</v>
      </c>
      <c r="F1223" t="s">
        <v>481</v>
      </c>
      <c r="G1223" t="s">
        <v>499</v>
      </c>
      <c r="H1223">
        <v>6</v>
      </c>
      <c r="I1223" s="1">
        <v>10374.94</v>
      </c>
      <c r="J1223" t="s">
        <v>17</v>
      </c>
      <c r="K1223" t="s">
        <v>18</v>
      </c>
      <c r="L1223" t="str" cm="1">
        <f t="array" ref="L1223">_xlfn.IFS(B1223&lt;30,"18-29",B1223&lt;45,"30-44",B1223&lt;60,"45-59",B1223&lt;75,"60-74",B1223&lt;=90,"75-90")</f>
        <v>45-59</v>
      </c>
      <c r="M1223" t="str">
        <f>IF(Table1[[#This Row],[length_of_stay_days]]&gt;7,"Yes","No")</f>
        <v>No</v>
      </c>
    </row>
    <row r="1224" spans="1:13" x14ac:dyDescent="0.3">
      <c r="A1224" t="s">
        <v>1622</v>
      </c>
      <c r="B1224">
        <v>28</v>
      </c>
      <c r="C1224" t="s">
        <v>12</v>
      </c>
      <c r="D1224" t="s">
        <v>13</v>
      </c>
      <c r="E1224" t="s">
        <v>28</v>
      </c>
      <c r="F1224" t="s">
        <v>778</v>
      </c>
      <c r="G1224" t="s">
        <v>458</v>
      </c>
      <c r="H1224">
        <v>6</v>
      </c>
      <c r="I1224" s="1">
        <v>8545.9500000000007</v>
      </c>
      <c r="J1224" t="s">
        <v>17</v>
      </c>
      <c r="K1224" t="s">
        <v>44</v>
      </c>
      <c r="L1224" t="str" cm="1">
        <f t="array" ref="L1224">_xlfn.IFS(B1224&lt;30,"18-29",B1224&lt;45,"30-44",B1224&lt;60,"45-59",B1224&lt;75,"60-74",B1224&lt;=90,"75-90")</f>
        <v>18-29</v>
      </c>
      <c r="M1224" t="str">
        <f>IF(Table1[[#This Row],[length_of_stay_days]]&gt;7,"Yes","No")</f>
        <v>No</v>
      </c>
    </row>
    <row r="1225" spans="1:13" x14ac:dyDescent="0.3">
      <c r="A1225" t="s">
        <v>1623</v>
      </c>
      <c r="B1225">
        <v>82</v>
      </c>
      <c r="C1225" t="s">
        <v>20</v>
      </c>
      <c r="D1225" t="s">
        <v>46</v>
      </c>
      <c r="E1225" t="s">
        <v>28</v>
      </c>
      <c r="F1225" t="s">
        <v>184</v>
      </c>
      <c r="G1225" t="s">
        <v>195</v>
      </c>
      <c r="H1225">
        <v>6</v>
      </c>
      <c r="I1225" s="1">
        <v>12306.9</v>
      </c>
      <c r="J1225" t="s">
        <v>17</v>
      </c>
      <c r="K1225" t="s">
        <v>18</v>
      </c>
      <c r="L1225" t="str" cm="1">
        <f t="array" ref="L1225">_xlfn.IFS(B1225&lt;30,"18-29",B1225&lt;45,"30-44",B1225&lt;60,"45-59",B1225&lt;75,"60-74",B1225&lt;=90,"75-90")</f>
        <v>75-90</v>
      </c>
      <c r="M1225" t="str">
        <f>IF(Table1[[#This Row],[length_of_stay_days]]&gt;7,"Yes","No")</f>
        <v>No</v>
      </c>
    </row>
    <row r="1226" spans="1:13" x14ac:dyDescent="0.3">
      <c r="A1226" t="s">
        <v>1624</v>
      </c>
      <c r="B1226">
        <v>35</v>
      </c>
      <c r="C1226" t="s">
        <v>20</v>
      </c>
      <c r="D1226" t="s">
        <v>51</v>
      </c>
      <c r="E1226" t="s">
        <v>21</v>
      </c>
      <c r="F1226" t="s">
        <v>841</v>
      </c>
      <c r="G1226" t="s">
        <v>190</v>
      </c>
      <c r="H1226">
        <v>8</v>
      </c>
      <c r="I1226" s="1">
        <v>13875.34</v>
      </c>
      <c r="J1226" t="s">
        <v>17</v>
      </c>
      <c r="K1226" t="s">
        <v>18</v>
      </c>
      <c r="L1226" t="str" cm="1">
        <f t="array" ref="L1226">_xlfn.IFS(B1226&lt;30,"18-29",B1226&lt;45,"30-44",B1226&lt;60,"45-59",B1226&lt;75,"60-74",B1226&lt;=90,"75-90")</f>
        <v>30-44</v>
      </c>
      <c r="M1226" t="str">
        <f>IF(Table1[[#This Row],[length_of_stay_days]]&gt;7,"Yes","No")</f>
        <v>Yes</v>
      </c>
    </row>
    <row r="1227" spans="1:13" x14ac:dyDescent="0.3">
      <c r="A1227" t="s">
        <v>1625</v>
      </c>
      <c r="B1227">
        <v>18</v>
      </c>
      <c r="C1227" t="s">
        <v>12</v>
      </c>
      <c r="D1227" t="s">
        <v>32</v>
      </c>
      <c r="E1227" t="s">
        <v>28</v>
      </c>
      <c r="F1227" t="s">
        <v>604</v>
      </c>
      <c r="G1227" t="s">
        <v>74</v>
      </c>
      <c r="H1227">
        <v>5</v>
      </c>
      <c r="I1227" s="1">
        <v>12293.61</v>
      </c>
      <c r="J1227" t="s">
        <v>17</v>
      </c>
      <c r="K1227" t="s">
        <v>18</v>
      </c>
      <c r="L1227" t="str" cm="1">
        <f t="array" ref="L1227">_xlfn.IFS(B1227&lt;30,"18-29",B1227&lt;45,"30-44",B1227&lt;60,"45-59",B1227&lt;75,"60-74",B1227&lt;=90,"75-90")</f>
        <v>18-29</v>
      </c>
      <c r="M1227" t="str">
        <f>IF(Table1[[#This Row],[length_of_stay_days]]&gt;7,"Yes","No")</f>
        <v>No</v>
      </c>
    </row>
    <row r="1228" spans="1:13" x14ac:dyDescent="0.3">
      <c r="A1228" t="s">
        <v>1626</v>
      </c>
      <c r="B1228">
        <v>46</v>
      </c>
      <c r="C1228" t="s">
        <v>12</v>
      </c>
      <c r="D1228" t="s">
        <v>32</v>
      </c>
      <c r="E1228" t="s">
        <v>28</v>
      </c>
      <c r="F1228" t="s">
        <v>575</v>
      </c>
      <c r="G1228" t="s">
        <v>629</v>
      </c>
      <c r="H1228">
        <v>11</v>
      </c>
      <c r="I1228" s="1">
        <v>13185.16</v>
      </c>
      <c r="J1228" t="s">
        <v>17</v>
      </c>
      <c r="K1228" t="s">
        <v>18</v>
      </c>
      <c r="L1228" t="str" cm="1">
        <f t="array" ref="L1228">_xlfn.IFS(B1228&lt;30,"18-29",B1228&lt;45,"30-44",B1228&lt;60,"45-59",B1228&lt;75,"60-74",B1228&lt;=90,"75-90")</f>
        <v>45-59</v>
      </c>
      <c r="M1228" t="str">
        <f>IF(Table1[[#This Row],[length_of_stay_days]]&gt;7,"Yes","No")</f>
        <v>Yes</v>
      </c>
    </row>
    <row r="1229" spans="1:13" x14ac:dyDescent="0.3">
      <c r="A1229" t="s">
        <v>1627</v>
      </c>
      <c r="B1229">
        <v>47</v>
      </c>
      <c r="C1229" t="s">
        <v>12</v>
      </c>
      <c r="D1229" t="s">
        <v>13</v>
      </c>
      <c r="E1229" t="s">
        <v>14</v>
      </c>
      <c r="F1229" t="s">
        <v>354</v>
      </c>
      <c r="G1229" t="s">
        <v>1160</v>
      </c>
      <c r="H1229">
        <v>7</v>
      </c>
      <c r="I1229" s="1">
        <v>7197.1</v>
      </c>
      <c r="J1229" t="s">
        <v>17</v>
      </c>
      <c r="K1229" t="s">
        <v>18</v>
      </c>
      <c r="L1229" t="str" cm="1">
        <f t="array" ref="L1229">_xlfn.IFS(B1229&lt;30,"18-29",B1229&lt;45,"30-44",B1229&lt;60,"45-59",B1229&lt;75,"60-74",B1229&lt;=90,"75-90")</f>
        <v>45-59</v>
      </c>
      <c r="M1229" t="str">
        <f>IF(Table1[[#This Row],[length_of_stay_days]]&gt;7,"Yes","No")</f>
        <v>No</v>
      </c>
    </row>
    <row r="1230" spans="1:13" x14ac:dyDescent="0.3">
      <c r="A1230" t="s">
        <v>1628</v>
      </c>
      <c r="B1230">
        <v>25</v>
      </c>
      <c r="C1230" t="s">
        <v>20</v>
      </c>
      <c r="D1230" t="s">
        <v>51</v>
      </c>
      <c r="E1230" t="s">
        <v>14</v>
      </c>
      <c r="F1230" t="s">
        <v>155</v>
      </c>
      <c r="G1230" t="s">
        <v>543</v>
      </c>
      <c r="H1230">
        <v>9</v>
      </c>
      <c r="I1230" s="1">
        <v>14055.99</v>
      </c>
      <c r="J1230" t="s">
        <v>49</v>
      </c>
      <c r="K1230" t="s">
        <v>18</v>
      </c>
      <c r="L1230" t="str" cm="1">
        <f t="array" ref="L1230">_xlfn.IFS(B1230&lt;30,"18-29",B1230&lt;45,"30-44",B1230&lt;60,"45-59",B1230&lt;75,"60-74",B1230&lt;=90,"75-90")</f>
        <v>18-29</v>
      </c>
      <c r="M1230" t="str">
        <f>IF(Table1[[#This Row],[length_of_stay_days]]&gt;7,"Yes","No")</f>
        <v>Yes</v>
      </c>
    </row>
    <row r="1231" spans="1:13" x14ac:dyDescent="0.3">
      <c r="A1231" t="s">
        <v>1629</v>
      </c>
      <c r="B1231">
        <v>67</v>
      </c>
      <c r="C1231" t="s">
        <v>20</v>
      </c>
      <c r="D1231" t="s">
        <v>55</v>
      </c>
      <c r="E1231" t="s">
        <v>28</v>
      </c>
      <c r="F1231" t="s">
        <v>173</v>
      </c>
      <c r="G1231" t="s">
        <v>617</v>
      </c>
      <c r="H1231">
        <v>4</v>
      </c>
      <c r="I1231" s="1">
        <v>8949.49</v>
      </c>
      <c r="J1231" t="s">
        <v>17</v>
      </c>
      <c r="K1231" t="s">
        <v>18</v>
      </c>
      <c r="L1231" t="str" cm="1">
        <f t="array" ref="L1231">_xlfn.IFS(B1231&lt;30,"18-29",B1231&lt;45,"30-44",B1231&lt;60,"45-59",B1231&lt;75,"60-74",B1231&lt;=90,"75-90")</f>
        <v>60-74</v>
      </c>
      <c r="M1231" t="str">
        <f>IF(Table1[[#This Row],[length_of_stay_days]]&gt;7,"Yes","No")</f>
        <v>No</v>
      </c>
    </row>
    <row r="1232" spans="1:13" x14ac:dyDescent="0.3">
      <c r="A1232" t="s">
        <v>1630</v>
      </c>
      <c r="B1232">
        <v>65</v>
      </c>
      <c r="C1232" t="s">
        <v>20</v>
      </c>
      <c r="D1232" t="s">
        <v>28</v>
      </c>
      <c r="E1232" t="s">
        <v>21</v>
      </c>
      <c r="F1232" t="s">
        <v>453</v>
      </c>
      <c r="G1232" t="s">
        <v>98</v>
      </c>
      <c r="H1232">
        <v>6</v>
      </c>
      <c r="I1232" s="1">
        <v>6837.02</v>
      </c>
      <c r="J1232" t="s">
        <v>17</v>
      </c>
      <c r="K1232" t="s">
        <v>18</v>
      </c>
      <c r="L1232" t="str" cm="1">
        <f t="array" ref="L1232">_xlfn.IFS(B1232&lt;30,"18-29",B1232&lt;45,"30-44",B1232&lt;60,"45-59",B1232&lt;75,"60-74",B1232&lt;=90,"75-90")</f>
        <v>60-74</v>
      </c>
      <c r="M1232" t="str">
        <f>IF(Table1[[#This Row],[length_of_stay_days]]&gt;7,"Yes","No")</f>
        <v>No</v>
      </c>
    </row>
    <row r="1233" spans="1:13" x14ac:dyDescent="0.3">
      <c r="A1233" t="s">
        <v>1631</v>
      </c>
      <c r="B1233">
        <v>84</v>
      </c>
      <c r="C1233" t="s">
        <v>12</v>
      </c>
      <c r="D1233" t="s">
        <v>28</v>
      </c>
      <c r="E1233" t="s">
        <v>28</v>
      </c>
      <c r="F1233" t="s">
        <v>451</v>
      </c>
      <c r="G1233" t="s">
        <v>208</v>
      </c>
      <c r="H1233">
        <v>5</v>
      </c>
      <c r="I1233" s="1">
        <v>6329.31</v>
      </c>
      <c r="J1233" t="s">
        <v>17</v>
      </c>
      <c r="K1233" t="s">
        <v>18</v>
      </c>
      <c r="L1233" t="str" cm="1">
        <f t="array" ref="L1233">_xlfn.IFS(B1233&lt;30,"18-29",B1233&lt;45,"30-44",B1233&lt;60,"45-59",B1233&lt;75,"60-74",B1233&lt;=90,"75-90")</f>
        <v>75-90</v>
      </c>
      <c r="M1233" t="str">
        <f>IF(Table1[[#This Row],[length_of_stay_days]]&gt;7,"Yes","No")</f>
        <v>No</v>
      </c>
    </row>
    <row r="1234" spans="1:13" x14ac:dyDescent="0.3">
      <c r="A1234" t="s">
        <v>1632</v>
      </c>
      <c r="B1234">
        <v>38</v>
      </c>
      <c r="C1234" t="s">
        <v>12</v>
      </c>
      <c r="D1234" t="s">
        <v>55</v>
      </c>
      <c r="E1234" t="s">
        <v>21</v>
      </c>
      <c r="F1234" t="s">
        <v>499</v>
      </c>
      <c r="G1234" t="s">
        <v>344</v>
      </c>
      <c r="H1234">
        <v>7</v>
      </c>
      <c r="I1234" s="1">
        <v>9628.57</v>
      </c>
      <c r="J1234" t="s">
        <v>17</v>
      </c>
      <c r="K1234" t="s">
        <v>44</v>
      </c>
      <c r="L1234" t="str" cm="1">
        <f t="array" ref="L1234">_xlfn.IFS(B1234&lt;30,"18-29",B1234&lt;45,"30-44",B1234&lt;60,"45-59",B1234&lt;75,"60-74",B1234&lt;=90,"75-90")</f>
        <v>30-44</v>
      </c>
      <c r="M1234" t="str">
        <f>IF(Table1[[#This Row],[length_of_stay_days]]&gt;7,"Yes","No")</f>
        <v>No</v>
      </c>
    </row>
    <row r="1235" spans="1:13" x14ac:dyDescent="0.3">
      <c r="A1235" t="s">
        <v>1633</v>
      </c>
      <c r="B1235">
        <v>58</v>
      </c>
      <c r="C1235" t="s">
        <v>20</v>
      </c>
      <c r="D1235" t="s">
        <v>28</v>
      </c>
      <c r="E1235" t="s">
        <v>28</v>
      </c>
      <c r="F1235" t="s">
        <v>250</v>
      </c>
      <c r="G1235" t="s">
        <v>778</v>
      </c>
      <c r="H1235">
        <v>5</v>
      </c>
      <c r="I1235" s="1">
        <v>5854.8</v>
      </c>
      <c r="J1235" t="s">
        <v>49</v>
      </c>
      <c r="K1235" t="s">
        <v>18</v>
      </c>
      <c r="L1235" t="str" cm="1">
        <f t="array" ref="L1235">_xlfn.IFS(B1235&lt;30,"18-29",B1235&lt;45,"30-44",B1235&lt;60,"45-59",B1235&lt;75,"60-74",B1235&lt;=90,"75-90")</f>
        <v>45-59</v>
      </c>
      <c r="M1235" t="str">
        <f>IF(Table1[[#This Row],[length_of_stay_days]]&gt;7,"Yes","No")</f>
        <v>No</v>
      </c>
    </row>
    <row r="1236" spans="1:13" x14ac:dyDescent="0.3">
      <c r="A1236" t="s">
        <v>1634</v>
      </c>
      <c r="B1236">
        <v>61</v>
      </c>
      <c r="C1236" t="s">
        <v>12</v>
      </c>
      <c r="D1236" t="s">
        <v>28</v>
      </c>
      <c r="E1236" t="s">
        <v>21</v>
      </c>
      <c r="F1236" t="s">
        <v>471</v>
      </c>
      <c r="G1236" t="s">
        <v>430</v>
      </c>
      <c r="H1236">
        <v>7</v>
      </c>
      <c r="I1236" s="1">
        <v>9469.27</v>
      </c>
      <c r="J1236" t="s">
        <v>49</v>
      </c>
      <c r="K1236" t="s">
        <v>18</v>
      </c>
      <c r="L1236" t="str" cm="1">
        <f t="array" ref="L1236">_xlfn.IFS(B1236&lt;30,"18-29",B1236&lt;45,"30-44",B1236&lt;60,"45-59",B1236&lt;75,"60-74",B1236&lt;=90,"75-90")</f>
        <v>60-74</v>
      </c>
      <c r="M1236" t="str">
        <f>IF(Table1[[#This Row],[length_of_stay_days]]&gt;7,"Yes","No")</f>
        <v>No</v>
      </c>
    </row>
    <row r="1237" spans="1:13" x14ac:dyDescent="0.3">
      <c r="A1237" t="s">
        <v>1635</v>
      </c>
      <c r="B1237">
        <v>24</v>
      </c>
      <c r="C1237" t="s">
        <v>12</v>
      </c>
      <c r="D1237" t="s">
        <v>28</v>
      </c>
      <c r="E1237" t="s">
        <v>21</v>
      </c>
      <c r="F1237" t="s">
        <v>774</v>
      </c>
      <c r="G1237" t="s">
        <v>226</v>
      </c>
      <c r="H1237">
        <v>3</v>
      </c>
      <c r="I1237" s="1">
        <v>5010.3</v>
      </c>
      <c r="J1237" t="s">
        <v>17</v>
      </c>
      <c r="K1237" t="s">
        <v>44</v>
      </c>
      <c r="L1237" t="str" cm="1">
        <f t="array" ref="L1237">_xlfn.IFS(B1237&lt;30,"18-29",B1237&lt;45,"30-44",B1237&lt;60,"45-59",B1237&lt;75,"60-74",B1237&lt;=90,"75-90")</f>
        <v>18-29</v>
      </c>
      <c r="M1237" t="str">
        <f>IF(Table1[[#This Row],[length_of_stay_days]]&gt;7,"Yes","No")</f>
        <v>No</v>
      </c>
    </row>
    <row r="1238" spans="1:13" x14ac:dyDescent="0.3">
      <c r="A1238" t="s">
        <v>1636</v>
      </c>
      <c r="B1238">
        <v>81</v>
      </c>
      <c r="C1238" t="s">
        <v>20</v>
      </c>
      <c r="D1238" t="s">
        <v>28</v>
      </c>
      <c r="E1238" t="s">
        <v>14</v>
      </c>
      <c r="F1238" t="s">
        <v>663</v>
      </c>
      <c r="G1238" t="s">
        <v>509</v>
      </c>
      <c r="H1238">
        <v>3</v>
      </c>
      <c r="I1238" s="1">
        <v>5898.65</v>
      </c>
      <c r="J1238" t="s">
        <v>17</v>
      </c>
      <c r="K1238" t="s">
        <v>18</v>
      </c>
      <c r="L1238" t="str" cm="1">
        <f t="array" ref="L1238">_xlfn.IFS(B1238&lt;30,"18-29",B1238&lt;45,"30-44",B1238&lt;60,"45-59",B1238&lt;75,"60-74",B1238&lt;=90,"75-90")</f>
        <v>75-90</v>
      </c>
      <c r="M1238" t="str">
        <f>IF(Table1[[#This Row],[length_of_stay_days]]&gt;7,"Yes","No")</f>
        <v>No</v>
      </c>
    </row>
    <row r="1239" spans="1:13" x14ac:dyDescent="0.3">
      <c r="A1239" t="s">
        <v>1637</v>
      </c>
      <c r="B1239">
        <v>55</v>
      </c>
      <c r="C1239" t="s">
        <v>20</v>
      </c>
      <c r="D1239" t="s">
        <v>28</v>
      </c>
      <c r="E1239" t="s">
        <v>14</v>
      </c>
      <c r="F1239" t="s">
        <v>126</v>
      </c>
      <c r="G1239" t="s">
        <v>751</v>
      </c>
      <c r="H1239">
        <v>2</v>
      </c>
      <c r="I1239" s="1">
        <v>4414.18</v>
      </c>
      <c r="J1239" t="s">
        <v>17</v>
      </c>
      <c r="K1239" t="s">
        <v>18</v>
      </c>
      <c r="L1239" t="str" cm="1">
        <f t="array" ref="L1239">_xlfn.IFS(B1239&lt;30,"18-29",B1239&lt;45,"30-44",B1239&lt;60,"45-59",B1239&lt;75,"60-74",B1239&lt;=90,"75-90")</f>
        <v>45-59</v>
      </c>
      <c r="M1239" t="str">
        <f>IF(Table1[[#This Row],[length_of_stay_days]]&gt;7,"Yes","No")</f>
        <v>No</v>
      </c>
    </row>
    <row r="1240" spans="1:13" x14ac:dyDescent="0.3">
      <c r="A1240" t="s">
        <v>1638</v>
      </c>
      <c r="B1240">
        <v>51</v>
      </c>
      <c r="C1240" t="s">
        <v>12</v>
      </c>
      <c r="D1240" t="s">
        <v>13</v>
      </c>
      <c r="E1240" t="s">
        <v>21</v>
      </c>
      <c r="F1240" t="s">
        <v>472</v>
      </c>
      <c r="G1240" t="s">
        <v>234</v>
      </c>
      <c r="H1240">
        <v>4</v>
      </c>
      <c r="I1240" s="1">
        <v>7853.07</v>
      </c>
      <c r="J1240" t="s">
        <v>17</v>
      </c>
      <c r="K1240" t="s">
        <v>18</v>
      </c>
      <c r="L1240" t="str" cm="1">
        <f t="array" ref="L1240">_xlfn.IFS(B1240&lt;30,"18-29",B1240&lt;45,"30-44",B1240&lt;60,"45-59",B1240&lt;75,"60-74",B1240&lt;=90,"75-90")</f>
        <v>45-59</v>
      </c>
      <c r="M1240" t="str">
        <f>IF(Table1[[#This Row],[length_of_stay_days]]&gt;7,"Yes","No")</f>
        <v>No</v>
      </c>
    </row>
    <row r="1241" spans="1:13" x14ac:dyDescent="0.3">
      <c r="A1241" t="s">
        <v>1639</v>
      </c>
      <c r="B1241">
        <v>80</v>
      </c>
      <c r="C1241" t="s">
        <v>20</v>
      </c>
      <c r="D1241" t="s">
        <v>51</v>
      </c>
      <c r="E1241" t="s">
        <v>28</v>
      </c>
      <c r="F1241" t="s">
        <v>591</v>
      </c>
      <c r="G1241" t="s">
        <v>229</v>
      </c>
      <c r="H1241">
        <v>10</v>
      </c>
      <c r="I1241" s="1">
        <v>14350.72</v>
      </c>
      <c r="J1241" t="s">
        <v>49</v>
      </c>
      <c r="K1241" t="s">
        <v>18</v>
      </c>
      <c r="L1241" t="str" cm="1">
        <f t="array" ref="L1241">_xlfn.IFS(B1241&lt;30,"18-29",B1241&lt;45,"30-44",B1241&lt;60,"45-59",B1241&lt;75,"60-74",B1241&lt;=90,"75-90")</f>
        <v>75-90</v>
      </c>
      <c r="M1241" t="str">
        <f>IF(Table1[[#This Row],[length_of_stay_days]]&gt;7,"Yes","No")</f>
        <v>Yes</v>
      </c>
    </row>
    <row r="1242" spans="1:13" x14ac:dyDescent="0.3">
      <c r="A1242" t="s">
        <v>1640</v>
      </c>
      <c r="B1242">
        <v>22</v>
      </c>
      <c r="C1242" t="s">
        <v>20</v>
      </c>
      <c r="D1242" t="s">
        <v>32</v>
      </c>
      <c r="E1242" t="s">
        <v>28</v>
      </c>
      <c r="F1242" t="s">
        <v>61</v>
      </c>
      <c r="G1242" t="s">
        <v>43</v>
      </c>
      <c r="H1242">
        <v>7</v>
      </c>
      <c r="I1242" s="1">
        <v>13372.77</v>
      </c>
      <c r="J1242" t="s">
        <v>49</v>
      </c>
      <c r="K1242" t="s">
        <v>44</v>
      </c>
      <c r="L1242" t="str" cm="1">
        <f t="array" ref="L1242">_xlfn.IFS(B1242&lt;30,"18-29",B1242&lt;45,"30-44",B1242&lt;60,"45-59",B1242&lt;75,"60-74",B1242&lt;=90,"75-90")</f>
        <v>18-29</v>
      </c>
      <c r="M1242" t="str">
        <f>IF(Table1[[#This Row],[length_of_stay_days]]&gt;7,"Yes","No")</f>
        <v>No</v>
      </c>
    </row>
    <row r="1243" spans="1:13" x14ac:dyDescent="0.3">
      <c r="A1243" t="s">
        <v>1641</v>
      </c>
      <c r="B1243">
        <v>76</v>
      </c>
      <c r="C1243" t="s">
        <v>12</v>
      </c>
      <c r="D1243" t="s">
        <v>13</v>
      </c>
      <c r="E1243" t="s">
        <v>28</v>
      </c>
      <c r="F1243" t="s">
        <v>821</v>
      </c>
      <c r="H1243">
        <v>3</v>
      </c>
      <c r="I1243" s="1">
        <v>7988.81</v>
      </c>
      <c r="J1243" t="s">
        <v>17</v>
      </c>
      <c r="K1243" t="s">
        <v>18</v>
      </c>
      <c r="L1243" t="str" cm="1">
        <f t="array" ref="L1243">_xlfn.IFS(B1243&lt;30,"18-29",B1243&lt;45,"30-44",B1243&lt;60,"45-59",B1243&lt;75,"60-74",B1243&lt;=90,"75-90")</f>
        <v>75-90</v>
      </c>
      <c r="M1243" t="str">
        <f>IF(Table1[[#This Row],[length_of_stay_days]]&gt;7,"Yes","No")</f>
        <v>No</v>
      </c>
    </row>
    <row r="1244" spans="1:13" x14ac:dyDescent="0.3">
      <c r="A1244" t="s">
        <v>1642</v>
      </c>
      <c r="B1244">
        <v>26</v>
      </c>
      <c r="C1244" t="s">
        <v>20</v>
      </c>
      <c r="D1244" t="s">
        <v>28</v>
      </c>
      <c r="E1244" t="s">
        <v>28</v>
      </c>
      <c r="F1244" t="s">
        <v>203</v>
      </c>
      <c r="G1244" t="s">
        <v>478</v>
      </c>
      <c r="H1244">
        <v>3</v>
      </c>
      <c r="I1244" s="1">
        <v>4168.0200000000004</v>
      </c>
      <c r="J1244" t="s">
        <v>17</v>
      </c>
      <c r="K1244" t="s">
        <v>18</v>
      </c>
      <c r="L1244" t="str" cm="1">
        <f t="array" ref="L1244">_xlfn.IFS(B1244&lt;30,"18-29",B1244&lt;45,"30-44",B1244&lt;60,"45-59",B1244&lt;75,"60-74",B1244&lt;=90,"75-90")</f>
        <v>18-29</v>
      </c>
      <c r="M1244" t="str">
        <f>IF(Table1[[#This Row],[length_of_stay_days]]&gt;7,"Yes","No")</f>
        <v>No</v>
      </c>
    </row>
    <row r="1245" spans="1:13" x14ac:dyDescent="0.3">
      <c r="A1245" t="s">
        <v>1643</v>
      </c>
      <c r="B1245">
        <v>25</v>
      </c>
      <c r="C1245" t="s">
        <v>12</v>
      </c>
      <c r="D1245" t="s">
        <v>55</v>
      </c>
      <c r="E1245" t="s">
        <v>14</v>
      </c>
      <c r="F1245" t="s">
        <v>30</v>
      </c>
      <c r="G1245" t="s">
        <v>433</v>
      </c>
      <c r="H1245">
        <v>5</v>
      </c>
      <c r="I1245" s="1">
        <v>11279.71</v>
      </c>
      <c r="J1245" t="s">
        <v>17</v>
      </c>
      <c r="K1245" t="s">
        <v>18</v>
      </c>
      <c r="L1245" t="str" cm="1">
        <f t="array" ref="L1245">_xlfn.IFS(B1245&lt;30,"18-29",B1245&lt;45,"30-44",B1245&lt;60,"45-59",B1245&lt;75,"60-74",B1245&lt;=90,"75-90")</f>
        <v>18-29</v>
      </c>
      <c r="M1245" t="str">
        <f>IF(Table1[[#This Row],[length_of_stay_days]]&gt;7,"Yes","No")</f>
        <v>No</v>
      </c>
    </row>
    <row r="1246" spans="1:13" x14ac:dyDescent="0.3">
      <c r="A1246" t="s">
        <v>1644</v>
      </c>
      <c r="B1246">
        <v>59</v>
      </c>
      <c r="C1246" t="s">
        <v>20</v>
      </c>
      <c r="D1246" t="s">
        <v>46</v>
      </c>
      <c r="E1246" t="s">
        <v>28</v>
      </c>
      <c r="F1246" t="s">
        <v>201</v>
      </c>
      <c r="G1246" t="s">
        <v>1229</v>
      </c>
      <c r="H1246">
        <v>9</v>
      </c>
      <c r="I1246" s="1">
        <v>15357.6</v>
      </c>
      <c r="J1246" t="s">
        <v>17</v>
      </c>
      <c r="K1246" t="s">
        <v>18</v>
      </c>
      <c r="L1246" t="str" cm="1">
        <f t="array" ref="L1246">_xlfn.IFS(B1246&lt;30,"18-29",B1246&lt;45,"30-44",B1246&lt;60,"45-59",B1246&lt;75,"60-74",B1246&lt;=90,"75-90")</f>
        <v>45-59</v>
      </c>
      <c r="M1246" t="str">
        <f>IF(Table1[[#This Row],[length_of_stay_days]]&gt;7,"Yes","No")</f>
        <v>Yes</v>
      </c>
    </row>
    <row r="1247" spans="1:13" x14ac:dyDescent="0.3">
      <c r="A1247" t="s">
        <v>1645</v>
      </c>
      <c r="B1247">
        <v>57</v>
      </c>
      <c r="C1247" t="s">
        <v>20</v>
      </c>
      <c r="D1247" t="s">
        <v>32</v>
      </c>
      <c r="E1247" t="s">
        <v>28</v>
      </c>
      <c r="F1247" t="s">
        <v>146</v>
      </c>
      <c r="G1247" t="s">
        <v>189</v>
      </c>
      <c r="H1247">
        <v>8</v>
      </c>
      <c r="I1247" s="1">
        <v>10162</v>
      </c>
      <c r="J1247" t="s">
        <v>49</v>
      </c>
      <c r="K1247" t="s">
        <v>18</v>
      </c>
      <c r="L1247" t="str" cm="1">
        <f t="array" ref="L1247">_xlfn.IFS(B1247&lt;30,"18-29",B1247&lt;45,"30-44",B1247&lt;60,"45-59",B1247&lt;75,"60-74",B1247&lt;=90,"75-90")</f>
        <v>45-59</v>
      </c>
      <c r="M1247" t="str">
        <f>IF(Table1[[#This Row],[length_of_stay_days]]&gt;7,"Yes","No")</f>
        <v>Yes</v>
      </c>
    </row>
    <row r="1248" spans="1:13" x14ac:dyDescent="0.3">
      <c r="A1248" t="s">
        <v>1646</v>
      </c>
      <c r="B1248">
        <v>84</v>
      </c>
      <c r="C1248" t="s">
        <v>12</v>
      </c>
      <c r="D1248" t="s">
        <v>51</v>
      </c>
      <c r="E1248" t="s">
        <v>28</v>
      </c>
      <c r="F1248" t="s">
        <v>402</v>
      </c>
      <c r="G1248" t="s">
        <v>114</v>
      </c>
      <c r="H1248">
        <v>7</v>
      </c>
      <c r="I1248" s="1">
        <v>12150.2</v>
      </c>
      <c r="J1248" t="s">
        <v>49</v>
      </c>
      <c r="K1248" t="s">
        <v>18</v>
      </c>
      <c r="L1248" t="str" cm="1">
        <f t="array" ref="L1248">_xlfn.IFS(B1248&lt;30,"18-29",B1248&lt;45,"30-44",B1248&lt;60,"45-59",B1248&lt;75,"60-74",B1248&lt;=90,"75-90")</f>
        <v>75-90</v>
      </c>
      <c r="M1248" t="str">
        <f>IF(Table1[[#This Row],[length_of_stay_days]]&gt;7,"Yes","No")</f>
        <v>No</v>
      </c>
    </row>
    <row r="1249" spans="1:13" x14ac:dyDescent="0.3">
      <c r="A1249" t="s">
        <v>1647</v>
      </c>
      <c r="B1249">
        <v>70</v>
      </c>
      <c r="C1249" t="s">
        <v>12</v>
      </c>
      <c r="D1249" t="s">
        <v>28</v>
      </c>
      <c r="E1249" t="s">
        <v>28</v>
      </c>
      <c r="F1249" t="s">
        <v>34</v>
      </c>
      <c r="G1249" t="s">
        <v>1648</v>
      </c>
      <c r="H1249">
        <v>3</v>
      </c>
      <c r="I1249" s="1">
        <v>6751.76</v>
      </c>
      <c r="J1249" t="s">
        <v>17</v>
      </c>
      <c r="K1249" t="s">
        <v>18</v>
      </c>
      <c r="L1249" t="str" cm="1">
        <f t="array" ref="L1249">_xlfn.IFS(B1249&lt;30,"18-29",B1249&lt;45,"30-44",B1249&lt;60,"45-59",B1249&lt;75,"60-74",B1249&lt;=90,"75-90")</f>
        <v>60-74</v>
      </c>
      <c r="M1249" t="str">
        <f>IF(Table1[[#This Row],[length_of_stay_days]]&gt;7,"Yes","No")</f>
        <v>No</v>
      </c>
    </row>
    <row r="1250" spans="1:13" x14ac:dyDescent="0.3">
      <c r="A1250" t="s">
        <v>1649</v>
      </c>
      <c r="B1250">
        <v>62</v>
      </c>
      <c r="C1250" t="s">
        <v>12</v>
      </c>
      <c r="D1250" t="s">
        <v>55</v>
      </c>
      <c r="E1250" t="s">
        <v>14</v>
      </c>
      <c r="F1250" t="s">
        <v>315</v>
      </c>
      <c r="G1250" t="s">
        <v>354</v>
      </c>
      <c r="H1250">
        <v>4</v>
      </c>
      <c r="I1250" s="1">
        <v>8007.03</v>
      </c>
      <c r="J1250" t="s">
        <v>17</v>
      </c>
      <c r="K1250" t="s">
        <v>18</v>
      </c>
      <c r="L1250" t="str" cm="1">
        <f t="array" ref="L1250">_xlfn.IFS(B1250&lt;30,"18-29",B1250&lt;45,"30-44",B1250&lt;60,"45-59",B1250&lt;75,"60-74",B1250&lt;=90,"75-90")</f>
        <v>60-74</v>
      </c>
      <c r="M1250" t="str">
        <f>IF(Table1[[#This Row],[length_of_stay_days]]&gt;7,"Yes","No")</f>
        <v>No</v>
      </c>
    </row>
    <row r="1251" spans="1:13" x14ac:dyDescent="0.3">
      <c r="A1251" t="s">
        <v>1650</v>
      </c>
      <c r="B1251">
        <v>85</v>
      </c>
      <c r="C1251" t="s">
        <v>12</v>
      </c>
      <c r="D1251" t="s">
        <v>28</v>
      </c>
      <c r="E1251" t="s">
        <v>28</v>
      </c>
      <c r="F1251" t="s">
        <v>390</v>
      </c>
      <c r="G1251" t="s">
        <v>124</v>
      </c>
      <c r="H1251">
        <v>2</v>
      </c>
      <c r="I1251" s="1">
        <v>2922.21</v>
      </c>
      <c r="J1251" t="s">
        <v>17</v>
      </c>
      <c r="K1251" t="s">
        <v>18</v>
      </c>
      <c r="L1251" t="str" cm="1">
        <f t="array" ref="L1251">_xlfn.IFS(B1251&lt;30,"18-29",B1251&lt;45,"30-44",B1251&lt;60,"45-59",B1251&lt;75,"60-74",B1251&lt;=90,"75-90")</f>
        <v>75-90</v>
      </c>
      <c r="M1251" t="str">
        <f>IF(Table1[[#This Row],[length_of_stay_days]]&gt;7,"Yes","No")</f>
        <v>No</v>
      </c>
    </row>
    <row r="1252" spans="1:13" x14ac:dyDescent="0.3">
      <c r="A1252" t="s">
        <v>1651</v>
      </c>
      <c r="B1252">
        <v>45</v>
      </c>
      <c r="C1252" t="s">
        <v>12</v>
      </c>
      <c r="D1252" t="s">
        <v>32</v>
      </c>
      <c r="E1252" t="s">
        <v>21</v>
      </c>
      <c r="F1252" t="s">
        <v>463</v>
      </c>
      <c r="G1252" t="s">
        <v>263</v>
      </c>
      <c r="H1252">
        <v>2</v>
      </c>
      <c r="I1252" s="1">
        <v>7466.06</v>
      </c>
      <c r="J1252" t="s">
        <v>17</v>
      </c>
      <c r="K1252" t="s">
        <v>18</v>
      </c>
      <c r="L1252" t="str" cm="1">
        <f t="array" ref="L1252">_xlfn.IFS(B1252&lt;30,"18-29",B1252&lt;45,"30-44",B1252&lt;60,"45-59",B1252&lt;75,"60-74",B1252&lt;=90,"75-90")</f>
        <v>45-59</v>
      </c>
      <c r="M1252" t="str">
        <f>IF(Table1[[#This Row],[length_of_stay_days]]&gt;7,"Yes","No")</f>
        <v>No</v>
      </c>
    </row>
    <row r="1253" spans="1:13" x14ac:dyDescent="0.3">
      <c r="A1253" t="s">
        <v>1652</v>
      </c>
      <c r="B1253">
        <v>69</v>
      </c>
      <c r="C1253" t="s">
        <v>20</v>
      </c>
      <c r="D1253" t="s">
        <v>28</v>
      </c>
      <c r="E1253" t="s">
        <v>21</v>
      </c>
      <c r="F1253" t="s">
        <v>304</v>
      </c>
      <c r="G1253" t="s">
        <v>565</v>
      </c>
      <c r="H1253">
        <v>3</v>
      </c>
      <c r="I1253" s="1">
        <v>5302.77</v>
      </c>
      <c r="J1253" t="s">
        <v>17</v>
      </c>
      <c r="K1253" t="s">
        <v>18</v>
      </c>
      <c r="L1253" t="str" cm="1">
        <f t="array" ref="L1253">_xlfn.IFS(B1253&lt;30,"18-29",B1253&lt;45,"30-44",B1253&lt;60,"45-59",B1253&lt;75,"60-74",B1253&lt;=90,"75-90")</f>
        <v>60-74</v>
      </c>
      <c r="M1253" t="str">
        <f>IF(Table1[[#This Row],[length_of_stay_days]]&gt;7,"Yes","No")</f>
        <v>No</v>
      </c>
    </row>
    <row r="1254" spans="1:13" x14ac:dyDescent="0.3">
      <c r="A1254" t="s">
        <v>1653</v>
      </c>
      <c r="B1254">
        <v>38</v>
      </c>
      <c r="C1254" t="s">
        <v>12</v>
      </c>
      <c r="D1254" t="s">
        <v>13</v>
      </c>
      <c r="E1254" t="s">
        <v>28</v>
      </c>
      <c r="F1254" t="s">
        <v>559</v>
      </c>
      <c r="G1254" t="s">
        <v>75</v>
      </c>
      <c r="H1254">
        <v>5</v>
      </c>
      <c r="I1254" s="1">
        <v>7273.83</v>
      </c>
      <c r="J1254" t="s">
        <v>17</v>
      </c>
      <c r="K1254" t="s">
        <v>18</v>
      </c>
      <c r="L1254" t="str" cm="1">
        <f t="array" ref="L1254">_xlfn.IFS(B1254&lt;30,"18-29",B1254&lt;45,"30-44",B1254&lt;60,"45-59",B1254&lt;75,"60-74",B1254&lt;=90,"75-90")</f>
        <v>30-44</v>
      </c>
      <c r="M1254" t="str">
        <f>IF(Table1[[#This Row],[length_of_stay_days]]&gt;7,"Yes","No")</f>
        <v>No</v>
      </c>
    </row>
    <row r="1255" spans="1:13" x14ac:dyDescent="0.3">
      <c r="A1255" t="s">
        <v>1654</v>
      </c>
      <c r="B1255">
        <v>63</v>
      </c>
      <c r="C1255" t="s">
        <v>20</v>
      </c>
      <c r="D1255" t="s">
        <v>46</v>
      </c>
      <c r="E1255" t="s">
        <v>21</v>
      </c>
      <c r="F1255" t="s">
        <v>434</v>
      </c>
      <c r="G1255" t="s">
        <v>565</v>
      </c>
      <c r="H1255">
        <v>11</v>
      </c>
      <c r="I1255" s="1">
        <v>17978.849999999999</v>
      </c>
      <c r="J1255" t="s">
        <v>49</v>
      </c>
      <c r="K1255" t="s">
        <v>44</v>
      </c>
      <c r="L1255" t="str" cm="1">
        <f t="array" ref="L1255">_xlfn.IFS(B1255&lt;30,"18-29",B1255&lt;45,"30-44",B1255&lt;60,"45-59",B1255&lt;75,"60-74",B1255&lt;=90,"75-90")</f>
        <v>60-74</v>
      </c>
      <c r="M1255" t="str">
        <f>IF(Table1[[#This Row],[length_of_stay_days]]&gt;7,"Yes","No")</f>
        <v>Yes</v>
      </c>
    </row>
    <row r="1256" spans="1:13" x14ac:dyDescent="0.3">
      <c r="A1256" t="s">
        <v>1655</v>
      </c>
      <c r="B1256">
        <v>27</v>
      </c>
      <c r="C1256" t="s">
        <v>12</v>
      </c>
      <c r="D1256" t="s">
        <v>13</v>
      </c>
      <c r="E1256" t="s">
        <v>28</v>
      </c>
      <c r="F1256" t="s">
        <v>408</v>
      </c>
      <c r="G1256" t="s">
        <v>658</v>
      </c>
      <c r="H1256">
        <v>6</v>
      </c>
      <c r="I1256" s="1">
        <v>9139.34</v>
      </c>
      <c r="J1256" t="s">
        <v>17</v>
      </c>
      <c r="K1256" t="s">
        <v>18</v>
      </c>
      <c r="L1256" t="str" cm="1">
        <f t="array" ref="L1256">_xlfn.IFS(B1256&lt;30,"18-29",B1256&lt;45,"30-44",B1256&lt;60,"45-59",B1256&lt;75,"60-74",B1256&lt;=90,"75-90")</f>
        <v>18-29</v>
      </c>
      <c r="M1256" t="str">
        <f>IF(Table1[[#This Row],[length_of_stay_days]]&gt;7,"Yes","No")</f>
        <v>No</v>
      </c>
    </row>
    <row r="1257" spans="1:13" x14ac:dyDescent="0.3">
      <c r="A1257" t="s">
        <v>1656</v>
      </c>
      <c r="B1257">
        <v>34</v>
      </c>
      <c r="C1257" t="s">
        <v>20</v>
      </c>
      <c r="D1257" t="s">
        <v>32</v>
      </c>
      <c r="E1257" t="s">
        <v>28</v>
      </c>
      <c r="F1257" t="s">
        <v>348</v>
      </c>
      <c r="G1257" t="s">
        <v>56</v>
      </c>
      <c r="H1257">
        <v>6</v>
      </c>
      <c r="I1257" s="1">
        <v>11430.57</v>
      </c>
      <c r="J1257" t="s">
        <v>17</v>
      </c>
      <c r="K1257" t="s">
        <v>18</v>
      </c>
      <c r="L1257" t="str" cm="1">
        <f t="array" ref="L1257">_xlfn.IFS(B1257&lt;30,"18-29",B1257&lt;45,"30-44",B1257&lt;60,"45-59",B1257&lt;75,"60-74",B1257&lt;=90,"75-90")</f>
        <v>30-44</v>
      </c>
      <c r="M1257" t="str">
        <f>IF(Table1[[#This Row],[length_of_stay_days]]&gt;7,"Yes","No")</f>
        <v>No</v>
      </c>
    </row>
    <row r="1258" spans="1:13" x14ac:dyDescent="0.3">
      <c r="A1258" t="s">
        <v>1657</v>
      </c>
      <c r="B1258">
        <v>22</v>
      </c>
      <c r="C1258" t="s">
        <v>12</v>
      </c>
      <c r="D1258" t="s">
        <v>51</v>
      </c>
      <c r="E1258" t="s">
        <v>14</v>
      </c>
      <c r="F1258" t="s">
        <v>182</v>
      </c>
      <c r="G1258" t="s">
        <v>421</v>
      </c>
      <c r="H1258">
        <v>4</v>
      </c>
      <c r="I1258" s="1">
        <v>9943.02</v>
      </c>
      <c r="J1258" t="s">
        <v>17</v>
      </c>
      <c r="K1258" t="s">
        <v>18</v>
      </c>
      <c r="L1258" t="str" cm="1">
        <f t="array" ref="L1258">_xlfn.IFS(B1258&lt;30,"18-29",B1258&lt;45,"30-44",B1258&lt;60,"45-59",B1258&lt;75,"60-74",B1258&lt;=90,"75-90")</f>
        <v>18-29</v>
      </c>
      <c r="M1258" t="str">
        <f>IF(Table1[[#This Row],[length_of_stay_days]]&gt;7,"Yes","No")</f>
        <v>No</v>
      </c>
    </row>
    <row r="1259" spans="1:13" x14ac:dyDescent="0.3">
      <c r="A1259" t="s">
        <v>1658</v>
      </c>
      <c r="B1259">
        <v>32</v>
      </c>
      <c r="C1259" t="s">
        <v>20</v>
      </c>
      <c r="D1259" t="s">
        <v>46</v>
      </c>
      <c r="E1259" t="s">
        <v>28</v>
      </c>
      <c r="F1259" t="s">
        <v>137</v>
      </c>
      <c r="G1259" t="s">
        <v>609</v>
      </c>
      <c r="H1259">
        <v>7</v>
      </c>
      <c r="I1259" s="1">
        <v>16142.02</v>
      </c>
      <c r="J1259" t="s">
        <v>49</v>
      </c>
      <c r="K1259" t="s">
        <v>18</v>
      </c>
      <c r="L1259" t="str" cm="1">
        <f t="array" ref="L1259">_xlfn.IFS(B1259&lt;30,"18-29",B1259&lt;45,"30-44",B1259&lt;60,"45-59",B1259&lt;75,"60-74",B1259&lt;=90,"75-90")</f>
        <v>30-44</v>
      </c>
      <c r="M1259" t="str">
        <f>IF(Table1[[#This Row],[length_of_stay_days]]&gt;7,"Yes","No")</f>
        <v>No</v>
      </c>
    </row>
    <row r="1260" spans="1:13" x14ac:dyDescent="0.3">
      <c r="A1260" t="s">
        <v>1659</v>
      </c>
      <c r="B1260">
        <v>20</v>
      </c>
      <c r="C1260" t="s">
        <v>20</v>
      </c>
      <c r="D1260" t="s">
        <v>46</v>
      </c>
      <c r="E1260" t="s">
        <v>14</v>
      </c>
      <c r="F1260" t="s">
        <v>623</v>
      </c>
      <c r="G1260" t="s">
        <v>184</v>
      </c>
      <c r="H1260">
        <v>4</v>
      </c>
      <c r="I1260" s="1">
        <v>13097.15</v>
      </c>
      <c r="J1260" t="s">
        <v>17</v>
      </c>
      <c r="K1260" t="s">
        <v>18</v>
      </c>
      <c r="L1260" t="str" cm="1">
        <f t="array" ref="L1260">_xlfn.IFS(B1260&lt;30,"18-29",B1260&lt;45,"30-44",B1260&lt;60,"45-59",B1260&lt;75,"60-74",B1260&lt;=90,"75-90")</f>
        <v>18-29</v>
      </c>
      <c r="M1260" t="str">
        <f>IF(Table1[[#This Row],[length_of_stay_days]]&gt;7,"Yes","No")</f>
        <v>No</v>
      </c>
    </row>
    <row r="1261" spans="1:13" x14ac:dyDescent="0.3">
      <c r="A1261" t="s">
        <v>1660</v>
      </c>
      <c r="B1261">
        <v>61</v>
      </c>
      <c r="C1261" t="s">
        <v>20</v>
      </c>
      <c r="D1261" t="s">
        <v>55</v>
      </c>
      <c r="E1261" t="s">
        <v>14</v>
      </c>
      <c r="F1261" t="s">
        <v>463</v>
      </c>
      <c r="G1261" t="s">
        <v>263</v>
      </c>
      <c r="H1261">
        <v>2</v>
      </c>
      <c r="I1261" s="1">
        <v>7707.27</v>
      </c>
      <c r="J1261" t="s">
        <v>17</v>
      </c>
      <c r="K1261" t="s">
        <v>18</v>
      </c>
      <c r="L1261" t="str" cm="1">
        <f t="array" ref="L1261">_xlfn.IFS(B1261&lt;30,"18-29",B1261&lt;45,"30-44",B1261&lt;60,"45-59",B1261&lt;75,"60-74",B1261&lt;=90,"75-90")</f>
        <v>60-74</v>
      </c>
      <c r="M1261" t="str">
        <f>IF(Table1[[#This Row],[length_of_stay_days]]&gt;7,"Yes","No")</f>
        <v>No</v>
      </c>
    </row>
    <row r="1262" spans="1:13" x14ac:dyDescent="0.3">
      <c r="A1262" t="s">
        <v>1661</v>
      </c>
      <c r="B1262">
        <v>69</v>
      </c>
      <c r="C1262" t="s">
        <v>12</v>
      </c>
      <c r="D1262" t="s">
        <v>46</v>
      </c>
      <c r="E1262" t="s">
        <v>28</v>
      </c>
      <c r="F1262" t="s">
        <v>328</v>
      </c>
      <c r="G1262" t="s">
        <v>390</v>
      </c>
      <c r="H1262">
        <v>9</v>
      </c>
      <c r="I1262" s="1">
        <v>14137.51</v>
      </c>
      <c r="J1262" t="s">
        <v>49</v>
      </c>
      <c r="K1262" t="s">
        <v>18</v>
      </c>
      <c r="L1262" t="str" cm="1">
        <f t="array" ref="L1262">_xlfn.IFS(B1262&lt;30,"18-29",B1262&lt;45,"30-44",B1262&lt;60,"45-59",B1262&lt;75,"60-74",B1262&lt;=90,"75-90")</f>
        <v>60-74</v>
      </c>
      <c r="M1262" t="str">
        <f>IF(Table1[[#This Row],[length_of_stay_days]]&gt;7,"Yes","No")</f>
        <v>Yes</v>
      </c>
    </row>
    <row r="1263" spans="1:13" x14ac:dyDescent="0.3">
      <c r="A1263" t="s">
        <v>1662</v>
      </c>
      <c r="B1263">
        <v>67</v>
      </c>
      <c r="C1263" t="s">
        <v>20</v>
      </c>
      <c r="D1263" t="s">
        <v>55</v>
      </c>
      <c r="E1263" t="s">
        <v>21</v>
      </c>
      <c r="F1263" t="s">
        <v>453</v>
      </c>
      <c r="G1263" t="s">
        <v>596</v>
      </c>
      <c r="H1263">
        <v>5</v>
      </c>
      <c r="I1263" s="1">
        <v>7683.68</v>
      </c>
      <c r="J1263" t="s">
        <v>17</v>
      </c>
      <c r="K1263" t="s">
        <v>18</v>
      </c>
      <c r="L1263" t="str" cm="1">
        <f t="array" ref="L1263">_xlfn.IFS(B1263&lt;30,"18-29",B1263&lt;45,"30-44",B1263&lt;60,"45-59",B1263&lt;75,"60-74",B1263&lt;=90,"75-90")</f>
        <v>60-74</v>
      </c>
      <c r="M1263" t="str">
        <f>IF(Table1[[#This Row],[length_of_stay_days]]&gt;7,"Yes","No")</f>
        <v>No</v>
      </c>
    </row>
    <row r="1264" spans="1:13" x14ac:dyDescent="0.3">
      <c r="A1264" t="s">
        <v>1663</v>
      </c>
      <c r="B1264">
        <v>66</v>
      </c>
      <c r="C1264" t="s">
        <v>12</v>
      </c>
      <c r="D1264" t="s">
        <v>32</v>
      </c>
      <c r="E1264" t="s">
        <v>14</v>
      </c>
      <c r="F1264" t="s">
        <v>1595</v>
      </c>
      <c r="G1264" t="s">
        <v>36</v>
      </c>
      <c r="H1264">
        <v>8</v>
      </c>
      <c r="I1264" s="1">
        <v>9326.75</v>
      </c>
      <c r="J1264" t="s">
        <v>17</v>
      </c>
      <c r="K1264" t="s">
        <v>18</v>
      </c>
      <c r="L1264" t="str" cm="1">
        <f t="array" ref="L1264">_xlfn.IFS(B1264&lt;30,"18-29",B1264&lt;45,"30-44",B1264&lt;60,"45-59",B1264&lt;75,"60-74",B1264&lt;=90,"75-90")</f>
        <v>60-74</v>
      </c>
      <c r="M1264" t="str">
        <f>IF(Table1[[#This Row],[length_of_stay_days]]&gt;7,"Yes","No")</f>
        <v>Yes</v>
      </c>
    </row>
    <row r="1265" spans="1:13" x14ac:dyDescent="0.3">
      <c r="A1265" t="s">
        <v>1664</v>
      </c>
      <c r="B1265">
        <v>40</v>
      </c>
      <c r="C1265" t="s">
        <v>12</v>
      </c>
      <c r="D1265" t="s">
        <v>46</v>
      </c>
      <c r="E1265" t="s">
        <v>14</v>
      </c>
      <c r="F1265" t="s">
        <v>493</v>
      </c>
      <c r="G1265" t="s">
        <v>342</v>
      </c>
      <c r="H1265">
        <v>7</v>
      </c>
      <c r="I1265" s="1">
        <v>13151.93</v>
      </c>
      <c r="J1265" t="s">
        <v>17</v>
      </c>
      <c r="K1265" t="s">
        <v>18</v>
      </c>
      <c r="L1265" t="str" cm="1">
        <f t="array" ref="L1265">_xlfn.IFS(B1265&lt;30,"18-29",B1265&lt;45,"30-44",B1265&lt;60,"45-59",B1265&lt;75,"60-74",B1265&lt;=90,"75-90")</f>
        <v>30-44</v>
      </c>
      <c r="M1265" t="str">
        <f>IF(Table1[[#This Row],[length_of_stay_days]]&gt;7,"Yes","No")</f>
        <v>No</v>
      </c>
    </row>
    <row r="1266" spans="1:13" x14ac:dyDescent="0.3">
      <c r="A1266" t="s">
        <v>1665</v>
      </c>
      <c r="B1266">
        <v>33</v>
      </c>
      <c r="C1266" t="s">
        <v>20</v>
      </c>
      <c r="D1266" t="s">
        <v>46</v>
      </c>
      <c r="E1266" t="s">
        <v>14</v>
      </c>
      <c r="F1266" t="s">
        <v>261</v>
      </c>
      <c r="G1266" t="s">
        <v>126</v>
      </c>
      <c r="H1266">
        <v>7</v>
      </c>
      <c r="I1266" s="1">
        <v>13543.9</v>
      </c>
      <c r="J1266" t="s">
        <v>49</v>
      </c>
      <c r="K1266" t="s">
        <v>18</v>
      </c>
      <c r="L1266" t="str" cm="1">
        <f t="array" ref="L1266">_xlfn.IFS(B1266&lt;30,"18-29",B1266&lt;45,"30-44",B1266&lt;60,"45-59",B1266&lt;75,"60-74",B1266&lt;=90,"75-90")</f>
        <v>30-44</v>
      </c>
      <c r="M1266" t="str">
        <f>IF(Table1[[#This Row],[length_of_stay_days]]&gt;7,"Yes","No")</f>
        <v>No</v>
      </c>
    </row>
    <row r="1267" spans="1:13" x14ac:dyDescent="0.3">
      <c r="A1267" t="s">
        <v>1666</v>
      </c>
      <c r="B1267">
        <v>36</v>
      </c>
      <c r="C1267" t="s">
        <v>20</v>
      </c>
      <c r="D1267" t="s">
        <v>28</v>
      </c>
      <c r="E1267" t="s">
        <v>21</v>
      </c>
      <c r="F1267" t="s">
        <v>308</v>
      </c>
      <c r="G1267" t="s">
        <v>309</v>
      </c>
      <c r="H1267">
        <v>4</v>
      </c>
      <c r="I1267" s="1">
        <v>7533.55</v>
      </c>
      <c r="J1267" t="s">
        <v>17</v>
      </c>
      <c r="K1267" t="s">
        <v>223</v>
      </c>
      <c r="L1267" t="str" cm="1">
        <f t="array" ref="L1267">_xlfn.IFS(B1267&lt;30,"18-29",B1267&lt;45,"30-44",B1267&lt;60,"45-59",B1267&lt;75,"60-74",B1267&lt;=90,"75-90")</f>
        <v>30-44</v>
      </c>
      <c r="M1267" t="str">
        <f>IF(Table1[[#This Row],[length_of_stay_days]]&gt;7,"Yes","No")</f>
        <v>No</v>
      </c>
    </row>
    <row r="1268" spans="1:13" x14ac:dyDescent="0.3">
      <c r="A1268" t="s">
        <v>1667</v>
      </c>
      <c r="B1268">
        <v>82</v>
      </c>
      <c r="C1268" t="s">
        <v>20</v>
      </c>
      <c r="D1268" t="s">
        <v>13</v>
      </c>
      <c r="E1268" t="s">
        <v>28</v>
      </c>
      <c r="F1268" t="s">
        <v>96</v>
      </c>
      <c r="G1268" t="s">
        <v>144</v>
      </c>
      <c r="H1268">
        <v>5</v>
      </c>
      <c r="I1268" s="1">
        <v>8005.13</v>
      </c>
      <c r="J1268" t="s">
        <v>17</v>
      </c>
      <c r="K1268" t="s">
        <v>18</v>
      </c>
      <c r="L1268" t="str" cm="1">
        <f t="array" ref="L1268">_xlfn.IFS(B1268&lt;30,"18-29",B1268&lt;45,"30-44",B1268&lt;60,"45-59",B1268&lt;75,"60-74",B1268&lt;=90,"75-90")</f>
        <v>75-90</v>
      </c>
      <c r="M1268" t="str">
        <f>IF(Table1[[#This Row],[length_of_stay_days]]&gt;7,"Yes","No")</f>
        <v>No</v>
      </c>
    </row>
    <row r="1269" spans="1:13" x14ac:dyDescent="0.3">
      <c r="A1269" t="s">
        <v>1668</v>
      </c>
      <c r="B1269">
        <v>29</v>
      </c>
      <c r="C1269" t="s">
        <v>20</v>
      </c>
      <c r="D1269" t="s">
        <v>13</v>
      </c>
      <c r="E1269" t="s">
        <v>28</v>
      </c>
      <c r="F1269" t="s">
        <v>1229</v>
      </c>
      <c r="G1269" t="s">
        <v>623</v>
      </c>
      <c r="H1269">
        <v>2</v>
      </c>
      <c r="I1269" s="1">
        <v>5767.76</v>
      </c>
      <c r="J1269" t="s">
        <v>17</v>
      </c>
      <c r="K1269" t="s">
        <v>18</v>
      </c>
      <c r="L1269" t="str" cm="1">
        <f t="array" ref="L1269">_xlfn.IFS(B1269&lt;30,"18-29",B1269&lt;45,"30-44",B1269&lt;60,"45-59",B1269&lt;75,"60-74",B1269&lt;=90,"75-90")</f>
        <v>18-29</v>
      </c>
      <c r="M1269" t="str">
        <f>IF(Table1[[#This Row],[length_of_stay_days]]&gt;7,"Yes","No")</f>
        <v>No</v>
      </c>
    </row>
    <row r="1270" spans="1:13" x14ac:dyDescent="0.3">
      <c r="A1270" t="s">
        <v>1669</v>
      </c>
      <c r="B1270">
        <v>39</v>
      </c>
      <c r="C1270" t="s">
        <v>12</v>
      </c>
      <c r="D1270" t="s">
        <v>32</v>
      </c>
      <c r="E1270" t="s">
        <v>14</v>
      </c>
      <c r="F1270" t="s">
        <v>440</v>
      </c>
      <c r="G1270" t="s">
        <v>201</v>
      </c>
      <c r="H1270">
        <v>4</v>
      </c>
      <c r="I1270" s="1">
        <v>11280.35</v>
      </c>
      <c r="J1270" t="s">
        <v>17</v>
      </c>
      <c r="K1270" t="s">
        <v>18</v>
      </c>
      <c r="L1270" t="str" cm="1">
        <f t="array" ref="L1270">_xlfn.IFS(B1270&lt;30,"18-29",B1270&lt;45,"30-44",B1270&lt;60,"45-59",B1270&lt;75,"60-74",B1270&lt;=90,"75-90")</f>
        <v>30-44</v>
      </c>
      <c r="M1270" t="str">
        <f>IF(Table1[[#This Row],[length_of_stay_days]]&gt;7,"Yes","No")</f>
        <v>No</v>
      </c>
    </row>
    <row r="1271" spans="1:13" x14ac:dyDescent="0.3">
      <c r="A1271" t="s">
        <v>1670</v>
      </c>
      <c r="B1271">
        <v>44</v>
      </c>
      <c r="C1271" t="s">
        <v>20</v>
      </c>
      <c r="D1271" t="s">
        <v>28</v>
      </c>
      <c r="E1271" t="s">
        <v>28</v>
      </c>
      <c r="F1271" t="s">
        <v>558</v>
      </c>
      <c r="G1271" t="s">
        <v>604</v>
      </c>
      <c r="H1271">
        <v>2</v>
      </c>
      <c r="I1271" s="1">
        <v>3833.51</v>
      </c>
      <c r="J1271" t="s">
        <v>49</v>
      </c>
      <c r="K1271" t="s">
        <v>18</v>
      </c>
      <c r="L1271" t="str" cm="1">
        <f t="array" ref="L1271">_xlfn.IFS(B1271&lt;30,"18-29",B1271&lt;45,"30-44",B1271&lt;60,"45-59",B1271&lt;75,"60-74",B1271&lt;=90,"75-90")</f>
        <v>30-44</v>
      </c>
      <c r="M1271" t="str">
        <f>IF(Table1[[#This Row],[length_of_stay_days]]&gt;7,"Yes","No")</f>
        <v>No</v>
      </c>
    </row>
    <row r="1272" spans="1:13" x14ac:dyDescent="0.3">
      <c r="A1272" t="s">
        <v>1671</v>
      </c>
      <c r="B1272">
        <v>53</v>
      </c>
      <c r="C1272" t="s">
        <v>12</v>
      </c>
      <c r="D1272" t="s">
        <v>32</v>
      </c>
      <c r="E1272" t="s">
        <v>14</v>
      </c>
      <c r="F1272" t="s">
        <v>852</v>
      </c>
      <c r="G1272" t="s">
        <v>1595</v>
      </c>
      <c r="H1272">
        <v>3</v>
      </c>
      <c r="I1272" s="1">
        <v>7885.57</v>
      </c>
      <c r="J1272" t="s">
        <v>17</v>
      </c>
      <c r="K1272" t="s">
        <v>18</v>
      </c>
      <c r="L1272" t="str" cm="1">
        <f t="array" ref="L1272">_xlfn.IFS(B1272&lt;30,"18-29",B1272&lt;45,"30-44",B1272&lt;60,"45-59",B1272&lt;75,"60-74",B1272&lt;=90,"75-90")</f>
        <v>45-59</v>
      </c>
      <c r="M1272" t="str">
        <f>IF(Table1[[#This Row],[length_of_stay_days]]&gt;7,"Yes","No")</f>
        <v>No</v>
      </c>
    </row>
    <row r="1273" spans="1:13" x14ac:dyDescent="0.3">
      <c r="A1273" t="s">
        <v>1672</v>
      </c>
      <c r="B1273">
        <v>80</v>
      </c>
      <c r="C1273" t="s">
        <v>20</v>
      </c>
      <c r="D1273" t="s">
        <v>28</v>
      </c>
      <c r="E1273" t="s">
        <v>14</v>
      </c>
      <c r="F1273" t="s">
        <v>807</v>
      </c>
      <c r="G1273" t="s">
        <v>382</v>
      </c>
      <c r="H1273">
        <v>3</v>
      </c>
      <c r="I1273" s="1">
        <v>4598.55</v>
      </c>
      <c r="J1273" t="s">
        <v>17</v>
      </c>
      <c r="K1273" t="s">
        <v>18</v>
      </c>
      <c r="L1273" t="str" cm="1">
        <f t="array" ref="L1273">_xlfn.IFS(B1273&lt;30,"18-29",B1273&lt;45,"30-44",B1273&lt;60,"45-59",B1273&lt;75,"60-74",B1273&lt;=90,"75-90")</f>
        <v>75-90</v>
      </c>
      <c r="M1273" t="str">
        <f>IF(Table1[[#This Row],[length_of_stay_days]]&gt;7,"Yes","No")</f>
        <v>No</v>
      </c>
    </row>
    <row r="1274" spans="1:13" x14ac:dyDescent="0.3">
      <c r="A1274" t="s">
        <v>1673</v>
      </c>
      <c r="B1274">
        <v>53</v>
      </c>
      <c r="C1274" t="s">
        <v>20</v>
      </c>
      <c r="D1274" t="s">
        <v>51</v>
      </c>
      <c r="E1274" t="s">
        <v>28</v>
      </c>
      <c r="F1274" t="s">
        <v>189</v>
      </c>
      <c r="G1274" t="s">
        <v>162</v>
      </c>
      <c r="H1274">
        <v>10</v>
      </c>
      <c r="I1274" s="1">
        <v>12568.14</v>
      </c>
      <c r="J1274" t="s">
        <v>17</v>
      </c>
      <c r="K1274" t="s">
        <v>18</v>
      </c>
      <c r="L1274" t="str" cm="1">
        <f t="array" ref="L1274">_xlfn.IFS(B1274&lt;30,"18-29",B1274&lt;45,"30-44",B1274&lt;60,"45-59",B1274&lt;75,"60-74",B1274&lt;=90,"75-90")</f>
        <v>45-59</v>
      </c>
      <c r="M1274" t="str">
        <f>IF(Table1[[#This Row],[length_of_stay_days]]&gt;7,"Yes","No")</f>
        <v>Yes</v>
      </c>
    </row>
    <row r="1275" spans="1:13" x14ac:dyDescent="0.3">
      <c r="A1275" t="s">
        <v>1674</v>
      </c>
      <c r="B1275">
        <v>29</v>
      </c>
      <c r="C1275" t="s">
        <v>20</v>
      </c>
      <c r="D1275" t="s">
        <v>13</v>
      </c>
      <c r="E1275" t="s">
        <v>28</v>
      </c>
      <c r="F1275" t="s">
        <v>1648</v>
      </c>
      <c r="G1275" t="s">
        <v>1248</v>
      </c>
      <c r="H1275">
        <v>4</v>
      </c>
      <c r="I1275" s="1">
        <v>6263.34</v>
      </c>
      <c r="J1275" t="s">
        <v>17</v>
      </c>
      <c r="K1275" t="s">
        <v>18</v>
      </c>
      <c r="L1275" t="str" cm="1">
        <f t="array" ref="L1275">_xlfn.IFS(B1275&lt;30,"18-29",B1275&lt;45,"30-44",B1275&lt;60,"45-59",B1275&lt;75,"60-74",B1275&lt;=90,"75-90")</f>
        <v>18-29</v>
      </c>
      <c r="M1275" t="str">
        <f>IF(Table1[[#This Row],[length_of_stay_days]]&gt;7,"Yes","No")</f>
        <v>No</v>
      </c>
    </row>
    <row r="1276" spans="1:13" x14ac:dyDescent="0.3">
      <c r="A1276" t="s">
        <v>1675</v>
      </c>
      <c r="B1276">
        <v>44</v>
      </c>
      <c r="C1276" t="s">
        <v>20</v>
      </c>
      <c r="D1276" t="s">
        <v>28</v>
      </c>
      <c r="E1276" t="s">
        <v>28</v>
      </c>
      <c r="F1276" t="s">
        <v>680</v>
      </c>
      <c r="G1276" t="s">
        <v>563</v>
      </c>
      <c r="H1276">
        <v>3</v>
      </c>
      <c r="I1276" s="1">
        <v>5272.23</v>
      </c>
      <c r="J1276" t="s">
        <v>17</v>
      </c>
      <c r="K1276" t="s">
        <v>18</v>
      </c>
      <c r="L1276" t="str" cm="1">
        <f t="array" ref="L1276">_xlfn.IFS(B1276&lt;30,"18-29",B1276&lt;45,"30-44",B1276&lt;60,"45-59",B1276&lt;75,"60-74",B1276&lt;=90,"75-90")</f>
        <v>30-44</v>
      </c>
      <c r="M1276" t="str">
        <f>IF(Table1[[#This Row],[length_of_stay_days]]&gt;7,"Yes","No")</f>
        <v>No</v>
      </c>
    </row>
    <row r="1277" spans="1:13" x14ac:dyDescent="0.3">
      <c r="A1277" t="s">
        <v>1676</v>
      </c>
      <c r="B1277">
        <v>35</v>
      </c>
      <c r="C1277" t="s">
        <v>20</v>
      </c>
      <c r="D1277" t="s">
        <v>51</v>
      </c>
      <c r="E1277" t="s">
        <v>14</v>
      </c>
      <c r="F1277" t="s">
        <v>727</v>
      </c>
      <c r="G1277" t="s">
        <v>182</v>
      </c>
      <c r="H1277">
        <v>4</v>
      </c>
      <c r="I1277" s="1">
        <v>11313.72</v>
      </c>
      <c r="J1277" t="s">
        <v>17</v>
      </c>
      <c r="K1277" t="s">
        <v>18</v>
      </c>
      <c r="L1277" t="str" cm="1">
        <f t="array" ref="L1277">_xlfn.IFS(B1277&lt;30,"18-29",B1277&lt;45,"30-44",B1277&lt;60,"45-59",B1277&lt;75,"60-74",B1277&lt;=90,"75-90")</f>
        <v>30-44</v>
      </c>
      <c r="M1277" t="str">
        <f>IF(Table1[[#This Row],[length_of_stay_days]]&gt;7,"Yes","No")</f>
        <v>No</v>
      </c>
    </row>
    <row r="1278" spans="1:13" x14ac:dyDescent="0.3">
      <c r="A1278" t="s">
        <v>1677</v>
      </c>
      <c r="B1278">
        <v>47</v>
      </c>
      <c r="C1278" t="s">
        <v>20</v>
      </c>
      <c r="D1278" t="s">
        <v>28</v>
      </c>
      <c r="E1278" t="s">
        <v>21</v>
      </c>
      <c r="F1278" t="s">
        <v>357</v>
      </c>
      <c r="G1278" t="s">
        <v>408</v>
      </c>
      <c r="H1278">
        <v>3</v>
      </c>
      <c r="I1278" s="1">
        <v>4661.91</v>
      </c>
      <c r="J1278" t="s">
        <v>17</v>
      </c>
      <c r="K1278" t="s">
        <v>18</v>
      </c>
      <c r="L1278" t="str" cm="1">
        <f t="array" ref="L1278">_xlfn.IFS(B1278&lt;30,"18-29",B1278&lt;45,"30-44",B1278&lt;60,"45-59",B1278&lt;75,"60-74",B1278&lt;=90,"75-90")</f>
        <v>45-59</v>
      </c>
      <c r="M1278" t="str">
        <f>IF(Table1[[#This Row],[length_of_stay_days]]&gt;7,"Yes","No")</f>
        <v>No</v>
      </c>
    </row>
    <row r="1279" spans="1:13" x14ac:dyDescent="0.3">
      <c r="A1279" t="s">
        <v>1678</v>
      </c>
      <c r="B1279">
        <v>31</v>
      </c>
      <c r="C1279" t="s">
        <v>12</v>
      </c>
      <c r="D1279" t="s">
        <v>28</v>
      </c>
      <c r="E1279" t="s">
        <v>21</v>
      </c>
      <c r="F1279" t="s">
        <v>231</v>
      </c>
      <c r="G1279" t="s">
        <v>163</v>
      </c>
      <c r="H1279">
        <v>4</v>
      </c>
      <c r="I1279" s="1">
        <v>6228.52</v>
      </c>
      <c r="J1279" t="s">
        <v>49</v>
      </c>
      <c r="K1279" t="s">
        <v>18</v>
      </c>
      <c r="L1279" t="str" cm="1">
        <f t="array" ref="L1279">_xlfn.IFS(B1279&lt;30,"18-29",B1279&lt;45,"30-44",B1279&lt;60,"45-59",B1279&lt;75,"60-74",B1279&lt;=90,"75-90")</f>
        <v>30-44</v>
      </c>
      <c r="M1279" t="str">
        <f>IF(Table1[[#This Row],[length_of_stay_days]]&gt;7,"Yes","No")</f>
        <v>No</v>
      </c>
    </row>
    <row r="1280" spans="1:13" x14ac:dyDescent="0.3">
      <c r="A1280" t="s">
        <v>1679</v>
      </c>
      <c r="B1280">
        <v>63</v>
      </c>
      <c r="C1280" t="s">
        <v>12</v>
      </c>
      <c r="D1280" t="s">
        <v>13</v>
      </c>
      <c r="E1280" t="s">
        <v>21</v>
      </c>
      <c r="F1280" t="s">
        <v>523</v>
      </c>
      <c r="G1280" t="s">
        <v>1229</v>
      </c>
      <c r="H1280">
        <v>5</v>
      </c>
      <c r="I1280" s="1">
        <v>11549.52</v>
      </c>
      <c r="J1280" t="s">
        <v>17</v>
      </c>
      <c r="K1280" t="s">
        <v>18</v>
      </c>
      <c r="L1280" t="str" cm="1">
        <f t="array" ref="L1280">_xlfn.IFS(B1280&lt;30,"18-29",B1280&lt;45,"30-44",B1280&lt;60,"45-59",B1280&lt;75,"60-74",B1280&lt;=90,"75-90")</f>
        <v>60-74</v>
      </c>
      <c r="M1280" t="str">
        <f>IF(Table1[[#This Row],[length_of_stay_days]]&gt;7,"Yes","No")</f>
        <v>No</v>
      </c>
    </row>
    <row r="1281" spans="1:13" x14ac:dyDescent="0.3">
      <c r="A1281" t="s">
        <v>1680</v>
      </c>
      <c r="B1281">
        <v>75</v>
      </c>
      <c r="C1281" t="s">
        <v>20</v>
      </c>
      <c r="D1281" t="s">
        <v>55</v>
      </c>
      <c r="E1281" t="s">
        <v>14</v>
      </c>
      <c r="F1281" t="s">
        <v>821</v>
      </c>
      <c r="G1281" t="s">
        <v>166</v>
      </c>
      <c r="H1281">
        <v>5</v>
      </c>
      <c r="I1281" s="1">
        <v>8973.06</v>
      </c>
      <c r="J1281" t="s">
        <v>17</v>
      </c>
      <c r="K1281" t="s">
        <v>18</v>
      </c>
      <c r="L1281" t="str" cm="1">
        <f t="array" ref="L1281">_xlfn.IFS(B1281&lt;30,"18-29",B1281&lt;45,"30-44",B1281&lt;60,"45-59",B1281&lt;75,"60-74",B1281&lt;=90,"75-90")</f>
        <v>75-90</v>
      </c>
      <c r="M1281" t="str">
        <f>IF(Table1[[#This Row],[length_of_stay_days]]&gt;7,"Yes","No")</f>
        <v>No</v>
      </c>
    </row>
    <row r="1282" spans="1:13" x14ac:dyDescent="0.3">
      <c r="A1282" t="s">
        <v>1681</v>
      </c>
      <c r="B1282">
        <v>59</v>
      </c>
      <c r="C1282" t="s">
        <v>12</v>
      </c>
      <c r="D1282" t="s">
        <v>55</v>
      </c>
      <c r="E1282" t="s">
        <v>28</v>
      </c>
      <c r="F1282" t="s">
        <v>205</v>
      </c>
      <c r="G1282" t="s">
        <v>396</v>
      </c>
      <c r="H1282">
        <v>7</v>
      </c>
      <c r="I1282" s="1">
        <v>10152.1</v>
      </c>
      <c r="J1282" t="s">
        <v>17</v>
      </c>
      <c r="K1282" t="s">
        <v>18</v>
      </c>
      <c r="L1282" t="str" cm="1">
        <f t="array" ref="L1282">_xlfn.IFS(B1282&lt;30,"18-29",B1282&lt;45,"30-44",B1282&lt;60,"45-59",B1282&lt;75,"60-74",B1282&lt;=90,"75-90")</f>
        <v>45-59</v>
      </c>
      <c r="M1282" t="str">
        <f>IF(Table1[[#This Row],[length_of_stay_days]]&gt;7,"Yes","No")</f>
        <v>No</v>
      </c>
    </row>
    <row r="1283" spans="1:13" x14ac:dyDescent="0.3">
      <c r="A1283" t="s">
        <v>1682</v>
      </c>
      <c r="B1283">
        <v>88</v>
      </c>
      <c r="C1283" t="s">
        <v>12</v>
      </c>
      <c r="D1283" t="s">
        <v>28</v>
      </c>
      <c r="E1283" t="s">
        <v>21</v>
      </c>
      <c r="F1283" t="s">
        <v>77</v>
      </c>
      <c r="G1283" t="s">
        <v>1229</v>
      </c>
      <c r="H1283">
        <v>7</v>
      </c>
      <c r="I1283" s="1">
        <v>6638.24</v>
      </c>
      <c r="J1283" t="s">
        <v>17</v>
      </c>
      <c r="K1283" t="s">
        <v>44</v>
      </c>
      <c r="L1283" t="str" cm="1">
        <f t="array" ref="L1283">_xlfn.IFS(B1283&lt;30,"18-29",B1283&lt;45,"30-44",B1283&lt;60,"45-59",B1283&lt;75,"60-74",B1283&lt;=90,"75-90")</f>
        <v>75-90</v>
      </c>
      <c r="M1283" t="str">
        <f>IF(Table1[[#This Row],[length_of_stay_days]]&gt;7,"Yes","No")</f>
        <v>No</v>
      </c>
    </row>
    <row r="1284" spans="1:13" x14ac:dyDescent="0.3">
      <c r="A1284" t="s">
        <v>1683</v>
      </c>
      <c r="B1284">
        <v>90</v>
      </c>
      <c r="C1284" t="s">
        <v>20</v>
      </c>
      <c r="D1284" t="s">
        <v>13</v>
      </c>
      <c r="E1284" t="s">
        <v>28</v>
      </c>
      <c r="F1284" t="s">
        <v>190</v>
      </c>
      <c r="G1284" t="s">
        <v>173</v>
      </c>
      <c r="H1284">
        <v>7</v>
      </c>
      <c r="I1284" s="1">
        <v>10259.469999999999</v>
      </c>
      <c r="J1284" t="s">
        <v>49</v>
      </c>
      <c r="K1284" t="s">
        <v>18</v>
      </c>
      <c r="L1284" t="str" cm="1">
        <f t="array" ref="L1284">_xlfn.IFS(B1284&lt;30,"18-29",B1284&lt;45,"30-44",B1284&lt;60,"45-59",B1284&lt;75,"60-74",B1284&lt;=90,"75-90")</f>
        <v>75-90</v>
      </c>
      <c r="M1284" t="str">
        <f>IF(Table1[[#This Row],[length_of_stay_days]]&gt;7,"Yes","No")</f>
        <v>No</v>
      </c>
    </row>
    <row r="1285" spans="1:13" x14ac:dyDescent="0.3">
      <c r="A1285" t="s">
        <v>1684</v>
      </c>
      <c r="B1285">
        <v>45</v>
      </c>
      <c r="C1285" t="s">
        <v>12</v>
      </c>
      <c r="D1285" t="s">
        <v>28</v>
      </c>
      <c r="E1285" t="s">
        <v>14</v>
      </c>
      <c r="F1285" t="s">
        <v>292</v>
      </c>
      <c r="G1285" t="s">
        <v>839</v>
      </c>
      <c r="H1285">
        <v>1</v>
      </c>
      <c r="I1285" s="1">
        <v>3639.58</v>
      </c>
      <c r="J1285" t="s">
        <v>17</v>
      </c>
      <c r="K1285" t="s">
        <v>18</v>
      </c>
      <c r="L1285" t="str" cm="1">
        <f t="array" ref="L1285">_xlfn.IFS(B1285&lt;30,"18-29",B1285&lt;45,"30-44",B1285&lt;60,"45-59",B1285&lt;75,"60-74",B1285&lt;=90,"75-90")</f>
        <v>45-59</v>
      </c>
      <c r="M1285" t="str">
        <f>IF(Table1[[#This Row],[length_of_stay_days]]&gt;7,"Yes","No")</f>
        <v>No</v>
      </c>
    </row>
    <row r="1286" spans="1:13" x14ac:dyDescent="0.3">
      <c r="A1286" t="s">
        <v>1685</v>
      </c>
      <c r="B1286">
        <v>44</v>
      </c>
      <c r="C1286" t="s">
        <v>12</v>
      </c>
      <c r="D1286" t="s">
        <v>51</v>
      </c>
      <c r="E1286" t="s">
        <v>28</v>
      </c>
      <c r="F1286" t="s">
        <v>124</v>
      </c>
      <c r="G1286" t="s">
        <v>829</v>
      </c>
      <c r="H1286">
        <v>8</v>
      </c>
      <c r="I1286" s="1">
        <v>11837.29</v>
      </c>
      <c r="J1286" t="s">
        <v>17</v>
      </c>
      <c r="K1286" t="s">
        <v>18</v>
      </c>
      <c r="L1286" t="str" cm="1">
        <f t="array" ref="L1286">_xlfn.IFS(B1286&lt;30,"18-29",B1286&lt;45,"30-44",B1286&lt;60,"45-59",B1286&lt;75,"60-74",B1286&lt;=90,"75-90")</f>
        <v>30-44</v>
      </c>
      <c r="M1286" t="str">
        <f>IF(Table1[[#This Row],[length_of_stay_days]]&gt;7,"Yes","No")</f>
        <v>Yes</v>
      </c>
    </row>
    <row r="1287" spans="1:13" x14ac:dyDescent="0.3">
      <c r="A1287" t="s">
        <v>1686</v>
      </c>
      <c r="B1287">
        <v>60</v>
      </c>
      <c r="C1287" t="s">
        <v>20</v>
      </c>
      <c r="D1287" t="s">
        <v>13</v>
      </c>
      <c r="E1287" t="s">
        <v>14</v>
      </c>
      <c r="F1287" t="s">
        <v>898</v>
      </c>
      <c r="G1287" t="s">
        <v>177</v>
      </c>
      <c r="H1287">
        <v>5</v>
      </c>
      <c r="I1287" s="1">
        <v>6855.69</v>
      </c>
      <c r="J1287" t="s">
        <v>17</v>
      </c>
      <c r="K1287" t="s">
        <v>18</v>
      </c>
      <c r="L1287" t="str" cm="1">
        <f t="array" ref="L1287">_xlfn.IFS(B1287&lt;30,"18-29",B1287&lt;45,"30-44",B1287&lt;60,"45-59",B1287&lt;75,"60-74",B1287&lt;=90,"75-90")</f>
        <v>60-74</v>
      </c>
      <c r="M1287" t="str">
        <f>IF(Table1[[#This Row],[length_of_stay_days]]&gt;7,"Yes","No")</f>
        <v>No</v>
      </c>
    </row>
    <row r="1288" spans="1:13" x14ac:dyDescent="0.3">
      <c r="A1288" t="s">
        <v>1687</v>
      </c>
      <c r="B1288">
        <v>42</v>
      </c>
      <c r="C1288" t="s">
        <v>20</v>
      </c>
      <c r="D1288" t="s">
        <v>51</v>
      </c>
      <c r="E1288" t="s">
        <v>14</v>
      </c>
      <c r="F1288" t="s">
        <v>388</v>
      </c>
      <c r="G1288" t="s">
        <v>762</v>
      </c>
      <c r="H1288">
        <v>5</v>
      </c>
      <c r="I1288" s="1">
        <v>11745.78</v>
      </c>
      <c r="J1288" t="s">
        <v>17</v>
      </c>
      <c r="K1288" t="s">
        <v>18</v>
      </c>
      <c r="L1288" t="str" cm="1">
        <f t="array" ref="L1288">_xlfn.IFS(B1288&lt;30,"18-29",B1288&lt;45,"30-44",B1288&lt;60,"45-59",B1288&lt;75,"60-74",B1288&lt;=90,"75-90")</f>
        <v>30-44</v>
      </c>
      <c r="M1288" t="str">
        <f>IF(Table1[[#This Row],[length_of_stay_days]]&gt;7,"Yes","No")</f>
        <v>No</v>
      </c>
    </row>
    <row r="1289" spans="1:13" x14ac:dyDescent="0.3">
      <c r="A1289" t="s">
        <v>1688</v>
      </c>
      <c r="B1289">
        <v>83</v>
      </c>
      <c r="C1289" t="s">
        <v>12</v>
      </c>
      <c r="D1289" t="s">
        <v>55</v>
      </c>
      <c r="E1289" t="s">
        <v>28</v>
      </c>
      <c r="F1289" t="s">
        <v>259</v>
      </c>
      <c r="G1289" t="s">
        <v>928</v>
      </c>
      <c r="H1289">
        <v>3</v>
      </c>
      <c r="I1289" s="1">
        <v>8594.64</v>
      </c>
      <c r="J1289" t="s">
        <v>17</v>
      </c>
      <c r="K1289" t="s">
        <v>18</v>
      </c>
      <c r="L1289" t="str" cm="1">
        <f t="array" ref="L1289">_xlfn.IFS(B1289&lt;30,"18-29",B1289&lt;45,"30-44",B1289&lt;60,"45-59",B1289&lt;75,"60-74",B1289&lt;=90,"75-90")</f>
        <v>75-90</v>
      </c>
      <c r="M1289" t="str">
        <f>IF(Table1[[#This Row],[length_of_stay_days]]&gt;7,"Yes","No")</f>
        <v>No</v>
      </c>
    </row>
    <row r="1290" spans="1:13" x14ac:dyDescent="0.3">
      <c r="A1290" t="s">
        <v>1689</v>
      </c>
      <c r="B1290">
        <v>73</v>
      </c>
      <c r="C1290" t="s">
        <v>20</v>
      </c>
      <c r="D1290" t="s">
        <v>51</v>
      </c>
      <c r="E1290" t="s">
        <v>28</v>
      </c>
      <c r="F1290" t="s">
        <v>119</v>
      </c>
      <c r="G1290" t="s">
        <v>319</v>
      </c>
      <c r="H1290">
        <v>7</v>
      </c>
      <c r="I1290" s="1">
        <v>9690.67</v>
      </c>
      <c r="J1290" t="s">
        <v>17</v>
      </c>
      <c r="K1290" t="s">
        <v>18</v>
      </c>
      <c r="L1290" t="str" cm="1">
        <f t="array" ref="L1290">_xlfn.IFS(B1290&lt;30,"18-29",B1290&lt;45,"30-44",B1290&lt;60,"45-59",B1290&lt;75,"60-74",B1290&lt;=90,"75-90")</f>
        <v>60-74</v>
      </c>
      <c r="M1290" t="str">
        <f>IF(Table1[[#This Row],[length_of_stay_days]]&gt;7,"Yes","No")</f>
        <v>No</v>
      </c>
    </row>
    <row r="1291" spans="1:13" x14ac:dyDescent="0.3">
      <c r="A1291" t="s">
        <v>1690</v>
      </c>
      <c r="B1291">
        <v>29</v>
      </c>
      <c r="C1291" t="s">
        <v>20</v>
      </c>
      <c r="D1291" t="s">
        <v>55</v>
      </c>
      <c r="E1291" t="s">
        <v>21</v>
      </c>
      <c r="F1291" t="s">
        <v>132</v>
      </c>
      <c r="G1291" t="s">
        <v>105</v>
      </c>
      <c r="H1291">
        <v>6</v>
      </c>
      <c r="I1291" s="1">
        <v>11555.01</v>
      </c>
      <c r="J1291" t="s">
        <v>17</v>
      </c>
      <c r="K1291" t="s">
        <v>18</v>
      </c>
      <c r="L1291" t="str" cm="1">
        <f t="array" ref="L1291">_xlfn.IFS(B1291&lt;30,"18-29",B1291&lt;45,"30-44",B1291&lt;60,"45-59",B1291&lt;75,"60-74",B1291&lt;=90,"75-90")</f>
        <v>18-29</v>
      </c>
      <c r="M1291" t="str">
        <f>IF(Table1[[#This Row],[length_of_stay_days]]&gt;7,"Yes","No")</f>
        <v>No</v>
      </c>
    </row>
    <row r="1292" spans="1:13" x14ac:dyDescent="0.3">
      <c r="A1292" t="s">
        <v>1691</v>
      </c>
      <c r="B1292">
        <v>37</v>
      </c>
      <c r="C1292" t="s">
        <v>20</v>
      </c>
      <c r="D1292" t="s">
        <v>51</v>
      </c>
      <c r="E1292" t="s">
        <v>14</v>
      </c>
      <c r="F1292" t="s">
        <v>648</v>
      </c>
      <c r="G1292" t="s">
        <v>453</v>
      </c>
      <c r="H1292">
        <v>4</v>
      </c>
      <c r="I1292" s="1">
        <v>10748.14</v>
      </c>
      <c r="J1292" t="s">
        <v>17</v>
      </c>
      <c r="K1292" t="s">
        <v>18</v>
      </c>
      <c r="L1292" t="str" cm="1">
        <f t="array" ref="L1292">_xlfn.IFS(B1292&lt;30,"18-29",B1292&lt;45,"30-44",B1292&lt;60,"45-59",B1292&lt;75,"60-74",B1292&lt;=90,"75-90")</f>
        <v>30-44</v>
      </c>
      <c r="M1292" t="str">
        <f>IF(Table1[[#This Row],[length_of_stay_days]]&gt;7,"Yes","No")</f>
        <v>No</v>
      </c>
    </row>
    <row r="1293" spans="1:13" x14ac:dyDescent="0.3">
      <c r="A1293" t="s">
        <v>1692</v>
      </c>
      <c r="B1293">
        <v>79</v>
      </c>
      <c r="C1293" t="s">
        <v>12</v>
      </c>
      <c r="D1293" t="s">
        <v>28</v>
      </c>
      <c r="E1293" t="s">
        <v>28</v>
      </c>
      <c r="F1293" t="s">
        <v>646</v>
      </c>
      <c r="G1293" t="s">
        <v>465</v>
      </c>
      <c r="H1293">
        <v>1</v>
      </c>
      <c r="I1293" s="1">
        <v>1773.37</v>
      </c>
      <c r="J1293" t="s">
        <v>17</v>
      </c>
      <c r="K1293" t="s">
        <v>18</v>
      </c>
      <c r="L1293" t="str" cm="1">
        <f t="array" ref="L1293">_xlfn.IFS(B1293&lt;30,"18-29",B1293&lt;45,"30-44",B1293&lt;60,"45-59",B1293&lt;75,"60-74",B1293&lt;=90,"75-90")</f>
        <v>75-90</v>
      </c>
      <c r="M1293" t="str">
        <f>IF(Table1[[#This Row],[length_of_stay_days]]&gt;7,"Yes","No")</f>
        <v>No</v>
      </c>
    </row>
    <row r="1294" spans="1:13" x14ac:dyDescent="0.3">
      <c r="A1294" t="s">
        <v>1693</v>
      </c>
      <c r="B1294">
        <v>32</v>
      </c>
      <c r="C1294" t="s">
        <v>20</v>
      </c>
      <c r="D1294" t="s">
        <v>55</v>
      </c>
      <c r="E1294" t="s">
        <v>28</v>
      </c>
      <c r="F1294" t="s">
        <v>72</v>
      </c>
      <c r="G1294" t="s">
        <v>360</v>
      </c>
      <c r="H1294">
        <v>5</v>
      </c>
      <c r="I1294" s="1">
        <v>8045.01</v>
      </c>
      <c r="J1294" t="s">
        <v>49</v>
      </c>
      <c r="K1294" t="s">
        <v>18</v>
      </c>
      <c r="L1294" t="str" cm="1">
        <f t="array" ref="L1294">_xlfn.IFS(B1294&lt;30,"18-29",B1294&lt;45,"30-44",B1294&lt;60,"45-59",B1294&lt;75,"60-74",B1294&lt;=90,"75-90")</f>
        <v>30-44</v>
      </c>
      <c r="M1294" t="str">
        <f>IF(Table1[[#This Row],[length_of_stay_days]]&gt;7,"Yes","No")</f>
        <v>No</v>
      </c>
    </row>
    <row r="1295" spans="1:13" x14ac:dyDescent="0.3">
      <c r="A1295" t="s">
        <v>1694</v>
      </c>
      <c r="B1295">
        <v>88</v>
      </c>
      <c r="C1295" t="s">
        <v>12</v>
      </c>
      <c r="D1295" t="s">
        <v>28</v>
      </c>
      <c r="E1295" t="s">
        <v>14</v>
      </c>
      <c r="F1295" t="s">
        <v>168</v>
      </c>
      <c r="G1295" t="s">
        <v>415</v>
      </c>
      <c r="H1295">
        <v>4</v>
      </c>
      <c r="I1295" s="1">
        <v>3527.41</v>
      </c>
      <c r="J1295" t="s">
        <v>17</v>
      </c>
      <c r="K1295" t="s">
        <v>18</v>
      </c>
      <c r="L1295" t="str" cm="1">
        <f t="array" ref="L1295">_xlfn.IFS(B1295&lt;30,"18-29",B1295&lt;45,"30-44",B1295&lt;60,"45-59",B1295&lt;75,"60-74",B1295&lt;=90,"75-90")</f>
        <v>75-90</v>
      </c>
      <c r="M1295" t="str">
        <f>IF(Table1[[#This Row],[length_of_stay_days]]&gt;7,"Yes","No")</f>
        <v>No</v>
      </c>
    </row>
    <row r="1296" spans="1:13" x14ac:dyDescent="0.3">
      <c r="A1296" t="s">
        <v>1695</v>
      </c>
      <c r="B1296">
        <v>75</v>
      </c>
      <c r="C1296" t="s">
        <v>12</v>
      </c>
      <c r="D1296" t="s">
        <v>28</v>
      </c>
      <c r="E1296" t="s">
        <v>14</v>
      </c>
      <c r="F1296" t="s">
        <v>633</v>
      </c>
      <c r="G1296" t="s">
        <v>767</v>
      </c>
      <c r="H1296">
        <v>7</v>
      </c>
      <c r="I1296" s="1">
        <v>10009.66</v>
      </c>
      <c r="J1296" t="s">
        <v>17</v>
      </c>
      <c r="K1296" t="s">
        <v>18</v>
      </c>
      <c r="L1296" t="str" cm="1">
        <f t="array" ref="L1296">_xlfn.IFS(B1296&lt;30,"18-29",B1296&lt;45,"30-44",B1296&lt;60,"45-59",B1296&lt;75,"60-74",B1296&lt;=90,"75-90")</f>
        <v>75-90</v>
      </c>
      <c r="M1296" t="str">
        <f>IF(Table1[[#This Row],[length_of_stay_days]]&gt;7,"Yes","No")</f>
        <v>No</v>
      </c>
    </row>
    <row r="1297" spans="1:13" x14ac:dyDescent="0.3">
      <c r="A1297" t="s">
        <v>1696</v>
      </c>
      <c r="B1297">
        <v>52</v>
      </c>
      <c r="C1297" t="s">
        <v>20</v>
      </c>
      <c r="D1297" t="s">
        <v>13</v>
      </c>
      <c r="E1297" t="s">
        <v>14</v>
      </c>
      <c r="F1297" t="s">
        <v>61</v>
      </c>
      <c r="G1297" t="s">
        <v>337</v>
      </c>
      <c r="H1297">
        <v>4</v>
      </c>
      <c r="I1297" s="1">
        <v>7648.56</v>
      </c>
      <c r="J1297" t="s">
        <v>17</v>
      </c>
      <c r="K1297" t="s">
        <v>18</v>
      </c>
      <c r="L1297" t="str" cm="1">
        <f t="array" ref="L1297">_xlfn.IFS(B1297&lt;30,"18-29",B1297&lt;45,"30-44",B1297&lt;60,"45-59",B1297&lt;75,"60-74",B1297&lt;=90,"75-90")</f>
        <v>45-59</v>
      </c>
      <c r="M1297" t="str">
        <f>IF(Table1[[#This Row],[length_of_stay_days]]&gt;7,"Yes","No")</f>
        <v>No</v>
      </c>
    </row>
    <row r="1298" spans="1:13" x14ac:dyDescent="0.3">
      <c r="A1298" t="s">
        <v>1697</v>
      </c>
      <c r="B1298">
        <v>46</v>
      </c>
      <c r="C1298" t="s">
        <v>12</v>
      </c>
      <c r="D1298" t="s">
        <v>32</v>
      </c>
      <c r="E1298" t="s">
        <v>14</v>
      </c>
      <c r="F1298" t="s">
        <v>327</v>
      </c>
      <c r="H1298">
        <v>5</v>
      </c>
      <c r="I1298" s="1">
        <v>13784.76</v>
      </c>
      <c r="J1298" t="s">
        <v>17</v>
      </c>
      <c r="K1298" t="s">
        <v>18</v>
      </c>
      <c r="L1298" t="str" cm="1">
        <f t="array" ref="L1298">_xlfn.IFS(B1298&lt;30,"18-29",B1298&lt;45,"30-44",B1298&lt;60,"45-59",B1298&lt;75,"60-74",B1298&lt;=90,"75-90")</f>
        <v>45-59</v>
      </c>
      <c r="M1298" t="str">
        <f>IF(Table1[[#This Row],[length_of_stay_days]]&gt;7,"Yes","No")</f>
        <v>No</v>
      </c>
    </row>
    <row r="1299" spans="1:13" x14ac:dyDescent="0.3">
      <c r="A1299" t="s">
        <v>1698</v>
      </c>
      <c r="B1299">
        <v>76</v>
      </c>
      <c r="C1299" t="s">
        <v>20</v>
      </c>
      <c r="D1299" t="s">
        <v>13</v>
      </c>
      <c r="E1299" t="s">
        <v>21</v>
      </c>
      <c r="F1299" t="s">
        <v>103</v>
      </c>
      <c r="G1299" t="s">
        <v>411</v>
      </c>
      <c r="H1299">
        <v>7</v>
      </c>
      <c r="I1299" s="1">
        <v>7019.94</v>
      </c>
      <c r="J1299" t="s">
        <v>17</v>
      </c>
      <c r="K1299" t="s">
        <v>18</v>
      </c>
      <c r="L1299" t="str" cm="1">
        <f t="array" ref="L1299">_xlfn.IFS(B1299&lt;30,"18-29",B1299&lt;45,"30-44",B1299&lt;60,"45-59",B1299&lt;75,"60-74",B1299&lt;=90,"75-90")</f>
        <v>75-90</v>
      </c>
      <c r="M1299" t="str">
        <f>IF(Table1[[#This Row],[length_of_stay_days]]&gt;7,"Yes","No")</f>
        <v>No</v>
      </c>
    </row>
    <row r="1300" spans="1:13" x14ac:dyDescent="0.3">
      <c r="A1300" t="s">
        <v>1699</v>
      </c>
      <c r="B1300">
        <v>19</v>
      </c>
      <c r="C1300" t="s">
        <v>12</v>
      </c>
      <c r="D1300" t="s">
        <v>32</v>
      </c>
      <c r="E1300" t="s">
        <v>28</v>
      </c>
      <c r="F1300" t="s">
        <v>467</v>
      </c>
      <c r="G1300" t="s">
        <v>225</v>
      </c>
      <c r="H1300">
        <v>4</v>
      </c>
      <c r="I1300" s="1">
        <v>10358.14</v>
      </c>
      <c r="J1300" t="s">
        <v>17</v>
      </c>
      <c r="K1300" t="s">
        <v>18</v>
      </c>
      <c r="L1300" t="str" cm="1">
        <f t="array" ref="L1300">_xlfn.IFS(B1300&lt;30,"18-29",B1300&lt;45,"30-44",B1300&lt;60,"45-59",B1300&lt;75,"60-74",B1300&lt;=90,"75-90")</f>
        <v>18-29</v>
      </c>
      <c r="M1300" t="str">
        <f>IF(Table1[[#This Row],[length_of_stay_days]]&gt;7,"Yes","No")</f>
        <v>No</v>
      </c>
    </row>
    <row r="1301" spans="1:13" x14ac:dyDescent="0.3">
      <c r="A1301" t="s">
        <v>1700</v>
      </c>
      <c r="B1301">
        <v>65</v>
      </c>
      <c r="C1301" t="s">
        <v>20</v>
      </c>
      <c r="D1301" t="s">
        <v>51</v>
      </c>
      <c r="E1301" t="s">
        <v>28</v>
      </c>
      <c r="F1301" t="s">
        <v>119</v>
      </c>
      <c r="G1301" t="s">
        <v>214</v>
      </c>
      <c r="H1301">
        <v>10</v>
      </c>
      <c r="I1301" s="1">
        <v>14636.45</v>
      </c>
      <c r="J1301" t="s">
        <v>17</v>
      </c>
      <c r="K1301" t="s">
        <v>18</v>
      </c>
      <c r="L1301" t="str" cm="1">
        <f t="array" ref="L1301">_xlfn.IFS(B1301&lt;30,"18-29",B1301&lt;45,"30-44",B1301&lt;60,"45-59",B1301&lt;75,"60-74",B1301&lt;=90,"75-90")</f>
        <v>60-74</v>
      </c>
      <c r="M1301" t="str">
        <f>IF(Table1[[#This Row],[length_of_stay_days]]&gt;7,"Yes","No")</f>
        <v>Yes</v>
      </c>
    </row>
    <row r="1302" spans="1:13" x14ac:dyDescent="0.3">
      <c r="A1302" t="s">
        <v>1701</v>
      </c>
      <c r="B1302">
        <v>79</v>
      </c>
      <c r="C1302" t="s">
        <v>12</v>
      </c>
      <c r="D1302" t="s">
        <v>32</v>
      </c>
      <c r="E1302" t="s">
        <v>21</v>
      </c>
      <c r="F1302" t="s">
        <v>130</v>
      </c>
      <c r="G1302" t="s">
        <v>271</v>
      </c>
      <c r="H1302">
        <v>6</v>
      </c>
      <c r="I1302" s="1">
        <v>11117.7</v>
      </c>
      <c r="J1302" t="s">
        <v>49</v>
      </c>
      <c r="K1302" t="s">
        <v>18</v>
      </c>
      <c r="L1302" t="str" cm="1">
        <f t="array" ref="L1302">_xlfn.IFS(B1302&lt;30,"18-29",B1302&lt;45,"30-44",B1302&lt;60,"45-59",B1302&lt;75,"60-74",B1302&lt;=90,"75-90")</f>
        <v>75-90</v>
      </c>
      <c r="M1302" t="str">
        <f>IF(Table1[[#This Row],[length_of_stay_days]]&gt;7,"Yes","No")</f>
        <v>No</v>
      </c>
    </row>
    <row r="1303" spans="1:13" x14ac:dyDescent="0.3">
      <c r="A1303" t="s">
        <v>1702</v>
      </c>
      <c r="B1303">
        <v>60</v>
      </c>
      <c r="C1303" t="s">
        <v>20</v>
      </c>
      <c r="D1303" t="s">
        <v>55</v>
      </c>
      <c r="E1303" t="s">
        <v>28</v>
      </c>
      <c r="F1303" t="s">
        <v>456</v>
      </c>
      <c r="G1303" t="s">
        <v>787</v>
      </c>
      <c r="H1303">
        <v>5</v>
      </c>
      <c r="I1303" s="1">
        <v>5165.2</v>
      </c>
      <c r="J1303" t="s">
        <v>17</v>
      </c>
      <c r="K1303" t="s">
        <v>18</v>
      </c>
      <c r="L1303" t="str" cm="1">
        <f t="array" ref="L1303">_xlfn.IFS(B1303&lt;30,"18-29",B1303&lt;45,"30-44",B1303&lt;60,"45-59",B1303&lt;75,"60-74",B1303&lt;=90,"75-90")</f>
        <v>60-74</v>
      </c>
      <c r="M1303" t="str">
        <f>IF(Table1[[#This Row],[length_of_stay_days]]&gt;7,"Yes","No")</f>
        <v>No</v>
      </c>
    </row>
    <row r="1304" spans="1:13" x14ac:dyDescent="0.3">
      <c r="A1304" t="s">
        <v>1703</v>
      </c>
      <c r="B1304">
        <v>22</v>
      </c>
      <c r="C1304" t="s">
        <v>12</v>
      </c>
      <c r="D1304" t="s">
        <v>55</v>
      </c>
      <c r="E1304" t="s">
        <v>28</v>
      </c>
      <c r="F1304" t="s">
        <v>496</v>
      </c>
      <c r="G1304" t="s">
        <v>966</v>
      </c>
      <c r="H1304">
        <v>7</v>
      </c>
      <c r="I1304" s="1">
        <v>9030.4500000000007</v>
      </c>
      <c r="J1304" t="s">
        <v>17</v>
      </c>
      <c r="K1304" t="s">
        <v>18</v>
      </c>
      <c r="L1304" t="str" cm="1">
        <f t="array" ref="L1304">_xlfn.IFS(B1304&lt;30,"18-29",B1304&lt;45,"30-44",B1304&lt;60,"45-59",B1304&lt;75,"60-74",B1304&lt;=90,"75-90")</f>
        <v>18-29</v>
      </c>
      <c r="M1304" t="str">
        <f>IF(Table1[[#This Row],[length_of_stay_days]]&gt;7,"Yes","No")</f>
        <v>No</v>
      </c>
    </row>
    <row r="1305" spans="1:13" x14ac:dyDescent="0.3">
      <c r="A1305" t="s">
        <v>1704</v>
      </c>
      <c r="B1305">
        <v>58</v>
      </c>
      <c r="C1305" t="s">
        <v>20</v>
      </c>
      <c r="D1305" t="s">
        <v>32</v>
      </c>
      <c r="E1305" t="s">
        <v>28</v>
      </c>
      <c r="F1305" t="s">
        <v>530</v>
      </c>
      <c r="G1305" t="s">
        <v>75</v>
      </c>
      <c r="H1305">
        <v>7</v>
      </c>
      <c r="I1305" s="1">
        <v>10016.85</v>
      </c>
      <c r="J1305" t="s">
        <v>49</v>
      </c>
      <c r="K1305" t="s">
        <v>18</v>
      </c>
      <c r="L1305" t="str" cm="1">
        <f t="array" ref="L1305">_xlfn.IFS(B1305&lt;30,"18-29",B1305&lt;45,"30-44",B1305&lt;60,"45-59",B1305&lt;75,"60-74",B1305&lt;=90,"75-90")</f>
        <v>45-59</v>
      </c>
      <c r="M1305" t="str">
        <f>IF(Table1[[#This Row],[length_of_stay_days]]&gt;7,"Yes","No")</f>
        <v>No</v>
      </c>
    </row>
    <row r="1306" spans="1:13" x14ac:dyDescent="0.3">
      <c r="A1306" t="s">
        <v>1705</v>
      </c>
      <c r="B1306">
        <v>18</v>
      </c>
      <c r="C1306" t="s">
        <v>20</v>
      </c>
      <c r="D1306" t="s">
        <v>13</v>
      </c>
      <c r="E1306" t="s">
        <v>14</v>
      </c>
      <c r="F1306" t="s">
        <v>184</v>
      </c>
      <c r="G1306" t="s">
        <v>837</v>
      </c>
      <c r="H1306">
        <v>7</v>
      </c>
      <c r="I1306" s="1">
        <v>8079.69</v>
      </c>
      <c r="J1306" t="s">
        <v>49</v>
      </c>
      <c r="K1306" t="s">
        <v>18</v>
      </c>
      <c r="L1306" t="str" cm="1">
        <f t="array" ref="L1306">_xlfn.IFS(B1306&lt;30,"18-29",B1306&lt;45,"30-44",B1306&lt;60,"45-59",B1306&lt;75,"60-74",B1306&lt;=90,"75-90")</f>
        <v>18-29</v>
      </c>
      <c r="M1306" t="str">
        <f>IF(Table1[[#This Row],[length_of_stay_days]]&gt;7,"Yes","No")</f>
        <v>No</v>
      </c>
    </row>
    <row r="1307" spans="1:13" x14ac:dyDescent="0.3">
      <c r="A1307" t="s">
        <v>1706</v>
      </c>
      <c r="B1307">
        <v>48</v>
      </c>
      <c r="C1307" t="s">
        <v>12</v>
      </c>
      <c r="D1307" t="s">
        <v>28</v>
      </c>
      <c r="E1307" t="s">
        <v>21</v>
      </c>
      <c r="F1307" t="s">
        <v>712</v>
      </c>
      <c r="G1307" t="s">
        <v>154</v>
      </c>
      <c r="H1307">
        <v>5</v>
      </c>
      <c r="I1307" s="1">
        <v>3971.42</v>
      </c>
      <c r="J1307" t="s">
        <v>17</v>
      </c>
      <c r="K1307" t="s">
        <v>18</v>
      </c>
      <c r="L1307" t="str" cm="1">
        <f t="array" ref="L1307">_xlfn.IFS(B1307&lt;30,"18-29",B1307&lt;45,"30-44",B1307&lt;60,"45-59",B1307&lt;75,"60-74",B1307&lt;=90,"75-90")</f>
        <v>45-59</v>
      </c>
      <c r="M1307" t="str">
        <f>IF(Table1[[#This Row],[length_of_stay_days]]&gt;7,"Yes","No")</f>
        <v>No</v>
      </c>
    </row>
    <row r="1308" spans="1:13" x14ac:dyDescent="0.3">
      <c r="A1308" t="s">
        <v>1707</v>
      </c>
      <c r="B1308">
        <v>79</v>
      </c>
      <c r="C1308" t="s">
        <v>20</v>
      </c>
      <c r="D1308" t="s">
        <v>55</v>
      </c>
      <c r="E1308" t="s">
        <v>14</v>
      </c>
      <c r="F1308" t="s">
        <v>478</v>
      </c>
      <c r="G1308" t="s">
        <v>268</v>
      </c>
      <c r="H1308">
        <v>5</v>
      </c>
      <c r="I1308" s="1">
        <v>8914.9500000000007</v>
      </c>
      <c r="J1308" t="s">
        <v>17</v>
      </c>
      <c r="K1308" t="s">
        <v>18</v>
      </c>
      <c r="L1308" t="str" cm="1">
        <f t="array" ref="L1308">_xlfn.IFS(B1308&lt;30,"18-29",B1308&lt;45,"30-44",B1308&lt;60,"45-59",B1308&lt;75,"60-74",B1308&lt;=90,"75-90")</f>
        <v>75-90</v>
      </c>
      <c r="M1308" t="str">
        <f>IF(Table1[[#This Row],[length_of_stay_days]]&gt;7,"Yes","No")</f>
        <v>No</v>
      </c>
    </row>
    <row r="1309" spans="1:13" x14ac:dyDescent="0.3">
      <c r="A1309" t="s">
        <v>1708</v>
      </c>
      <c r="B1309">
        <v>58</v>
      </c>
      <c r="C1309" t="s">
        <v>12</v>
      </c>
      <c r="D1309" t="s">
        <v>55</v>
      </c>
      <c r="E1309" t="s">
        <v>28</v>
      </c>
      <c r="F1309" t="s">
        <v>596</v>
      </c>
      <c r="G1309" t="s">
        <v>454</v>
      </c>
      <c r="H1309">
        <v>2</v>
      </c>
      <c r="I1309" s="1">
        <v>10717.91</v>
      </c>
      <c r="J1309" t="s">
        <v>17</v>
      </c>
      <c r="K1309" t="s">
        <v>18</v>
      </c>
      <c r="L1309" t="str" cm="1">
        <f t="array" ref="L1309">_xlfn.IFS(B1309&lt;30,"18-29",B1309&lt;45,"30-44",B1309&lt;60,"45-59",B1309&lt;75,"60-74",B1309&lt;=90,"75-90")</f>
        <v>45-59</v>
      </c>
      <c r="M1309" t="str">
        <f>IF(Table1[[#This Row],[length_of_stay_days]]&gt;7,"Yes","No")</f>
        <v>No</v>
      </c>
    </row>
    <row r="1310" spans="1:13" x14ac:dyDescent="0.3">
      <c r="A1310" t="s">
        <v>1709</v>
      </c>
      <c r="B1310">
        <v>32</v>
      </c>
      <c r="C1310" t="s">
        <v>12</v>
      </c>
      <c r="D1310" t="s">
        <v>51</v>
      </c>
      <c r="E1310" t="s">
        <v>28</v>
      </c>
      <c r="F1310" t="s">
        <v>96</v>
      </c>
      <c r="G1310" t="s">
        <v>144</v>
      </c>
      <c r="H1310">
        <v>5</v>
      </c>
      <c r="I1310" s="1">
        <v>12831.89</v>
      </c>
      <c r="J1310" t="s">
        <v>17</v>
      </c>
      <c r="K1310" t="s">
        <v>18</v>
      </c>
      <c r="L1310" t="str" cm="1">
        <f t="array" ref="L1310">_xlfn.IFS(B1310&lt;30,"18-29",B1310&lt;45,"30-44",B1310&lt;60,"45-59",B1310&lt;75,"60-74",B1310&lt;=90,"75-90")</f>
        <v>30-44</v>
      </c>
      <c r="M1310" t="str">
        <f>IF(Table1[[#This Row],[length_of_stay_days]]&gt;7,"Yes","No")</f>
        <v>No</v>
      </c>
    </row>
    <row r="1311" spans="1:13" x14ac:dyDescent="0.3">
      <c r="A1311" t="s">
        <v>1710</v>
      </c>
      <c r="B1311">
        <v>55</v>
      </c>
      <c r="C1311" t="s">
        <v>20</v>
      </c>
      <c r="D1311" t="s">
        <v>55</v>
      </c>
      <c r="E1311" t="s">
        <v>14</v>
      </c>
      <c r="F1311" t="s">
        <v>152</v>
      </c>
      <c r="G1311" t="s">
        <v>751</v>
      </c>
      <c r="H1311">
        <v>7</v>
      </c>
      <c r="I1311" s="1">
        <v>10198.34</v>
      </c>
      <c r="J1311" t="s">
        <v>17</v>
      </c>
      <c r="K1311" t="s">
        <v>18</v>
      </c>
      <c r="L1311" t="str" cm="1">
        <f t="array" ref="L1311">_xlfn.IFS(B1311&lt;30,"18-29",B1311&lt;45,"30-44",B1311&lt;60,"45-59",B1311&lt;75,"60-74",B1311&lt;=90,"75-90")</f>
        <v>45-59</v>
      </c>
      <c r="M1311" t="str">
        <f>IF(Table1[[#This Row],[length_of_stay_days]]&gt;7,"Yes","No")</f>
        <v>No</v>
      </c>
    </row>
    <row r="1312" spans="1:13" x14ac:dyDescent="0.3">
      <c r="A1312" t="s">
        <v>1711</v>
      </c>
      <c r="B1312">
        <v>35</v>
      </c>
      <c r="C1312" t="s">
        <v>20</v>
      </c>
      <c r="D1312" t="s">
        <v>28</v>
      </c>
      <c r="E1312" t="s">
        <v>28</v>
      </c>
      <c r="F1312" t="s">
        <v>295</v>
      </c>
      <c r="G1312" t="s">
        <v>296</v>
      </c>
      <c r="H1312">
        <v>5</v>
      </c>
      <c r="I1312" s="1">
        <v>4096.07</v>
      </c>
      <c r="J1312" t="s">
        <v>17</v>
      </c>
      <c r="K1312" t="s">
        <v>18</v>
      </c>
      <c r="L1312" t="str" cm="1">
        <f t="array" ref="L1312">_xlfn.IFS(B1312&lt;30,"18-29",B1312&lt;45,"30-44",B1312&lt;60,"45-59",B1312&lt;75,"60-74",B1312&lt;=90,"75-90")</f>
        <v>30-44</v>
      </c>
      <c r="M1312" t="str">
        <f>IF(Table1[[#This Row],[length_of_stay_days]]&gt;7,"Yes","No")</f>
        <v>No</v>
      </c>
    </row>
    <row r="1313" spans="1:13" x14ac:dyDescent="0.3">
      <c r="A1313" t="s">
        <v>1712</v>
      </c>
      <c r="B1313">
        <v>37</v>
      </c>
      <c r="C1313" t="s">
        <v>12</v>
      </c>
      <c r="D1313" t="s">
        <v>55</v>
      </c>
      <c r="E1313" t="s">
        <v>14</v>
      </c>
      <c r="F1313" t="s">
        <v>304</v>
      </c>
      <c r="G1313" t="s">
        <v>606</v>
      </c>
      <c r="H1313">
        <v>5</v>
      </c>
      <c r="I1313" s="1">
        <v>8044.23</v>
      </c>
      <c r="J1313" t="s">
        <v>17</v>
      </c>
      <c r="K1313" t="s">
        <v>18</v>
      </c>
      <c r="L1313" t="str" cm="1">
        <f t="array" ref="L1313">_xlfn.IFS(B1313&lt;30,"18-29",B1313&lt;45,"30-44",B1313&lt;60,"45-59",B1313&lt;75,"60-74",B1313&lt;=90,"75-90")</f>
        <v>30-44</v>
      </c>
      <c r="M1313" t="str">
        <f>IF(Table1[[#This Row],[length_of_stay_days]]&gt;7,"Yes","No")</f>
        <v>No</v>
      </c>
    </row>
    <row r="1314" spans="1:13" x14ac:dyDescent="0.3">
      <c r="A1314" t="s">
        <v>1713</v>
      </c>
      <c r="B1314">
        <v>81</v>
      </c>
      <c r="C1314" t="s">
        <v>20</v>
      </c>
      <c r="D1314" t="s">
        <v>51</v>
      </c>
      <c r="E1314" t="s">
        <v>14</v>
      </c>
      <c r="F1314" t="s">
        <v>33</v>
      </c>
      <c r="G1314" t="s">
        <v>425</v>
      </c>
      <c r="H1314">
        <v>7</v>
      </c>
      <c r="I1314" s="1">
        <v>10163.67</v>
      </c>
      <c r="J1314" t="s">
        <v>17</v>
      </c>
      <c r="K1314" t="s">
        <v>18</v>
      </c>
      <c r="L1314" t="str" cm="1">
        <f t="array" ref="L1314">_xlfn.IFS(B1314&lt;30,"18-29",B1314&lt;45,"30-44",B1314&lt;60,"45-59",B1314&lt;75,"60-74",B1314&lt;=90,"75-90")</f>
        <v>75-90</v>
      </c>
      <c r="M1314" t="str">
        <f>IF(Table1[[#This Row],[length_of_stay_days]]&gt;7,"Yes","No")</f>
        <v>No</v>
      </c>
    </row>
    <row r="1315" spans="1:13" x14ac:dyDescent="0.3">
      <c r="A1315" t="s">
        <v>1714</v>
      </c>
      <c r="B1315">
        <v>65</v>
      </c>
      <c r="C1315" t="s">
        <v>20</v>
      </c>
      <c r="D1315" t="s">
        <v>13</v>
      </c>
      <c r="E1315" t="s">
        <v>28</v>
      </c>
      <c r="F1315" t="s">
        <v>309</v>
      </c>
      <c r="G1315" t="s">
        <v>92</v>
      </c>
      <c r="H1315">
        <v>5</v>
      </c>
      <c r="I1315" s="1">
        <v>8357.36</v>
      </c>
      <c r="J1315" t="s">
        <v>17</v>
      </c>
      <c r="K1315" t="s">
        <v>18</v>
      </c>
      <c r="L1315" t="str" cm="1">
        <f t="array" ref="L1315">_xlfn.IFS(B1315&lt;30,"18-29",B1315&lt;45,"30-44",B1315&lt;60,"45-59",B1315&lt;75,"60-74",B1315&lt;=90,"75-90")</f>
        <v>60-74</v>
      </c>
      <c r="M1315" t="str">
        <f>IF(Table1[[#This Row],[length_of_stay_days]]&gt;7,"Yes","No")</f>
        <v>No</v>
      </c>
    </row>
    <row r="1316" spans="1:13" x14ac:dyDescent="0.3">
      <c r="A1316" t="s">
        <v>1715</v>
      </c>
      <c r="B1316">
        <v>76</v>
      </c>
      <c r="C1316" t="s">
        <v>20</v>
      </c>
      <c r="D1316" t="s">
        <v>32</v>
      </c>
      <c r="E1316" t="s">
        <v>14</v>
      </c>
      <c r="F1316" t="s">
        <v>189</v>
      </c>
      <c r="G1316" t="s">
        <v>141</v>
      </c>
      <c r="H1316">
        <v>5</v>
      </c>
      <c r="I1316" s="1">
        <v>8097.59</v>
      </c>
      <c r="J1316" t="s">
        <v>17</v>
      </c>
      <c r="K1316" t="s">
        <v>18</v>
      </c>
      <c r="L1316" t="str" cm="1">
        <f t="array" ref="L1316">_xlfn.IFS(B1316&lt;30,"18-29",B1316&lt;45,"30-44",B1316&lt;60,"45-59",B1316&lt;75,"60-74",B1316&lt;=90,"75-90")</f>
        <v>75-90</v>
      </c>
      <c r="M1316" t="str">
        <f>IF(Table1[[#This Row],[length_of_stay_days]]&gt;7,"Yes","No")</f>
        <v>No</v>
      </c>
    </row>
    <row r="1317" spans="1:13" x14ac:dyDescent="0.3">
      <c r="A1317" t="s">
        <v>1716</v>
      </c>
      <c r="B1317">
        <v>87</v>
      </c>
      <c r="C1317" t="s">
        <v>12</v>
      </c>
      <c r="D1317" t="s">
        <v>28</v>
      </c>
      <c r="E1317" t="s">
        <v>21</v>
      </c>
      <c r="F1317" t="s">
        <v>465</v>
      </c>
      <c r="G1317" t="s">
        <v>481</v>
      </c>
      <c r="H1317">
        <v>5</v>
      </c>
      <c r="I1317" s="1">
        <v>5366.75</v>
      </c>
      <c r="J1317" t="s">
        <v>17</v>
      </c>
      <c r="K1317" t="s">
        <v>18</v>
      </c>
      <c r="L1317" t="str" cm="1">
        <f t="array" ref="L1317">_xlfn.IFS(B1317&lt;30,"18-29",B1317&lt;45,"30-44",B1317&lt;60,"45-59",B1317&lt;75,"60-74",B1317&lt;=90,"75-90")</f>
        <v>75-90</v>
      </c>
      <c r="M1317" t="str">
        <f>IF(Table1[[#This Row],[length_of_stay_days]]&gt;7,"Yes","No")</f>
        <v>No</v>
      </c>
    </row>
    <row r="1318" spans="1:13" x14ac:dyDescent="0.3">
      <c r="A1318" t="s">
        <v>1717</v>
      </c>
      <c r="B1318">
        <v>26</v>
      </c>
      <c r="C1318" t="s">
        <v>12</v>
      </c>
      <c r="D1318" t="s">
        <v>13</v>
      </c>
      <c r="E1318" t="s">
        <v>28</v>
      </c>
      <c r="F1318" t="s">
        <v>454</v>
      </c>
      <c r="G1318" t="s">
        <v>558</v>
      </c>
      <c r="H1318">
        <v>6</v>
      </c>
      <c r="I1318" s="1">
        <v>8419.4500000000007</v>
      </c>
      <c r="J1318" t="s">
        <v>17</v>
      </c>
      <c r="K1318" t="s">
        <v>18</v>
      </c>
      <c r="L1318" t="str" cm="1">
        <f t="array" ref="L1318">_xlfn.IFS(B1318&lt;30,"18-29",B1318&lt;45,"30-44",B1318&lt;60,"45-59",B1318&lt;75,"60-74",B1318&lt;=90,"75-90")</f>
        <v>18-29</v>
      </c>
      <c r="M1318" t="str">
        <f>IF(Table1[[#This Row],[length_of_stay_days]]&gt;7,"Yes","No")</f>
        <v>No</v>
      </c>
    </row>
    <row r="1319" spans="1:13" x14ac:dyDescent="0.3">
      <c r="A1319" t="s">
        <v>1718</v>
      </c>
      <c r="B1319">
        <v>61</v>
      </c>
      <c r="C1319" t="s">
        <v>12</v>
      </c>
      <c r="D1319" t="s">
        <v>46</v>
      </c>
      <c r="E1319" t="s">
        <v>21</v>
      </c>
      <c r="F1319" t="s">
        <v>1181</v>
      </c>
      <c r="G1319" t="s">
        <v>623</v>
      </c>
      <c r="H1319">
        <v>10</v>
      </c>
      <c r="I1319" s="1">
        <v>16945.919999999998</v>
      </c>
      <c r="J1319" t="s">
        <v>17</v>
      </c>
      <c r="K1319" t="s">
        <v>18</v>
      </c>
      <c r="L1319" t="str" cm="1">
        <f t="array" ref="L1319">_xlfn.IFS(B1319&lt;30,"18-29",B1319&lt;45,"30-44",B1319&lt;60,"45-59",B1319&lt;75,"60-74",B1319&lt;=90,"75-90")</f>
        <v>60-74</v>
      </c>
      <c r="M1319" t="str">
        <f>IF(Table1[[#This Row],[length_of_stay_days]]&gt;7,"Yes","No")</f>
        <v>Yes</v>
      </c>
    </row>
    <row r="1320" spans="1:13" x14ac:dyDescent="0.3">
      <c r="A1320" t="s">
        <v>1719</v>
      </c>
      <c r="B1320">
        <v>23</v>
      </c>
      <c r="C1320" t="s">
        <v>12</v>
      </c>
      <c r="D1320" t="s">
        <v>55</v>
      </c>
      <c r="E1320" t="s">
        <v>21</v>
      </c>
      <c r="F1320" t="s">
        <v>491</v>
      </c>
      <c r="G1320" t="s">
        <v>112</v>
      </c>
      <c r="H1320">
        <v>8</v>
      </c>
      <c r="I1320" s="1">
        <v>13633.06</v>
      </c>
      <c r="J1320" t="s">
        <v>17</v>
      </c>
      <c r="K1320" t="s">
        <v>18</v>
      </c>
      <c r="L1320" t="str" cm="1">
        <f t="array" ref="L1320">_xlfn.IFS(B1320&lt;30,"18-29",B1320&lt;45,"30-44",B1320&lt;60,"45-59",B1320&lt;75,"60-74",B1320&lt;=90,"75-90")</f>
        <v>18-29</v>
      </c>
      <c r="M1320" t="str">
        <f>IF(Table1[[#This Row],[length_of_stay_days]]&gt;7,"Yes","No")</f>
        <v>Yes</v>
      </c>
    </row>
    <row r="1321" spans="1:13" x14ac:dyDescent="0.3">
      <c r="A1321" t="s">
        <v>1720</v>
      </c>
      <c r="B1321">
        <v>40</v>
      </c>
      <c r="C1321" t="s">
        <v>20</v>
      </c>
      <c r="D1321" t="s">
        <v>46</v>
      </c>
      <c r="E1321" t="s">
        <v>28</v>
      </c>
      <c r="F1321" t="s">
        <v>53</v>
      </c>
      <c r="G1321" t="s">
        <v>333</v>
      </c>
      <c r="H1321">
        <v>8</v>
      </c>
      <c r="I1321" s="1">
        <v>13100.95</v>
      </c>
      <c r="J1321" t="s">
        <v>17</v>
      </c>
      <c r="K1321" t="s">
        <v>18</v>
      </c>
      <c r="L1321" t="str" cm="1">
        <f t="array" ref="L1321">_xlfn.IFS(B1321&lt;30,"18-29",B1321&lt;45,"30-44",B1321&lt;60,"45-59",B1321&lt;75,"60-74",B1321&lt;=90,"75-90")</f>
        <v>30-44</v>
      </c>
      <c r="M1321" t="str">
        <f>IF(Table1[[#This Row],[length_of_stay_days]]&gt;7,"Yes","No")</f>
        <v>Yes</v>
      </c>
    </row>
    <row r="1322" spans="1:13" x14ac:dyDescent="0.3">
      <c r="A1322" t="s">
        <v>1721</v>
      </c>
      <c r="B1322">
        <v>22</v>
      </c>
      <c r="C1322" t="s">
        <v>12</v>
      </c>
      <c r="D1322" t="s">
        <v>13</v>
      </c>
      <c r="E1322" t="s">
        <v>21</v>
      </c>
      <c r="F1322" t="s">
        <v>352</v>
      </c>
      <c r="G1322" t="s">
        <v>87</v>
      </c>
      <c r="H1322">
        <v>7</v>
      </c>
      <c r="I1322" s="1">
        <v>9465.5499999999993</v>
      </c>
      <c r="J1322" t="s">
        <v>17</v>
      </c>
      <c r="K1322" t="s">
        <v>18</v>
      </c>
      <c r="L1322" t="str" cm="1">
        <f t="array" ref="L1322">_xlfn.IFS(B1322&lt;30,"18-29",B1322&lt;45,"30-44",B1322&lt;60,"45-59",B1322&lt;75,"60-74",B1322&lt;=90,"75-90")</f>
        <v>18-29</v>
      </c>
      <c r="M1322" t="str">
        <f>IF(Table1[[#This Row],[length_of_stay_days]]&gt;7,"Yes","No")</f>
        <v>No</v>
      </c>
    </row>
    <row r="1323" spans="1:13" x14ac:dyDescent="0.3">
      <c r="A1323" t="s">
        <v>1722</v>
      </c>
      <c r="B1323">
        <v>78</v>
      </c>
      <c r="C1323" t="s">
        <v>12</v>
      </c>
      <c r="D1323" t="s">
        <v>28</v>
      </c>
      <c r="E1323" t="s">
        <v>28</v>
      </c>
      <c r="F1323" t="s">
        <v>246</v>
      </c>
      <c r="G1323" t="s">
        <v>214</v>
      </c>
      <c r="H1323">
        <v>5</v>
      </c>
      <c r="I1323" s="1">
        <v>8167.52</v>
      </c>
      <c r="J1323" t="s">
        <v>17</v>
      </c>
      <c r="K1323" t="s">
        <v>18</v>
      </c>
      <c r="L1323" t="str" cm="1">
        <f t="array" ref="L1323">_xlfn.IFS(B1323&lt;30,"18-29",B1323&lt;45,"30-44",B1323&lt;60,"45-59",B1323&lt;75,"60-74",B1323&lt;=90,"75-90")</f>
        <v>75-90</v>
      </c>
      <c r="M1323" t="str">
        <f>IF(Table1[[#This Row],[length_of_stay_days]]&gt;7,"Yes","No")</f>
        <v>No</v>
      </c>
    </row>
    <row r="1324" spans="1:13" x14ac:dyDescent="0.3">
      <c r="A1324" t="s">
        <v>1723</v>
      </c>
      <c r="B1324">
        <v>60</v>
      </c>
      <c r="C1324" t="s">
        <v>20</v>
      </c>
      <c r="D1324" t="s">
        <v>28</v>
      </c>
      <c r="E1324" t="s">
        <v>14</v>
      </c>
      <c r="F1324" t="s">
        <v>807</v>
      </c>
      <c r="G1324" t="s">
        <v>239</v>
      </c>
      <c r="H1324">
        <v>2</v>
      </c>
      <c r="I1324" s="1">
        <v>6664.61</v>
      </c>
      <c r="J1324" t="s">
        <v>17</v>
      </c>
      <c r="K1324" t="s">
        <v>18</v>
      </c>
      <c r="L1324" t="str" cm="1">
        <f t="array" ref="L1324">_xlfn.IFS(B1324&lt;30,"18-29",B1324&lt;45,"30-44",B1324&lt;60,"45-59",B1324&lt;75,"60-74",B1324&lt;=90,"75-90")</f>
        <v>60-74</v>
      </c>
      <c r="M1324" t="str">
        <f>IF(Table1[[#This Row],[length_of_stay_days]]&gt;7,"Yes","No")</f>
        <v>No</v>
      </c>
    </row>
    <row r="1325" spans="1:13" x14ac:dyDescent="0.3">
      <c r="A1325" t="s">
        <v>1724</v>
      </c>
      <c r="B1325">
        <v>59</v>
      </c>
      <c r="C1325" t="s">
        <v>12</v>
      </c>
      <c r="D1325" t="s">
        <v>13</v>
      </c>
      <c r="E1325" t="s">
        <v>28</v>
      </c>
      <c r="F1325" t="s">
        <v>234</v>
      </c>
      <c r="G1325" t="s">
        <v>372</v>
      </c>
      <c r="H1325">
        <v>4</v>
      </c>
      <c r="I1325" s="1">
        <v>8050.43</v>
      </c>
      <c r="J1325" t="s">
        <v>17</v>
      </c>
      <c r="K1325" t="s">
        <v>18</v>
      </c>
      <c r="L1325" t="str" cm="1">
        <f t="array" ref="L1325">_xlfn.IFS(B1325&lt;30,"18-29",B1325&lt;45,"30-44",B1325&lt;60,"45-59",B1325&lt;75,"60-74",B1325&lt;=90,"75-90")</f>
        <v>45-59</v>
      </c>
      <c r="M1325" t="str">
        <f>IF(Table1[[#This Row],[length_of_stay_days]]&gt;7,"Yes","No")</f>
        <v>No</v>
      </c>
    </row>
    <row r="1326" spans="1:13" x14ac:dyDescent="0.3">
      <c r="A1326" t="s">
        <v>1725</v>
      </c>
      <c r="B1326">
        <v>51</v>
      </c>
      <c r="C1326" t="s">
        <v>12</v>
      </c>
      <c r="D1326" t="s">
        <v>55</v>
      </c>
      <c r="E1326" t="s">
        <v>21</v>
      </c>
      <c r="F1326" t="s">
        <v>258</v>
      </c>
      <c r="G1326" t="s">
        <v>22</v>
      </c>
      <c r="H1326">
        <v>9</v>
      </c>
      <c r="I1326" s="1">
        <v>11994.43</v>
      </c>
      <c r="J1326" t="s">
        <v>17</v>
      </c>
      <c r="K1326" t="s">
        <v>18</v>
      </c>
      <c r="L1326" t="str" cm="1">
        <f t="array" ref="L1326">_xlfn.IFS(B1326&lt;30,"18-29",B1326&lt;45,"30-44",B1326&lt;60,"45-59",B1326&lt;75,"60-74",B1326&lt;=90,"75-90")</f>
        <v>45-59</v>
      </c>
      <c r="M1326" t="str">
        <f>IF(Table1[[#This Row],[length_of_stay_days]]&gt;7,"Yes","No")</f>
        <v>Yes</v>
      </c>
    </row>
    <row r="1327" spans="1:13" x14ac:dyDescent="0.3">
      <c r="A1327" t="s">
        <v>1726</v>
      </c>
      <c r="B1327">
        <v>39</v>
      </c>
      <c r="C1327" t="s">
        <v>70</v>
      </c>
      <c r="D1327" t="s">
        <v>28</v>
      </c>
      <c r="E1327" t="s">
        <v>28</v>
      </c>
      <c r="F1327" t="s">
        <v>527</v>
      </c>
      <c r="G1327" t="s">
        <v>821</v>
      </c>
      <c r="H1327">
        <v>3</v>
      </c>
      <c r="I1327" s="1">
        <v>4767.37</v>
      </c>
      <c r="J1327" t="s">
        <v>17</v>
      </c>
      <c r="K1327" t="s">
        <v>18</v>
      </c>
      <c r="L1327" t="str" cm="1">
        <f t="array" ref="L1327">_xlfn.IFS(B1327&lt;30,"18-29",B1327&lt;45,"30-44",B1327&lt;60,"45-59",B1327&lt;75,"60-74",B1327&lt;=90,"75-90")</f>
        <v>30-44</v>
      </c>
      <c r="M1327" t="str">
        <f>IF(Table1[[#This Row],[length_of_stay_days]]&gt;7,"Yes","No")</f>
        <v>No</v>
      </c>
    </row>
    <row r="1328" spans="1:13" x14ac:dyDescent="0.3">
      <c r="A1328" t="s">
        <v>1727</v>
      </c>
      <c r="B1328">
        <v>43</v>
      </c>
      <c r="C1328" t="s">
        <v>20</v>
      </c>
      <c r="D1328" t="s">
        <v>46</v>
      </c>
      <c r="E1328" t="s">
        <v>21</v>
      </c>
      <c r="F1328" t="s">
        <v>746</v>
      </c>
      <c r="G1328" t="s">
        <v>453</v>
      </c>
      <c r="H1328">
        <v>9</v>
      </c>
      <c r="I1328" s="1">
        <v>14140.76</v>
      </c>
      <c r="J1328" t="s">
        <v>49</v>
      </c>
      <c r="K1328" t="s">
        <v>18</v>
      </c>
      <c r="L1328" t="str" cm="1">
        <f t="array" ref="L1328">_xlfn.IFS(B1328&lt;30,"18-29",B1328&lt;45,"30-44",B1328&lt;60,"45-59",B1328&lt;75,"60-74",B1328&lt;=90,"75-90")</f>
        <v>30-44</v>
      </c>
      <c r="M1328" t="str">
        <f>IF(Table1[[#This Row],[length_of_stay_days]]&gt;7,"Yes","No")</f>
        <v>Yes</v>
      </c>
    </row>
    <row r="1329" spans="1:13" x14ac:dyDescent="0.3">
      <c r="A1329" t="s">
        <v>1728</v>
      </c>
      <c r="B1329">
        <v>37</v>
      </c>
      <c r="C1329" t="s">
        <v>12</v>
      </c>
      <c r="D1329" t="s">
        <v>55</v>
      </c>
      <c r="E1329" t="s">
        <v>21</v>
      </c>
      <c r="F1329" t="s">
        <v>256</v>
      </c>
      <c r="G1329" t="s">
        <v>266</v>
      </c>
      <c r="H1329">
        <v>4</v>
      </c>
      <c r="I1329" s="1">
        <v>8986.4500000000007</v>
      </c>
      <c r="J1329" t="s">
        <v>17</v>
      </c>
      <c r="K1329" t="s">
        <v>18</v>
      </c>
      <c r="L1329" t="str" cm="1">
        <f t="array" ref="L1329">_xlfn.IFS(B1329&lt;30,"18-29",B1329&lt;45,"30-44",B1329&lt;60,"45-59",B1329&lt;75,"60-74",B1329&lt;=90,"75-90")</f>
        <v>30-44</v>
      </c>
      <c r="M1329" t="str">
        <f>IF(Table1[[#This Row],[length_of_stay_days]]&gt;7,"Yes","No")</f>
        <v>No</v>
      </c>
    </row>
    <row r="1330" spans="1:13" x14ac:dyDescent="0.3">
      <c r="A1330" t="s">
        <v>1729</v>
      </c>
      <c r="B1330">
        <v>50</v>
      </c>
      <c r="C1330" t="s">
        <v>20</v>
      </c>
      <c r="D1330" t="s">
        <v>28</v>
      </c>
      <c r="E1330" t="s">
        <v>21</v>
      </c>
      <c r="F1330" t="s">
        <v>447</v>
      </c>
      <c r="G1330" t="s">
        <v>67</v>
      </c>
      <c r="H1330">
        <v>4</v>
      </c>
      <c r="I1330" s="1">
        <v>3557.17</v>
      </c>
      <c r="J1330" t="s">
        <v>17</v>
      </c>
      <c r="K1330" t="s">
        <v>18</v>
      </c>
      <c r="L1330" t="str" cm="1">
        <f t="array" ref="L1330">_xlfn.IFS(B1330&lt;30,"18-29",B1330&lt;45,"30-44",B1330&lt;60,"45-59",B1330&lt;75,"60-74",B1330&lt;=90,"75-90")</f>
        <v>45-59</v>
      </c>
      <c r="M1330" t="str">
        <f>IF(Table1[[#This Row],[length_of_stay_days]]&gt;7,"Yes","No")</f>
        <v>No</v>
      </c>
    </row>
    <row r="1331" spans="1:13" x14ac:dyDescent="0.3">
      <c r="A1331" t="s">
        <v>1730</v>
      </c>
      <c r="B1331">
        <v>53</v>
      </c>
      <c r="C1331" t="s">
        <v>20</v>
      </c>
      <c r="D1331" t="s">
        <v>55</v>
      </c>
      <c r="E1331" t="s">
        <v>14</v>
      </c>
      <c r="F1331" t="s">
        <v>730</v>
      </c>
      <c r="G1331" t="s">
        <v>330</v>
      </c>
      <c r="H1331">
        <v>2</v>
      </c>
      <c r="I1331" s="1">
        <v>7130.65</v>
      </c>
      <c r="J1331" t="s">
        <v>17</v>
      </c>
      <c r="K1331" t="s">
        <v>18</v>
      </c>
      <c r="L1331" t="str" cm="1">
        <f t="array" ref="L1331">_xlfn.IFS(B1331&lt;30,"18-29",B1331&lt;45,"30-44",B1331&lt;60,"45-59",B1331&lt;75,"60-74",B1331&lt;=90,"75-90")</f>
        <v>45-59</v>
      </c>
      <c r="M1331" t="str">
        <f>IF(Table1[[#This Row],[length_of_stay_days]]&gt;7,"Yes","No")</f>
        <v>No</v>
      </c>
    </row>
    <row r="1332" spans="1:13" x14ac:dyDescent="0.3">
      <c r="A1332" t="s">
        <v>1731</v>
      </c>
      <c r="B1332">
        <v>33</v>
      </c>
      <c r="C1332" t="s">
        <v>20</v>
      </c>
      <c r="D1332" t="s">
        <v>28</v>
      </c>
      <c r="E1332" t="s">
        <v>28</v>
      </c>
      <c r="F1332" t="s">
        <v>205</v>
      </c>
      <c r="G1332" t="s">
        <v>127</v>
      </c>
      <c r="H1332">
        <v>4</v>
      </c>
      <c r="I1332" s="1">
        <v>5192.95</v>
      </c>
      <c r="J1332" t="s">
        <v>49</v>
      </c>
      <c r="K1332" t="s">
        <v>18</v>
      </c>
      <c r="L1332" t="str" cm="1">
        <f t="array" ref="L1332">_xlfn.IFS(B1332&lt;30,"18-29",B1332&lt;45,"30-44",B1332&lt;60,"45-59",B1332&lt;75,"60-74",B1332&lt;=90,"75-90")</f>
        <v>30-44</v>
      </c>
      <c r="M1332" t="str">
        <f>IF(Table1[[#This Row],[length_of_stay_days]]&gt;7,"Yes","No")</f>
        <v>No</v>
      </c>
    </row>
    <row r="1333" spans="1:13" x14ac:dyDescent="0.3">
      <c r="A1333" t="s">
        <v>1732</v>
      </c>
      <c r="B1333">
        <v>19</v>
      </c>
      <c r="C1333" t="s">
        <v>20</v>
      </c>
      <c r="D1333" t="s">
        <v>28</v>
      </c>
      <c r="E1333" t="s">
        <v>21</v>
      </c>
      <c r="F1333" t="s">
        <v>596</v>
      </c>
      <c r="G1333" t="s">
        <v>98</v>
      </c>
      <c r="H1333">
        <v>1</v>
      </c>
      <c r="I1333" s="1">
        <v>4995.96</v>
      </c>
      <c r="J1333" t="s">
        <v>17</v>
      </c>
      <c r="K1333" t="s">
        <v>18</v>
      </c>
      <c r="L1333" t="str" cm="1">
        <f t="array" ref="L1333">_xlfn.IFS(B1333&lt;30,"18-29",B1333&lt;45,"30-44",B1333&lt;60,"45-59",B1333&lt;75,"60-74",B1333&lt;=90,"75-90")</f>
        <v>18-29</v>
      </c>
      <c r="M1333" t="str">
        <f>IF(Table1[[#This Row],[length_of_stay_days]]&gt;7,"Yes","No")</f>
        <v>No</v>
      </c>
    </row>
    <row r="1334" spans="1:13" x14ac:dyDescent="0.3">
      <c r="A1334" t="s">
        <v>1733</v>
      </c>
      <c r="B1334">
        <v>75</v>
      </c>
      <c r="C1334" t="s">
        <v>12</v>
      </c>
      <c r="D1334" t="s">
        <v>13</v>
      </c>
      <c r="E1334" t="s">
        <v>14</v>
      </c>
      <c r="F1334" t="s">
        <v>320</v>
      </c>
      <c r="G1334" t="s">
        <v>312</v>
      </c>
      <c r="H1334">
        <v>3</v>
      </c>
      <c r="I1334" s="1">
        <v>5056.3599999999997</v>
      </c>
      <c r="J1334" t="s">
        <v>17</v>
      </c>
      <c r="K1334" t="s">
        <v>18</v>
      </c>
      <c r="L1334" t="str" cm="1">
        <f t="array" ref="L1334">_xlfn.IFS(B1334&lt;30,"18-29",B1334&lt;45,"30-44",B1334&lt;60,"45-59",B1334&lt;75,"60-74",B1334&lt;=90,"75-90")</f>
        <v>75-90</v>
      </c>
      <c r="M1334" t="str">
        <f>IF(Table1[[#This Row],[length_of_stay_days]]&gt;7,"Yes","No")</f>
        <v>No</v>
      </c>
    </row>
    <row r="1335" spans="1:13" x14ac:dyDescent="0.3">
      <c r="A1335" t="s">
        <v>1734</v>
      </c>
      <c r="B1335">
        <v>26</v>
      </c>
      <c r="C1335" t="s">
        <v>20</v>
      </c>
      <c r="D1335" t="s">
        <v>32</v>
      </c>
      <c r="E1335" t="s">
        <v>28</v>
      </c>
      <c r="F1335" t="s">
        <v>77</v>
      </c>
      <c r="G1335" t="s">
        <v>428</v>
      </c>
      <c r="H1335">
        <v>5</v>
      </c>
      <c r="I1335" s="1">
        <v>8467.5400000000009</v>
      </c>
      <c r="J1335" t="s">
        <v>49</v>
      </c>
      <c r="K1335" t="s">
        <v>18</v>
      </c>
      <c r="L1335" t="str" cm="1">
        <f t="array" ref="L1335">_xlfn.IFS(B1335&lt;30,"18-29",B1335&lt;45,"30-44",B1335&lt;60,"45-59",B1335&lt;75,"60-74",B1335&lt;=90,"75-90")</f>
        <v>18-29</v>
      </c>
      <c r="M1335" t="str">
        <f>IF(Table1[[#This Row],[length_of_stay_days]]&gt;7,"Yes","No")</f>
        <v>No</v>
      </c>
    </row>
    <row r="1336" spans="1:13" x14ac:dyDescent="0.3">
      <c r="A1336" t="s">
        <v>1735</v>
      </c>
      <c r="B1336">
        <v>64</v>
      </c>
      <c r="C1336" t="s">
        <v>20</v>
      </c>
      <c r="D1336" t="s">
        <v>51</v>
      </c>
      <c r="E1336" t="s">
        <v>14</v>
      </c>
      <c r="F1336" t="s">
        <v>90</v>
      </c>
      <c r="G1336" t="s">
        <v>99</v>
      </c>
      <c r="H1336">
        <v>8</v>
      </c>
      <c r="I1336" s="1">
        <v>13180.68</v>
      </c>
      <c r="J1336" t="s">
        <v>49</v>
      </c>
      <c r="K1336" t="s">
        <v>18</v>
      </c>
      <c r="L1336" t="str" cm="1">
        <f t="array" ref="L1336">_xlfn.IFS(B1336&lt;30,"18-29",B1336&lt;45,"30-44",B1336&lt;60,"45-59",B1336&lt;75,"60-74",B1336&lt;=90,"75-90")</f>
        <v>60-74</v>
      </c>
      <c r="M1336" t="str">
        <f>IF(Table1[[#This Row],[length_of_stay_days]]&gt;7,"Yes","No")</f>
        <v>Yes</v>
      </c>
    </row>
    <row r="1337" spans="1:13" x14ac:dyDescent="0.3">
      <c r="A1337" t="s">
        <v>1736</v>
      </c>
      <c r="B1337">
        <v>30</v>
      </c>
      <c r="C1337" t="s">
        <v>20</v>
      </c>
      <c r="D1337" t="s">
        <v>13</v>
      </c>
      <c r="E1337" t="s">
        <v>28</v>
      </c>
      <c r="F1337" t="s">
        <v>198</v>
      </c>
      <c r="G1337" t="s">
        <v>555</v>
      </c>
      <c r="H1337">
        <v>6</v>
      </c>
      <c r="I1337" s="1">
        <v>8205.99</v>
      </c>
      <c r="J1337" t="s">
        <v>17</v>
      </c>
      <c r="K1337" t="s">
        <v>18</v>
      </c>
      <c r="L1337" t="str" cm="1">
        <f t="array" ref="L1337">_xlfn.IFS(B1337&lt;30,"18-29",B1337&lt;45,"30-44",B1337&lt;60,"45-59",B1337&lt;75,"60-74",B1337&lt;=90,"75-90")</f>
        <v>30-44</v>
      </c>
      <c r="M1337" t="str">
        <f>IF(Table1[[#This Row],[length_of_stay_days]]&gt;7,"Yes","No")</f>
        <v>No</v>
      </c>
    </row>
    <row r="1338" spans="1:13" x14ac:dyDescent="0.3">
      <c r="A1338" t="s">
        <v>1737</v>
      </c>
      <c r="B1338">
        <v>36</v>
      </c>
      <c r="C1338" t="s">
        <v>70</v>
      </c>
      <c r="D1338" t="s">
        <v>46</v>
      </c>
      <c r="E1338" t="s">
        <v>21</v>
      </c>
      <c r="F1338" t="s">
        <v>421</v>
      </c>
      <c r="G1338" t="s">
        <v>207</v>
      </c>
      <c r="H1338">
        <v>7</v>
      </c>
      <c r="I1338" s="1">
        <v>15350.23</v>
      </c>
      <c r="J1338" t="s">
        <v>17</v>
      </c>
      <c r="K1338" t="s">
        <v>18</v>
      </c>
      <c r="L1338" t="str" cm="1">
        <f t="array" ref="L1338">_xlfn.IFS(B1338&lt;30,"18-29",B1338&lt;45,"30-44",B1338&lt;60,"45-59",B1338&lt;75,"60-74",B1338&lt;=90,"75-90")</f>
        <v>30-44</v>
      </c>
      <c r="M1338" t="str">
        <f>IF(Table1[[#This Row],[length_of_stay_days]]&gt;7,"Yes","No")</f>
        <v>No</v>
      </c>
    </row>
    <row r="1339" spans="1:13" x14ac:dyDescent="0.3">
      <c r="A1339" t="s">
        <v>1738</v>
      </c>
      <c r="B1339">
        <v>67</v>
      </c>
      <c r="C1339" t="s">
        <v>20</v>
      </c>
      <c r="D1339" t="s">
        <v>51</v>
      </c>
      <c r="E1339" t="s">
        <v>28</v>
      </c>
      <c r="F1339" t="s">
        <v>422</v>
      </c>
      <c r="G1339" t="s">
        <v>536</v>
      </c>
      <c r="H1339">
        <v>7</v>
      </c>
      <c r="I1339" s="1">
        <v>10623.08</v>
      </c>
      <c r="J1339" t="s">
        <v>49</v>
      </c>
      <c r="K1339" t="s">
        <v>18</v>
      </c>
      <c r="L1339" t="str" cm="1">
        <f t="array" ref="L1339">_xlfn.IFS(B1339&lt;30,"18-29",B1339&lt;45,"30-44",B1339&lt;60,"45-59",B1339&lt;75,"60-74",B1339&lt;=90,"75-90")</f>
        <v>60-74</v>
      </c>
      <c r="M1339" t="str">
        <f>IF(Table1[[#This Row],[length_of_stay_days]]&gt;7,"Yes","No")</f>
        <v>No</v>
      </c>
    </row>
    <row r="1340" spans="1:13" x14ac:dyDescent="0.3">
      <c r="A1340" t="s">
        <v>1739</v>
      </c>
      <c r="B1340">
        <v>37</v>
      </c>
      <c r="C1340" t="s">
        <v>12</v>
      </c>
      <c r="D1340" t="s">
        <v>55</v>
      </c>
      <c r="E1340" t="s">
        <v>14</v>
      </c>
      <c r="F1340" t="s">
        <v>465</v>
      </c>
      <c r="G1340" t="s">
        <v>447</v>
      </c>
      <c r="H1340">
        <v>4</v>
      </c>
      <c r="I1340" s="1">
        <v>9082.0400000000009</v>
      </c>
      <c r="J1340" t="s">
        <v>17</v>
      </c>
      <c r="K1340" t="s">
        <v>18</v>
      </c>
      <c r="L1340" t="str" cm="1">
        <f t="array" ref="L1340">_xlfn.IFS(B1340&lt;30,"18-29",B1340&lt;45,"30-44",B1340&lt;60,"45-59",B1340&lt;75,"60-74",B1340&lt;=90,"75-90")</f>
        <v>30-44</v>
      </c>
      <c r="M1340" t="str">
        <f>IF(Table1[[#This Row],[length_of_stay_days]]&gt;7,"Yes","No")</f>
        <v>No</v>
      </c>
    </row>
    <row r="1341" spans="1:13" x14ac:dyDescent="0.3">
      <c r="A1341" t="s">
        <v>1740</v>
      </c>
      <c r="B1341">
        <v>78</v>
      </c>
      <c r="C1341" t="s">
        <v>12</v>
      </c>
      <c r="D1341" t="s">
        <v>51</v>
      </c>
      <c r="E1341" t="s">
        <v>28</v>
      </c>
      <c r="F1341" t="s">
        <v>1338</v>
      </c>
      <c r="G1341" t="s">
        <v>212</v>
      </c>
      <c r="H1341">
        <v>5</v>
      </c>
      <c r="I1341" s="1">
        <v>10792.21</v>
      </c>
      <c r="J1341" t="s">
        <v>17</v>
      </c>
      <c r="K1341" t="s">
        <v>18</v>
      </c>
      <c r="L1341" t="str" cm="1">
        <f t="array" ref="L1341">_xlfn.IFS(B1341&lt;30,"18-29",B1341&lt;45,"30-44",B1341&lt;60,"45-59",B1341&lt;75,"60-74",B1341&lt;=90,"75-90")</f>
        <v>75-90</v>
      </c>
      <c r="M1341" t="str">
        <f>IF(Table1[[#This Row],[length_of_stay_days]]&gt;7,"Yes","No")</f>
        <v>No</v>
      </c>
    </row>
    <row r="1342" spans="1:13" x14ac:dyDescent="0.3">
      <c r="A1342" t="s">
        <v>1741</v>
      </c>
      <c r="B1342">
        <v>46</v>
      </c>
      <c r="C1342" t="s">
        <v>12</v>
      </c>
      <c r="D1342" t="s">
        <v>32</v>
      </c>
      <c r="E1342" t="s">
        <v>14</v>
      </c>
      <c r="F1342" t="s">
        <v>503</v>
      </c>
      <c r="G1342" t="s">
        <v>434</v>
      </c>
      <c r="H1342">
        <v>3</v>
      </c>
      <c r="I1342" s="1">
        <v>6947.11</v>
      </c>
      <c r="J1342" t="s">
        <v>17</v>
      </c>
      <c r="K1342" t="s">
        <v>18</v>
      </c>
      <c r="L1342" t="str" cm="1">
        <f t="array" ref="L1342">_xlfn.IFS(B1342&lt;30,"18-29",B1342&lt;45,"30-44",B1342&lt;60,"45-59",B1342&lt;75,"60-74",B1342&lt;=90,"75-90")</f>
        <v>45-59</v>
      </c>
      <c r="M1342" t="str">
        <f>IF(Table1[[#This Row],[length_of_stay_days]]&gt;7,"Yes","No")</f>
        <v>No</v>
      </c>
    </row>
    <row r="1343" spans="1:13" x14ac:dyDescent="0.3">
      <c r="A1343" t="s">
        <v>1742</v>
      </c>
      <c r="B1343">
        <v>90</v>
      </c>
      <c r="C1343" t="s">
        <v>20</v>
      </c>
      <c r="D1343" t="s">
        <v>13</v>
      </c>
      <c r="E1343" t="s">
        <v>28</v>
      </c>
      <c r="F1343" t="s">
        <v>778</v>
      </c>
      <c r="G1343" t="s">
        <v>975</v>
      </c>
      <c r="H1343">
        <v>5</v>
      </c>
      <c r="I1343" s="1">
        <v>6839.08</v>
      </c>
      <c r="J1343" t="s">
        <v>49</v>
      </c>
      <c r="K1343" t="s">
        <v>18</v>
      </c>
      <c r="L1343" t="str" cm="1">
        <f t="array" ref="L1343">_xlfn.IFS(B1343&lt;30,"18-29",B1343&lt;45,"30-44",B1343&lt;60,"45-59",B1343&lt;75,"60-74",B1343&lt;=90,"75-90")</f>
        <v>75-90</v>
      </c>
      <c r="M1343" t="str">
        <f>IF(Table1[[#This Row],[length_of_stay_days]]&gt;7,"Yes","No")</f>
        <v>No</v>
      </c>
    </row>
    <row r="1344" spans="1:13" x14ac:dyDescent="0.3">
      <c r="A1344" t="s">
        <v>1743</v>
      </c>
      <c r="B1344">
        <v>56</v>
      </c>
      <c r="C1344" t="s">
        <v>12</v>
      </c>
      <c r="D1344" t="s">
        <v>28</v>
      </c>
      <c r="E1344" t="s">
        <v>28</v>
      </c>
      <c r="F1344" t="s">
        <v>422</v>
      </c>
      <c r="G1344" t="s">
        <v>186</v>
      </c>
      <c r="H1344">
        <v>5</v>
      </c>
      <c r="I1344" s="1">
        <v>7467.76</v>
      </c>
      <c r="J1344" t="s">
        <v>17</v>
      </c>
      <c r="K1344" t="s">
        <v>18</v>
      </c>
      <c r="L1344" t="str" cm="1">
        <f t="array" ref="L1344">_xlfn.IFS(B1344&lt;30,"18-29",B1344&lt;45,"30-44",B1344&lt;60,"45-59",B1344&lt;75,"60-74",B1344&lt;=90,"75-90")</f>
        <v>45-59</v>
      </c>
      <c r="M1344" t="str">
        <f>IF(Table1[[#This Row],[length_of_stay_days]]&gt;7,"Yes","No")</f>
        <v>No</v>
      </c>
    </row>
    <row r="1345" spans="1:13" x14ac:dyDescent="0.3">
      <c r="A1345" t="s">
        <v>1744</v>
      </c>
      <c r="B1345">
        <v>88</v>
      </c>
      <c r="C1345" t="s">
        <v>20</v>
      </c>
      <c r="D1345" t="s">
        <v>46</v>
      </c>
      <c r="E1345" t="s">
        <v>14</v>
      </c>
      <c r="F1345" t="s">
        <v>111</v>
      </c>
      <c r="G1345" t="s">
        <v>151</v>
      </c>
      <c r="H1345">
        <v>4</v>
      </c>
      <c r="I1345" s="1">
        <v>11167.88</v>
      </c>
      <c r="J1345" t="s">
        <v>17</v>
      </c>
      <c r="K1345" t="s">
        <v>18</v>
      </c>
      <c r="L1345" t="str" cm="1">
        <f t="array" ref="L1345">_xlfn.IFS(B1345&lt;30,"18-29",B1345&lt;45,"30-44",B1345&lt;60,"45-59",B1345&lt;75,"60-74",B1345&lt;=90,"75-90")</f>
        <v>75-90</v>
      </c>
      <c r="M1345" t="str">
        <f>IF(Table1[[#This Row],[length_of_stay_days]]&gt;7,"Yes","No")</f>
        <v>No</v>
      </c>
    </row>
    <row r="1346" spans="1:13" x14ac:dyDescent="0.3">
      <c r="A1346" t="s">
        <v>1745</v>
      </c>
      <c r="B1346">
        <v>60</v>
      </c>
      <c r="C1346" t="s">
        <v>12</v>
      </c>
      <c r="D1346" t="s">
        <v>32</v>
      </c>
      <c r="E1346" t="s">
        <v>28</v>
      </c>
      <c r="F1346" t="s">
        <v>205</v>
      </c>
      <c r="G1346" t="s">
        <v>127</v>
      </c>
      <c r="H1346">
        <v>4</v>
      </c>
      <c r="I1346" s="1">
        <v>9234.94</v>
      </c>
      <c r="J1346" t="s">
        <v>49</v>
      </c>
      <c r="K1346" t="s">
        <v>18</v>
      </c>
      <c r="L1346" t="str" cm="1">
        <f t="array" ref="L1346">_xlfn.IFS(B1346&lt;30,"18-29",B1346&lt;45,"30-44",B1346&lt;60,"45-59",B1346&lt;75,"60-74",B1346&lt;=90,"75-90")</f>
        <v>60-74</v>
      </c>
      <c r="M1346" t="str">
        <f>IF(Table1[[#This Row],[length_of_stay_days]]&gt;7,"Yes","No")</f>
        <v>No</v>
      </c>
    </row>
    <row r="1347" spans="1:13" x14ac:dyDescent="0.3">
      <c r="A1347" t="s">
        <v>1746</v>
      </c>
      <c r="B1347">
        <v>77</v>
      </c>
      <c r="C1347" t="s">
        <v>20</v>
      </c>
      <c r="D1347" t="s">
        <v>13</v>
      </c>
      <c r="E1347" t="s">
        <v>21</v>
      </c>
      <c r="F1347" t="s">
        <v>658</v>
      </c>
      <c r="G1347" t="s">
        <v>504</v>
      </c>
      <c r="H1347">
        <v>9</v>
      </c>
      <c r="I1347" s="1">
        <v>9710.11</v>
      </c>
      <c r="J1347" t="s">
        <v>17</v>
      </c>
      <c r="K1347" t="s">
        <v>18</v>
      </c>
      <c r="L1347" t="str" cm="1">
        <f t="array" ref="L1347">_xlfn.IFS(B1347&lt;30,"18-29",B1347&lt;45,"30-44",B1347&lt;60,"45-59",B1347&lt;75,"60-74",B1347&lt;=90,"75-90")</f>
        <v>75-90</v>
      </c>
      <c r="M1347" t="str">
        <f>IF(Table1[[#This Row],[length_of_stay_days]]&gt;7,"Yes","No")</f>
        <v>Yes</v>
      </c>
    </row>
    <row r="1348" spans="1:13" x14ac:dyDescent="0.3">
      <c r="A1348" t="s">
        <v>1747</v>
      </c>
      <c r="B1348">
        <v>66</v>
      </c>
      <c r="C1348" t="s">
        <v>20</v>
      </c>
      <c r="D1348" t="s">
        <v>13</v>
      </c>
      <c r="E1348" t="s">
        <v>28</v>
      </c>
      <c r="F1348" t="s">
        <v>126</v>
      </c>
      <c r="G1348" t="s">
        <v>127</v>
      </c>
      <c r="H1348">
        <v>8</v>
      </c>
      <c r="I1348" s="1">
        <v>7649.45</v>
      </c>
      <c r="J1348" t="s">
        <v>49</v>
      </c>
      <c r="K1348" t="s">
        <v>18</v>
      </c>
      <c r="L1348" t="str" cm="1">
        <f t="array" ref="L1348">_xlfn.IFS(B1348&lt;30,"18-29",B1348&lt;45,"30-44",B1348&lt;60,"45-59",B1348&lt;75,"60-74",B1348&lt;=90,"75-90")</f>
        <v>60-74</v>
      </c>
      <c r="M1348" t="str">
        <f>IF(Table1[[#This Row],[length_of_stay_days]]&gt;7,"Yes","No")</f>
        <v>Yes</v>
      </c>
    </row>
    <row r="1349" spans="1:13" x14ac:dyDescent="0.3">
      <c r="A1349" t="s">
        <v>1748</v>
      </c>
      <c r="B1349">
        <v>80</v>
      </c>
      <c r="C1349" t="s">
        <v>12</v>
      </c>
      <c r="D1349" t="s">
        <v>55</v>
      </c>
      <c r="E1349" t="s">
        <v>28</v>
      </c>
      <c r="F1349" t="s">
        <v>837</v>
      </c>
      <c r="G1349" t="s">
        <v>701</v>
      </c>
      <c r="H1349">
        <v>10</v>
      </c>
      <c r="I1349" s="1">
        <v>13091.99</v>
      </c>
      <c r="J1349" t="s">
        <v>17</v>
      </c>
      <c r="K1349" t="s">
        <v>18</v>
      </c>
      <c r="L1349" t="str" cm="1">
        <f t="array" ref="L1349">_xlfn.IFS(B1349&lt;30,"18-29",B1349&lt;45,"30-44",B1349&lt;60,"45-59",B1349&lt;75,"60-74",B1349&lt;=90,"75-90")</f>
        <v>75-90</v>
      </c>
      <c r="M1349" t="str">
        <f>IF(Table1[[#This Row],[length_of_stay_days]]&gt;7,"Yes","No")</f>
        <v>Yes</v>
      </c>
    </row>
    <row r="1350" spans="1:13" x14ac:dyDescent="0.3">
      <c r="A1350" t="s">
        <v>1749</v>
      </c>
      <c r="B1350">
        <v>39</v>
      </c>
      <c r="C1350" t="s">
        <v>12</v>
      </c>
      <c r="D1350" t="s">
        <v>13</v>
      </c>
      <c r="E1350" t="s">
        <v>21</v>
      </c>
      <c r="F1350" t="s">
        <v>839</v>
      </c>
      <c r="G1350" t="s">
        <v>216</v>
      </c>
      <c r="H1350">
        <v>8</v>
      </c>
      <c r="I1350" s="1">
        <v>10271.280000000001</v>
      </c>
      <c r="J1350" t="s">
        <v>17</v>
      </c>
      <c r="K1350" t="s">
        <v>18</v>
      </c>
      <c r="L1350" t="str" cm="1">
        <f t="array" ref="L1350">_xlfn.IFS(B1350&lt;30,"18-29",B1350&lt;45,"30-44",B1350&lt;60,"45-59",B1350&lt;75,"60-74",B1350&lt;=90,"75-90")</f>
        <v>30-44</v>
      </c>
      <c r="M1350" t="str">
        <f>IF(Table1[[#This Row],[length_of_stay_days]]&gt;7,"Yes","No")</f>
        <v>Yes</v>
      </c>
    </row>
    <row r="1351" spans="1:13" x14ac:dyDescent="0.3">
      <c r="A1351" t="s">
        <v>1750</v>
      </c>
      <c r="B1351">
        <v>58</v>
      </c>
      <c r="C1351" t="s">
        <v>20</v>
      </c>
      <c r="D1351" t="s">
        <v>28</v>
      </c>
      <c r="E1351" t="s">
        <v>14</v>
      </c>
      <c r="F1351" t="s">
        <v>1160</v>
      </c>
      <c r="G1351" t="s">
        <v>575</v>
      </c>
      <c r="H1351">
        <v>6</v>
      </c>
      <c r="I1351" s="1">
        <v>9400.32</v>
      </c>
      <c r="J1351" t="s">
        <v>17</v>
      </c>
      <c r="K1351" t="s">
        <v>18</v>
      </c>
      <c r="L1351" t="str" cm="1">
        <f t="array" ref="L1351">_xlfn.IFS(B1351&lt;30,"18-29",B1351&lt;45,"30-44",B1351&lt;60,"45-59",B1351&lt;75,"60-74",B1351&lt;=90,"75-90")</f>
        <v>45-59</v>
      </c>
      <c r="M1351" t="str">
        <f>IF(Table1[[#This Row],[length_of_stay_days]]&gt;7,"Yes","No")</f>
        <v>No</v>
      </c>
    </row>
    <row r="1352" spans="1:13" x14ac:dyDescent="0.3">
      <c r="A1352" t="s">
        <v>1751</v>
      </c>
      <c r="B1352">
        <v>68</v>
      </c>
      <c r="C1352" t="s">
        <v>20</v>
      </c>
      <c r="D1352" t="s">
        <v>46</v>
      </c>
      <c r="E1352" t="s">
        <v>21</v>
      </c>
      <c r="F1352" t="s">
        <v>485</v>
      </c>
      <c r="G1352" t="s">
        <v>783</v>
      </c>
      <c r="H1352">
        <v>9</v>
      </c>
      <c r="I1352" s="1">
        <v>15638.98</v>
      </c>
      <c r="J1352" t="s">
        <v>17</v>
      </c>
      <c r="K1352" t="s">
        <v>18</v>
      </c>
      <c r="L1352" t="str" cm="1">
        <f t="array" ref="L1352">_xlfn.IFS(B1352&lt;30,"18-29",B1352&lt;45,"30-44",B1352&lt;60,"45-59",B1352&lt;75,"60-74",B1352&lt;=90,"75-90")</f>
        <v>60-74</v>
      </c>
      <c r="M1352" t="str">
        <f>IF(Table1[[#This Row],[length_of_stay_days]]&gt;7,"Yes","No")</f>
        <v>Yes</v>
      </c>
    </row>
    <row r="1353" spans="1:13" x14ac:dyDescent="0.3">
      <c r="A1353" t="s">
        <v>1752</v>
      </c>
      <c r="B1353">
        <v>36</v>
      </c>
      <c r="C1353" t="s">
        <v>20</v>
      </c>
      <c r="D1353" t="s">
        <v>32</v>
      </c>
      <c r="E1353" t="s">
        <v>28</v>
      </c>
      <c r="F1353" t="s">
        <v>422</v>
      </c>
      <c r="G1353" t="s">
        <v>783</v>
      </c>
      <c r="H1353">
        <v>6</v>
      </c>
      <c r="I1353" s="1">
        <v>10732.25</v>
      </c>
      <c r="J1353" t="s">
        <v>17</v>
      </c>
      <c r="K1353" t="s">
        <v>18</v>
      </c>
      <c r="L1353" t="str" cm="1">
        <f t="array" ref="L1353">_xlfn.IFS(B1353&lt;30,"18-29",B1353&lt;45,"30-44",B1353&lt;60,"45-59",B1353&lt;75,"60-74",B1353&lt;=90,"75-90")</f>
        <v>30-44</v>
      </c>
      <c r="M1353" t="str">
        <f>IF(Table1[[#This Row],[length_of_stay_days]]&gt;7,"Yes","No")</f>
        <v>No</v>
      </c>
    </row>
    <row r="1354" spans="1:13" x14ac:dyDescent="0.3">
      <c r="A1354" t="s">
        <v>1753</v>
      </c>
      <c r="B1354">
        <v>69</v>
      </c>
      <c r="C1354" t="s">
        <v>20</v>
      </c>
      <c r="D1354" t="s">
        <v>46</v>
      </c>
      <c r="E1354" t="s">
        <v>14</v>
      </c>
      <c r="F1354" t="s">
        <v>680</v>
      </c>
      <c r="G1354" t="s">
        <v>325</v>
      </c>
      <c r="H1354">
        <v>7</v>
      </c>
      <c r="I1354" s="1">
        <v>12870.39</v>
      </c>
      <c r="J1354" t="s">
        <v>17</v>
      </c>
      <c r="K1354" t="s">
        <v>18</v>
      </c>
      <c r="L1354" t="str" cm="1">
        <f t="array" ref="L1354">_xlfn.IFS(B1354&lt;30,"18-29",B1354&lt;45,"30-44",B1354&lt;60,"45-59",B1354&lt;75,"60-74",B1354&lt;=90,"75-90")</f>
        <v>60-74</v>
      </c>
      <c r="M1354" t="str">
        <f>IF(Table1[[#This Row],[length_of_stay_days]]&gt;7,"Yes","No")</f>
        <v>No</v>
      </c>
    </row>
    <row r="1355" spans="1:13" x14ac:dyDescent="0.3">
      <c r="A1355" t="s">
        <v>1754</v>
      </c>
      <c r="B1355">
        <v>30</v>
      </c>
      <c r="C1355" t="s">
        <v>20</v>
      </c>
      <c r="D1355" t="s">
        <v>28</v>
      </c>
      <c r="E1355" t="s">
        <v>28</v>
      </c>
      <c r="F1355" t="s">
        <v>52</v>
      </c>
      <c r="G1355" t="s">
        <v>210</v>
      </c>
      <c r="H1355">
        <v>4</v>
      </c>
      <c r="I1355" s="1">
        <v>9078.2900000000009</v>
      </c>
      <c r="J1355" t="s">
        <v>49</v>
      </c>
      <c r="K1355" t="s">
        <v>18</v>
      </c>
      <c r="L1355" t="str" cm="1">
        <f t="array" ref="L1355">_xlfn.IFS(B1355&lt;30,"18-29",B1355&lt;45,"30-44",B1355&lt;60,"45-59",B1355&lt;75,"60-74",B1355&lt;=90,"75-90")</f>
        <v>30-44</v>
      </c>
      <c r="M1355" t="str">
        <f>IF(Table1[[#This Row],[length_of_stay_days]]&gt;7,"Yes","No")</f>
        <v>No</v>
      </c>
    </row>
    <row r="1356" spans="1:13" x14ac:dyDescent="0.3">
      <c r="A1356" t="s">
        <v>1755</v>
      </c>
      <c r="B1356">
        <v>58</v>
      </c>
      <c r="C1356" t="s">
        <v>20</v>
      </c>
      <c r="D1356" t="s">
        <v>51</v>
      </c>
      <c r="E1356" t="s">
        <v>14</v>
      </c>
      <c r="F1356" t="s">
        <v>144</v>
      </c>
      <c r="G1356" t="s">
        <v>382</v>
      </c>
      <c r="H1356">
        <v>4</v>
      </c>
      <c r="I1356" s="1">
        <v>10049.530000000001</v>
      </c>
      <c r="J1356" t="s">
        <v>17</v>
      </c>
      <c r="K1356" t="s">
        <v>18</v>
      </c>
      <c r="L1356" t="str" cm="1">
        <f t="array" ref="L1356">_xlfn.IFS(B1356&lt;30,"18-29",B1356&lt;45,"30-44",B1356&lt;60,"45-59",B1356&lt;75,"60-74",B1356&lt;=90,"75-90")</f>
        <v>45-59</v>
      </c>
      <c r="M1356" t="str">
        <f>IF(Table1[[#This Row],[length_of_stay_days]]&gt;7,"Yes","No")</f>
        <v>No</v>
      </c>
    </row>
    <row r="1357" spans="1:13" x14ac:dyDescent="0.3">
      <c r="A1357" t="s">
        <v>1756</v>
      </c>
      <c r="B1357">
        <v>44</v>
      </c>
      <c r="C1357" t="s">
        <v>12</v>
      </c>
      <c r="D1357" t="s">
        <v>28</v>
      </c>
      <c r="E1357" t="s">
        <v>21</v>
      </c>
      <c r="F1357" t="s">
        <v>644</v>
      </c>
      <c r="G1357" t="s">
        <v>588</v>
      </c>
      <c r="H1357">
        <v>4</v>
      </c>
      <c r="I1357" s="1">
        <v>5266</v>
      </c>
      <c r="J1357" t="s">
        <v>17</v>
      </c>
      <c r="K1357" t="s">
        <v>18</v>
      </c>
      <c r="L1357" t="str" cm="1">
        <f t="array" ref="L1357">_xlfn.IFS(B1357&lt;30,"18-29",B1357&lt;45,"30-44",B1357&lt;60,"45-59",B1357&lt;75,"60-74",B1357&lt;=90,"75-90")</f>
        <v>30-44</v>
      </c>
      <c r="M1357" t="str">
        <f>IF(Table1[[#This Row],[length_of_stay_days]]&gt;7,"Yes","No")</f>
        <v>No</v>
      </c>
    </row>
    <row r="1358" spans="1:13" x14ac:dyDescent="0.3">
      <c r="A1358" t="s">
        <v>1757</v>
      </c>
      <c r="B1358">
        <v>20</v>
      </c>
      <c r="C1358" t="s">
        <v>20</v>
      </c>
      <c r="D1358" t="s">
        <v>51</v>
      </c>
      <c r="E1358" t="s">
        <v>28</v>
      </c>
      <c r="F1358" t="s">
        <v>212</v>
      </c>
      <c r="G1358" t="s">
        <v>588</v>
      </c>
      <c r="H1358">
        <v>7</v>
      </c>
      <c r="I1358" s="1">
        <v>10400.59</v>
      </c>
      <c r="J1358" t="s">
        <v>17</v>
      </c>
      <c r="K1358" t="s">
        <v>18</v>
      </c>
      <c r="L1358" t="str" cm="1">
        <f t="array" ref="L1358">_xlfn.IFS(B1358&lt;30,"18-29",B1358&lt;45,"30-44",B1358&lt;60,"45-59",B1358&lt;75,"60-74",B1358&lt;=90,"75-90")</f>
        <v>18-29</v>
      </c>
      <c r="M1358" t="str">
        <f>IF(Table1[[#This Row],[length_of_stay_days]]&gt;7,"Yes","No")</f>
        <v>No</v>
      </c>
    </row>
    <row r="1359" spans="1:13" x14ac:dyDescent="0.3">
      <c r="A1359" t="s">
        <v>1758</v>
      </c>
      <c r="B1359">
        <v>57</v>
      </c>
      <c r="C1359" t="s">
        <v>20</v>
      </c>
      <c r="D1359" t="s">
        <v>55</v>
      </c>
      <c r="E1359" t="s">
        <v>14</v>
      </c>
      <c r="F1359" t="s">
        <v>478</v>
      </c>
      <c r="G1359" t="s">
        <v>268</v>
      </c>
      <c r="H1359">
        <v>5</v>
      </c>
      <c r="I1359" s="1">
        <v>10524.23</v>
      </c>
      <c r="J1359" t="s">
        <v>17</v>
      </c>
      <c r="K1359" t="s">
        <v>18</v>
      </c>
      <c r="L1359" t="str" cm="1">
        <f t="array" ref="L1359">_xlfn.IFS(B1359&lt;30,"18-29",B1359&lt;45,"30-44",B1359&lt;60,"45-59",B1359&lt;75,"60-74",B1359&lt;=90,"75-90")</f>
        <v>45-59</v>
      </c>
      <c r="M1359" t="str">
        <f>IF(Table1[[#This Row],[length_of_stay_days]]&gt;7,"Yes","No")</f>
        <v>No</v>
      </c>
    </row>
    <row r="1360" spans="1:13" x14ac:dyDescent="0.3">
      <c r="A1360" t="s">
        <v>1759</v>
      </c>
      <c r="B1360">
        <v>27</v>
      </c>
      <c r="C1360" t="s">
        <v>12</v>
      </c>
      <c r="D1360" t="s">
        <v>46</v>
      </c>
      <c r="E1360" t="s">
        <v>28</v>
      </c>
      <c r="F1360" t="s">
        <v>177</v>
      </c>
      <c r="G1360" t="s">
        <v>59</v>
      </c>
      <c r="H1360">
        <v>4</v>
      </c>
      <c r="I1360" s="1">
        <v>11713.73</v>
      </c>
      <c r="J1360" t="s">
        <v>17</v>
      </c>
      <c r="K1360" t="s">
        <v>18</v>
      </c>
      <c r="L1360" t="str" cm="1">
        <f t="array" ref="L1360">_xlfn.IFS(B1360&lt;30,"18-29",B1360&lt;45,"30-44",B1360&lt;60,"45-59",B1360&lt;75,"60-74",B1360&lt;=90,"75-90")</f>
        <v>18-29</v>
      </c>
      <c r="M1360" t="str">
        <f>IF(Table1[[#This Row],[length_of_stay_days]]&gt;7,"Yes","No")</f>
        <v>No</v>
      </c>
    </row>
    <row r="1361" spans="1:13" x14ac:dyDescent="0.3">
      <c r="A1361" t="s">
        <v>1760</v>
      </c>
      <c r="B1361">
        <v>66</v>
      </c>
      <c r="C1361" t="s">
        <v>12</v>
      </c>
      <c r="D1361" t="s">
        <v>13</v>
      </c>
      <c r="E1361" t="s">
        <v>21</v>
      </c>
      <c r="F1361" t="s">
        <v>774</v>
      </c>
      <c r="G1361" t="s">
        <v>807</v>
      </c>
      <c r="H1361">
        <v>8</v>
      </c>
      <c r="I1361" s="1">
        <v>8154.93</v>
      </c>
      <c r="J1361" t="s">
        <v>17</v>
      </c>
      <c r="K1361" t="s">
        <v>18</v>
      </c>
      <c r="L1361" t="str" cm="1">
        <f t="array" ref="L1361">_xlfn.IFS(B1361&lt;30,"18-29",B1361&lt;45,"30-44",B1361&lt;60,"45-59",B1361&lt;75,"60-74",B1361&lt;=90,"75-90")</f>
        <v>60-74</v>
      </c>
      <c r="M1361" t="str">
        <f>IF(Table1[[#This Row],[length_of_stay_days]]&gt;7,"Yes","No")</f>
        <v>Yes</v>
      </c>
    </row>
    <row r="1362" spans="1:13" x14ac:dyDescent="0.3">
      <c r="A1362" t="s">
        <v>1761</v>
      </c>
      <c r="B1362">
        <v>18</v>
      </c>
      <c r="C1362" t="s">
        <v>12</v>
      </c>
      <c r="D1362" t="s">
        <v>55</v>
      </c>
      <c r="E1362" t="s">
        <v>14</v>
      </c>
      <c r="F1362" t="s">
        <v>255</v>
      </c>
      <c r="G1362" t="s">
        <v>537</v>
      </c>
      <c r="H1362">
        <v>3</v>
      </c>
      <c r="I1362" s="1">
        <v>7956.03</v>
      </c>
      <c r="J1362" t="s">
        <v>17</v>
      </c>
      <c r="K1362" t="s">
        <v>18</v>
      </c>
      <c r="L1362" t="str" cm="1">
        <f t="array" ref="L1362">_xlfn.IFS(B1362&lt;30,"18-29",B1362&lt;45,"30-44",B1362&lt;60,"45-59",B1362&lt;75,"60-74",B1362&lt;=90,"75-90")</f>
        <v>18-29</v>
      </c>
      <c r="M1362" t="str">
        <f>IF(Table1[[#This Row],[length_of_stay_days]]&gt;7,"Yes","No")</f>
        <v>No</v>
      </c>
    </row>
    <row r="1363" spans="1:13" x14ac:dyDescent="0.3">
      <c r="A1363" t="s">
        <v>1762</v>
      </c>
      <c r="B1363">
        <v>80</v>
      </c>
      <c r="C1363" t="s">
        <v>20</v>
      </c>
      <c r="D1363" t="s">
        <v>32</v>
      </c>
      <c r="E1363" t="s">
        <v>28</v>
      </c>
      <c r="F1363" t="s">
        <v>298</v>
      </c>
      <c r="G1363" t="s">
        <v>724</v>
      </c>
      <c r="H1363">
        <v>6</v>
      </c>
      <c r="I1363" s="1">
        <v>11536.33</v>
      </c>
      <c r="J1363" t="s">
        <v>17</v>
      </c>
      <c r="K1363" t="s">
        <v>18</v>
      </c>
      <c r="L1363" t="str" cm="1">
        <f t="array" ref="L1363">_xlfn.IFS(B1363&lt;30,"18-29",B1363&lt;45,"30-44",B1363&lt;60,"45-59",B1363&lt;75,"60-74",B1363&lt;=90,"75-90")</f>
        <v>75-90</v>
      </c>
      <c r="M1363" t="str">
        <f>IF(Table1[[#This Row],[length_of_stay_days]]&gt;7,"Yes","No")</f>
        <v>No</v>
      </c>
    </row>
    <row r="1364" spans="1:13" x14ac:dyDescent="0.3">
      <c r="A1364" t="s">
        <v>1763</v>
      </c>
      <c r="B1364">
        <v>34</v>
      </c>
      <c r="C1364" t="s">
        <v>70</v>
      </c>
      <c r="D1364" t="s">
        <v>55</v>
      </c>
      <c r="E1364" t="s">
        <v>14</v>
      </c>
      <c r="F1364" t="s">
        <v>255</v>
      </c>
      <c r="G1364" t="s">
        <v>286</v>
      </c>
      <c r="H1364">
        <v>6</v>
      </c>
      <c r="I1364" s="1">
        <v>10835.43</v>
      </c>
      <c r="J1364" t="s">
        <v>17</v>
      </c>
      <c r="K1364" t="s">
        <v>18</v>
      </c>
      <c r="L1364" t="str" cm="1">
        <f t="array" ref="L1364">_xlfn.IFS(B1364&lt;30,"18-29",B1364&lt;45,"30-44",B1364&lt;60,"45-59",B1364&lt;75,"60-74",B1364&lt;=90,"75-90")</f>
        <v>30-44</v>
      </c>
      <c r="M1364" t="str">
        <f>IF(Table1[[#This Row],[length_of_stay_days]]&gt;7,"Yes","No")</f>
        <v>No</v>
      </c>
    </row>
    <row r="1365" spans="1:13" x14ac:dyDescent="0.3">
      <c r="A1365" t="s">
        <v>1764</v>
      </c>
      <c r="B1365">
        <v>62</v>
      </c>
      <c r="C1365" t="s">
        <v>20</v>
      </c>
      <c r="D1365" t="s">
        <v>28</v>
      </c>
      <c r="E1365" t="s">
        <v>28</v>
      </c>
      <c r="F1365" t="s">
        <v>162</v>
      </c>
      <c r="G1365" t="s">
        <v>231</v>
      </c>
      <c r="H1365">
        <v>5</v>
      </c>
      <c r="I1365" s="1">
        <v>3987.85</v>
      </c>
      <c r="J1365" t="s">
        <v>17</v>
      </c>
      <c r="K1365" t="s">
        <v>18</v>
      </c>
      <c r="L1365" t="str" cm="1">
        <f t="array" ref="L1365">_xlfn.IFS(B1365&lt;30,"18-29",B1365&lt;45,"30-44",B1365&lt;60,"45-59",B1365&lt;75,"60-74",B1365&lt;=90,"75-90")</f>
        <v>60-74</v>
      </c>
      <c r="M1365" t="str">
        <f>IF(Table1[[#This Row],[length_of_stay_days]]&gt;7,"Yes","No")</f>
        <v>No</v>
      </c>
    </row>
    <row r="1366" spans="1:13" x14ac:dyDescent="0.3">
      <c r="A1366" t="s">
        <v>1765</v>
      </c>
      <c r="B1366">
        <v>58</v>
      </c>
      <c r="C1366" t="s">
        <v>20</v>
      </c>
      <c r="D1366" t="s">
        <v>13</v>
      </c>
      <c r="E1366" t="s">
        <v>28</v>
      </c>
      <c r="F1366" t="s">
        <v>555</v>
      </c>
      <c r="G1366" t="s">
        <v>72</v>
      </c>
      <c r="H1366">
        <v>8</v>
      </c>
      <c r="I1366" s="1">
        <v>8715.41</v>
      </c>
      <c r="J1366" t="s">
        <v>17</v>
      </c>
      <c r="K1366" t="s">
        <v>18</v>
      </c>
      <c r="L1366" t="str" cm="1">
        <f t="array" ref="L1366">_xlfn.IFS(B1366&lt;30,"18-29",B1366&lt;45,"30-44",B1366&lt;60,"45-59",B1366&lt;75,"60-74",B1366&lt;=90,"75-90")</f>
        <v>45-59</v>
      </c>
      <c r="M1366" t="str">
        <f>IF(Table1[[#This Row],[length_of_stay_days]]&gt;7,"Yes","No")</f>
        <v>Yes</v>
      </c>
    </row>
    <row r="1367" spans="1:13" x14ac:dyDescent="0.3">
      <c r="A1367" t="s">
        <v>1766</v>
      </c>
      <c r="B1367">
        <v>38</v>
      </c>
      <c r="C1367" t="s">
        <v>20</v>
      </c>
      <c r="D1367" t="s">
        <v>13</v>
      </c>
      <c r="E1367" t="s">
        <v>14</v>
      </c>
      <c r="F1367" t="s">
        <v>62</v>
      </c>
      <c r="G1367" t="s">
        <v>314</v>
      </c>
      <c r="H1367">
        <v>6</v>
      </c>
      <c r="I1367" s="1">
        <v>9045.81</v>
      </c>
      <c r="J1367" t="s">
        <v>17</v>
      </c>
      <c r="K1367" t="s">
        <v>18</v>
      </c>
      <c r="L1367" t="str" cm="1">
        <f t="array" ref="L1367">_xlfn.IFS(B1367&lt;30,"18-29",B1367&lt;45,"30-44",B1367&lt;60,"45-59",B1367&lt;75,"60-74",B1367&lt;=90,"75-90")</f>
        <v>30-44</v>
      </c>
      <c r="M1367" t="str">
        <f>IF(Table1[[#This Row],[length_of_stay_days]]&gt;7,"Yes","No")</f>
        <v>No</v>
      </c>
    </row>
    <row r="1368" spans="1:13" x14ac:dyDescent="0.3">
      <c r="A1368" t="s">
        <v>1767</v>
      </c>
      <c r="B1368">
        <v>28</v>
      </c>
      <c r="C1368" t="s">
        <v>12</v>
      </c>
      <c r="D1368" t="s">
        <v>13</v>
      </c>
      <c r="E1368" t="s">
        <v>28</v>
      </c>
      <c r="F1368" t="s">
        <v>43</v>
      </c>
      <c r="G1368" t="s">
        <v>371</v>
      </c>
      <c r="H1368">
        <v>6</v>
      </c>
      <c r="I1368" s="1">
        <v>7915.8</v>
      </c>
      <c r="J1368" t="s">
        <v>17</v>
      </c>
      <c r="K1368" t="s">
        <v>18</v>
      </c>
      <c r="L1368" t="str" cm="1">
        <f t="array" ref="L1368">_xlfn.IFS(B1368&lt;30,"18-29",B1368&lt;45,"30-44",B1368&lt;60,"45-59",B1368&lt;75,"60-74",B1368&lt;=90,"75-90")</f>
        <v>18-29</v>
      </c>
      <c r="M1368" t="str">
        <f>IF(Table1[[#This Row],[length_of_stay_days]]&gt;7,"Yes","No")</f>
        <v>No</v>
      </c>
    </row>
    <row r="1369" spans="1:13" x14ac:dyDescent="0.3">
      <c r="A1369" t="s">
        <v>1768</v>
      </c>
      <c r="B1369">
        <v>66</v>
      </c>
      <c r="C1369" t="s">
        <v>12</v>
      </c>
      <c r="D1369" t="s">
        <v>13</v>
      </c>
      <c r="E1369" t="s">
        <v>14</v>
      </c>
      <c r="F1369" t="s">
        <v>80</v>
      </c>
      <c r="G1369" t="s">
        <v>290</v>
      </c>
      <c r="H1369">
        <v>7</v>
      </c>
      <c r="I1369" s="1">
        <v>6333.97</v>
      </c>
      <c r="J1369" t="s">
        <v>17</v>
      </c>
      <c r="K1369" t="s">
        <v>18</v>
      </c>
      <c r="L1369" t="str" cm="1">
        <f t="array" ref="L1369">_xlfn.IFS(B1369&lt;30,"18-29",B1369&lt;45,"30-44",B1369&lt;60,"45-59",B1369&lt;75,"60-74",B1369&lt;=90,"75-90")</f>
        <v>60-74</v>
      </c>
      <c r="M1369" t="str">
        <f>IF(Table1[[#This Row],[length_of_stay_days]]&gt;7,"Yes","No")</f>
        <v>No</v>
      </c>
    </row>
    <row r="1370" spans="1:13" x14ac:dyDescent="0.3">
      <c r="A1370" t="s">
        <v>1769</v>
      </c>
      <c r="B1370">
        <v>75</v>
      </c>
      <c r="C1370" t="s">
        <v>12</v>
      </c>
      <c r="D1370" t="s">
        <v>28</v>
      </c>
      <c r="E1370" t="s">
        <v>21</v>
      </c>
      <c r="F1370" t="s">
        <v>148</v>
      </c>
      <c r="G1370" t="s">
        <v>184</v>
      </c>
      <c r="H1370">
        <v>2</v>
      </c>
      <c r="I1370" s="1">
        <v>6190.97</v>
      </c>
      <c r="J1370" t="s">
        <v>17</v>
      </c>
      <c r="K1370" t="s">
        <v>18</v>
      </c>
      <c r="L1370" t="str" cm="1">
        <f t="array" ref="L1370">_xlfn.IFS(B1370&lt;30,"18-29",B1370&lt;45,"30-44",B1370&lt;60,"45-59",B1370&lt;75,"60-74",B1370&lt;=90,"75-90")</f>
        <v>75-90</v>
      </c>
      <c r="M1370" t="str">
        <f>IF(Table1[[#This Row],[length_of_stay_days]]&gt;7,"Yes","No")</f>
        <v>No</v>
      </c>
    </row>
    <row r="1371" spans="1:13" x14ac:dyDescent="0.3">
      <c r="A1371" t="s">
        <v>1770</v>
      </c>
      <c r="B1371">
        <v>58</v>
      </c>
      <c r="C1371" t="s">
        <v>12</v>
      </c>
      <c r="D1371" t="s">
        <v>32</v>
      </c>
      <c r="E1371" t="s">
        <v>21</v>
      </c>
      <c r="F1371" t="s">
        <v>288</v>
      </c>
      <c r="G1371" t="s">
        <v>751</v>
      </c>
      <c r="H1371">
        <v>6</v>
      </c>
      <c r="I1371" s="1">
        <v>8597.81</v>
      </c>
      <c r="J1371" t="s">
        <v>17</v>
      </c>
      <c r="K1371" t="s">
        <v>18</v>
      </c>
      <c r="L1371" t="str" cm="1">
        <f t="array" ref="L1371">_xlfn.IFS(B1371&lt;30,"18-29",B1371&lt;45,"30-44",B1371&lt;60,"45-59",B1371&lt;75,"60-74",B1371&lt;=90,"75-90")</f>
        <v>45-59</v>
      </c>
      <c r="M1371" t="str">
        <f>IF(Table1[[#This Row],[length_of_stay_days]]&gt;7,"Yes","No")</f>
        <v>No</v>
      </c>
    </row>
    <row r="1372" spans="1:13" x14ac:dyDescent="0.3">
      <c r="A1372" t="s">
        <v>1771</v>
      </c>
      <c r="B1372">
        <v>59</v>
      </c>
      <c r="C1372" t="s">
        <v>12</v>
      </c>
      <c r="D1372" t="s">
        <v>13</v>
      </c>
      <c r="E1372" t="s">
        <v>28</v>
      </c>
      <c r="F1372" t="s">
        <v>309</v>
      </c>
      <c r="G1372" t="s">
        <v>299</v>
      </c>
      <c r="H1372">
        <v>3</v>
      </c>
      <c r="I1372" s="1">
        <v>5271.62</v>
      </c>
      <c r="J1372" t="s">
        <v>17</v>
      </c>
      <c r="K1372" t="s">
        <v>18</v>
      </c>
      <c r="L1372" t="str" cm="1">
        <f t="array" ref="L1372">_xlfn.IFS(B1372&lt;30,"18-29",B1372&lt;45,"30-44",B1372&lt;60,"45-59",B1372&lt;75,"60-74",B1372&lt;=90,"75-90")</f>
        <v>45-59</v>
      </c>
      <c r="M1372" t="str">
        <f>IF(Table1[[#This Row],[length_of_stay_days]]&gt;7,"Yes","No")</f>
        <v>No</v>
      </c>
    </row>
    <row r="1373" spans="1:13" x14ac:dyDescent="0.3">
      <c r="A1373" t="s">
        <v>1772</v>
      </c>
      <c r="B1373">
        <v>71</v>
      </c>
      <c r="C1373" t="s">
        <v>12</v>
      </c>
      <c r="D1373" t="s">
        <v>13</v>
      </c>
      <c r="E1373" t="s">
        <v>28</v>
      </c>
      <c r="F1373" t="s">
        <v>526</v>
      </c>
      <c r="G1373" t="s">
        <v>165</v>
      </c>
      <c r="H1373">
        <v>8</v>
      </c>
      <c r="I1373" s="1">
        <v>9688.27</v>
      </c>
      <c r="J1373" t="s">
        <v>17</v>
      </c>
      <c r="K1373" t="s">
        <v>18</v>
      </c>
      <c r="L1373" t="str" cm="1">
        <f t="array" ref="L1373">_xlfn.IFS(B1373&lt;30,"18-29",B1373&lt;45,"30-44",B1373&lt;60,"45-59",B1373&lt;75,"60-74",B1373&lt;=90,"75-90")</f>
        <v>60-74</v>
      </c>
      <c r="M1373" t="str">
        <f>IF(Table1[[#This Row],[length_of_stay_days]]&gt;7,"Yes","No")</f>
        <v>Yes</v>
      </c>
    </row>
    <row r="1374" spans="1:13" x14ac:dyDescent="0.3">
      <c r="A1374" t="s">
        <v>1773</v>
      </c>
      <c r="B1374">
        <v>54</v>
      </c>
      <c r="C1374" t="s">
        <v>20</v>
      </c>
      <c r="D1374" t="s">
        <v>32</v>
      </c>
      <c r="E1374" t="s">
        <v>14</v>
      </c>
      <c r="F1374" t="s">
        <v>656</v>
      </c>
      <c r="G1374" t="s">
        <v>778</v>
      </c>
      <c r="H1374">
        <v>6</v>
      </c>
      <c r="I1374" s="1">
        <v>10961.9</v>
      </c>
      <c r="J1374" t="s">
        <v>49</v>
      </c>
      <c r="K1374" t="s">
        <v>18</v>
      </c>
      <c r="L1374" t="str" cm="1">
        <f t="array" ref="L1374">_xlfn.IFS(B1374&lt;30,"18-29",B1374&lt;45,"30-44",B1374&lt;60,"45-59",B1374&lt;75,"60-74",B1374&lt;=90,"75-90")</f>
        <v>45-59</v>
      </c>
      <c r="M1374" t="str">
        <f>IF(Table1[[#This Row],[length_of_stay_days]]&gt;7,"Yes","No")</f>
        <v>No</v>
      </c>
    </row>
    <row r="1375" spans="1:13" x14ac:dyDescent="0.3">
      <c r="A1375" t="s">
        <v>1774</v>
      </c>
      <c r="B1375">
        <v>28</v>
      </c>
      <c r="C1375" t="s">
        <v>20</v>
      </c>
      <c r="D1375" t="s">
        <v>55</v>
      </c>
      <c r="E1375" t="s">
        <v>14</v>
      </c>
      <c r="F1375" t="s">
        <v>363</v>
      </c>
      <c r="G1375" t="s">
        <v>364</v>
      </c>
      <c r="H1375">
        <v>5</v>
      </c>
      <c r="I1375" s="1">
        <v>8433.52</v>
      </c>
      <c r="J1375" t="s">
        <v>17</v>
      </c>
      <c r="K1375" t="s">
        <v>18</v>
      </c>
      <c r="L1375" t="str" cm="1">
        <f t="array" ref="L1375">_xlfn.IFS(B1375&lt;30,"18-29",B1375&lt;45,"30-44",B1375&lt;60,"45-59",B1375&lt;75,"60-74",B1375&lt;=90,"75-90")</f>
        <v>18-29</v>
      </c>
      <c r="M1375" t="str">
        <f>IF(Table1[[#This Row],[length_of_stay_days]]&gt;7,"Yes","No")</f>
        <v>No</v>
      </c>
    </row>
    <row r="1376" spans="1:13" x14ac:dyDescent="0.3">
      <c r="A1376" t="s">
        <v>1775</v>
      </c>
      <c r="B1376">
        <v>80</v>
      </c>
      <c r="C1376" t="s">
        <v>12</v>
      </c>
      <c r="D1376" t="s">
        <v>46</v>
      </c>
      <c r="E1376" t="s">
        <v>14</v>
      </c>
      <c r="F1376" t="s">
        <v>481</v>
      </c>
      <c r="G1376" t="s">
        <v>241</v>
      </c>
      <c r="H1376">
        <v>4</v>
      </c>
      <c r="I1376" s="1">
        <v>11353.14</v>
      </c>
      <c r="J1376" t="s">
        <v>17</v>
      </c>
      <c r="K1376" t="s">
        <v>18</v>
      </c>
      <c r="L1376" t="str" cm="1">
        <f t="array" ref="L1376">_xlfn.IFS(B1376&lt;30,"18-29",B1376&lt;45,"30-44",B1376&lt;60,"45-59",B1376&lt;75,"60-74",B1376&lt;=90,"75-90")</f>
        <v>75-90</v>
      </c>
      <c r="M1376" t="str">
        <f>IF(Table1[[#This Row],[length_of_stay_days]]&gt;7,"Yes","No")</f>
        <v>No</v>
      </c>
    </row>
    <row r="1377" spans="1:13" x14ac:dyDescent="0.3">
      <c r="A1377" t="s">
        <v>1776</v>
      </c>
      <c r="B1377">
        <v>76</v>
      </c>
      <c r="C1377" t="s">
        <v>20</v>
      </c>
      <c r="D1377" t="s">
        <v>32</v>
      </c>
      <c r="E1377" t="s">
        <v>28</v>
      </c>
      <c r="F1377" t="s">
        <v>268</v>
      </c>
      <c r="G1377" t="s">
        <v>827</v>
      </c>
      <c r="H1377">
        <v>4</v>
      </c>
      <c r="I1377" s="1">
        <v>9310.19</v>
      </c>
      <c r="J1377" t="s">
        <v>17</v>
      </c>
      <c r="K1377" t="s">
        <v>18</v>
      </c>
      <c r="L1377" t="str" cm="1">
        <f t="array" ref="L1377">_xlfn.IFS(B1377&lt;30,"18-29",B1377&lt;45,"30-44",B1377&lt;60,"45-59",B1377&lt;75,"60-74",B1377&lt;=90,"75-90")</f>
        <v>75-90</v>
      </c>
      <c r="M1377" t="str">
        <f>IF(Table1[[#This Row],[length_of_stay_days]]&gt;7,"Yes","No")</f>
        <v>No</v>
      </c>
    </row>
    <row r="1378" spans="1:13" x14ac:dyDescent="0.3">
      <c r="A1378" t="s">
        <v>1777</v>
      </c>
      <c r="B1378">
        <v>28</v>
      </c>
      <c r="C1378" t="s">
        <v>12</v>
      </c>
      <c r="D1378" t="s">
        <v>51</v>
      </c>
      <c r="E1378" t="s">
        <v>21</v>
      </c>
      <c r="F1378" t="s">
        <v>171</v>
      </c>
      <c r="G1378" t="s">
        <v>205</v>
      </c>
      <c r="H1378">
        <v>6</v>
      </c>
      <c r="I1378" s="1">
        <v>10255.89</v>
      </c>
      <c r="J1378" t="s">
        <v>17</v>
      </c>
      <c r="K1378" t="s">
        <v>18</v>
      </c>
      <c r="L1378" t="str" cm="1">
        <f t="array" ref="L1378">_xlfn.IFS(B1378&lt;30,"18-29",B1378&lt;45,"30-44",B1378&lt;60,"45-59",B1378&lt;75,"60-74",B1378&lt;=90,"75-90")</f>
        <v>18-29</v>
      </c>
      <c r="M1378" t="str">
        <f>IF(Table1[[#This Row],[length_of_stay_days]]&gt;7,"Yes","No")</f>
        <v>No</v>
      </c>
    </row>
    <row r="1379" spans="1:13" x14ac:dyDescent="0.3">
      <c r="A1379" t="s">
        <v>1778</v>
      </c>
      <c r="B1379">
        <v>39</v>
      </c>
      <c r="C1379" t="s">
        <v>20</v>
      </c>
      <c r="D1379" t="s">
        <v>28</v>
      </c>
      <c r="E1379" t="s">
        <v>28</v>
      </c>
      <c r="F1379" t="s">
        <v>62</v>
      </c>
      <c r="G1379" t="s">
        <v>337</v>
      </c>
      <c r="H1379">
        <v>2</v>
      </c>
      <c r="I1379" s="1">
        <v>4412.22</v>
      </c>
      <c r="J1379" t="s">
        <v>17</v>
      </c>
      <c r="K1379" t="s">
        <v>18</v>
      </c>
      <c r="L1379" t="str" cm="1">
        <f t="array" ref="L1379">_xlfn.IFS(B1379&lt;30,"18-29",B1379&lt;45,"30-44",B1379&lt;60,"45-59",B1379&lt;75,"60-74",B1379&lt;=90,"75-90")</f>
        <v>30-44</v>
      </c>
      <c r="M1379" t="str">
        <f>IF(Table1[[#This Row],[length_of_stay_days]]&gt;7,"Yes","No")</f>
        <v>No</v>
      </c>
    </row>
    <row r="1380" spans="1:13" x14ac:dyDescent="0.3">
      <c r="A1380" t="s">
        <v>1779</v>
      </c>
      <c r="B1380">
        <v>57</v>
      </c>
      <c r="C1380" t="s">
        <v>20</v>
      </c>
      <c r="D1380" t="s">
        <v>28</v>
      </c>
      <c r="E1380" t="s">
        <v>28</v>
      </c>
      <c r="F1380" t="s">
        <v>72</v>
      </c>
      <c r="G1380" t="s">
        <v>678</v>
      </c>
      <c r="H1380">
        <v>2</v>
      </c>
      <c r="I1380" s="1">
        <v>3385</v>
      </c>
      <c r="J1380" t="s">
        <v>17</v>
      </c>
      <c r="K1380" t="s">
        <v>18</v>
      </c>
      <c r="L1380" t="str" cm="1">
        <f t="array" ref="L1380">_xlfn.IFS(B1380&lt;30,"18-29",B1380&lt;45,"30-44",B1380&lt;60,"45-59",B1380&lt;75,"60-74",B1380&lt;=90,"75-90")</f>
        <v>45-59</v>
      </c>
      <c r="M1380" t="str">
        <f>IF(Table1[[#This Row],[length_of_stay_days]]&gt;7,"Yes","No")</f>
        <v>No</v>
      </c>
    </row>
    <row r="1381" spans="1:13" x14ac:dyDescent="0.3">
      <c r="A1381" t="s">
        <v>1780</v>
      </c>
      <c r="B1381">
        <v>46</v>
      </c>
      <c r="C1381" t="s">
        <v>12</v>
      </c>
      <c r="D1381" t="s">
        <v>46</v>
      </c>
      <c r="E1381" t="s">
        <v>21</v>
      </c>
      <c r="F1381" t="s">
        <v>22</v>
      </c>
      <c r="G1381" t="s">
        <v>273</v>
      </c>
      <c r="H1381">
        <v>5</v>
      </c>
      <c r="I1381" s="1">
        <v>13673.67</v>
      </c>
      <c r="J1381" t="s">
        <v>17</v>
      </c>
      <c r="K1381" t="s">
        <v>18</v>
      </c>
      <c r="L1381" t="str" cm="1">
        <f t="array" ref="L1381">_xlfn.IFS(B1381&lt;30,"18-29",B1381&lt;45,"30-44",B1381&lt;60,"45-59",B1381&lt;75,"60-74",B1381&lt;=90,"75-90")</f>
        <v>45-59</v>
      </c>
      <c r="M1381" t="str">
        <f>IF(Table1[[#This Row],[length_of_stay_days]]&gt;7,"Yes","No")</f>
        <v>No</v>
      </c>
    </row>
    <row r="1382" spans="1:13" x14ac:dyDescent="0.3">
      <c r="A1382" t="s">
        <v>1781</v>
      </c>
      <c r="B1382">
        <v>50</v>
      </c>
      <c r="C1382" t="s">
        <v>20</v>
      </c>
      <c r="D1382" t="s">
        <v>55</v>
      </c>
      <c r="E1382" t="s">
        <v>14</v>
      </c>
      <c r="F1382" t="s">
        <v>328</v>
      </c>
      <c r="G1382" t="s">
        <v>112</v>
      </c>
      <c r="H1382">
        <v>7</v>
      </c>
      <c r="I1382" s="1">
        <v>12261.49</v>
      </c>
      <c r="J1382" t="s">
        <v>17</v>
      </c>
      <c r="K1382" t="s">
        <v>18</v>
      </c>
      <c r="L1382" t="str" cm="1">
        <f t="array" ref="L1382">_xlfn.IFS(B1382&lt;30,"18-29",B1382&lt;45,"30-44",B1382&lt;60,"45-59",B1382&lt;75,"60-74",B1382&lt;=90,"75-90")</f>
        <v>45-59</v>
      </c>
      <c r="M1382" t="str">
        <f>IF(Table1[[#This Row],[length_of_stay_days]]&gt;7,"Yes","No")</f>
        <v>No</v>
      </c>
    </row>
    <row r="1383" spans="1:13" x14ac:dyDescent="0.3">
      <c r="A1383" t="s">
        <v>1782</v>
      </c>
      <c r="B1383">
        <v>35</v>
      </c>
      <c r="C1383" t="s">
        <v>12</v>
      </c>
      <c r="D1383" t="s">
        <v>32</v>
      </c>
      <c r="E1383" t="s">
        <v>14</v>
      </c>
      <c r="F1383" t="s">
        <v>683</v>
      </c>
      <c r="G1383" t="s">
        <v>895</v>
      </c>
      <c r="H1383">
        <v>5</v>
      </c>
      <c r="I1383" s="1">
        <v>7864.81</v>
      </c>
      <c r="J1383" t="s">
        <v>17</v>
      </c>
      <c r="K1383" t="s">
        <v>18</v>
      </c>
      <c r="L1383" t="str" cm="1">
        <f t="array" ref="L1383">_xlfn.IFS(B1383&lt;30,"18-29",B1383&lt;45,"30-44",B1383&lt;60,"45-59",B1383&lt;75,"60-74",B1383&lt;=90,"75-90")</f>
        <v>30-44</v>
      </c>
      <c r="M1383" t="str">
        <f>IF(Table1[[#This Row],[length_of_stay_days]]&gt;7,"Yes","No")</f>
        <v>No</v>
      </c>
    </row>
    <row r="1384" spans="1:13" x14ac:dyDescent="0.3">
      <c r="A1384" t="s">
        <v>1783</v>
      </c>
      <c r="B1384">
        <v>51</v>
      </c>
      <c r="C1384" t="s">
        <v>20</v>
      </c>
      <c r="D1384" t="s">
        <v>51</v>
      </c>
      <c r="E1384" t="s">
        <v>14</v>
      </c>
      <c r="F1384" t="s">
        <v>266</v>
      </c>
      <c r="G1384" t="s">
        <v>295</v>
      </c>
      <c r="H1384">
        <v>5</v>
      </c>
      <c r="I1384" s="1">
        <v>12511.04</v>
      </c>
      <c r="J1384" t="s">
        <v>17</v>
      </c>
      <c r="K1384" t="s">
        <v>18</v>
      </c>
      <c r="L1384" t="str" cm="1">
        <f t="array" ref="L1384">_xlfn.IFS(B1384&lt;30,"18-29",B1384&lt;45,"30-44",B1384&lt;60,"45-59",B1384&lt;75,"60-74",B1384&lt;=90,"75-90")</f>
        <v>45-59</v>
      </c>
      <c r="M1384" t="str">
        <f>IF(Table1[[#This Row],[length_of_stay_days]]&gt;7,"Yes","No")</f>
        <v>No</v>
      </c>
    </row>
    <row r="1385" spans="1:13" x14ac:dyDescent="0.3">
      <c r="A1385" t="s">
        <v>1784</v>
      </c>
      <c r="B1385">
        <v>84</v>
      </c>
      <c r="C1385" t="s">
        <v>20</v>
      </c>
      <c r="D1385" t="s">
        <v>55</v>
      </c>
      <c r="E1385" t="s">
        <v>21</v>
      </c>
      <c r="F1385" t="s">
        <v>203</v>
      </c>
      <c r="G1385" t="s">
        <v>47</v>
      </c>
      <c r="H1385">
        <v>4</v>
      </c>
      <c r="I1385" s="1">
        <v>8448.44</v>
      </c>
      <c r="J1385" t="s">
        <v>17</v>
      </c>
      <c r="K1385" t="s">
        <v>18</v>
      </c>
      <c r="L1385" t="str" cm="1">
        <f t="array" ref="L1385">_xlfn.IFS(B1385&lt;30,"18-29",B1385&lt;45,"30-44",B1385&lt;60,"45-59",B1385&lt;75,"60-74",B1385&lt;=90,"75-90")</f>
        <v>75-90</v>
      </c>
      <c r="M1385" t="str">
        <f>IF(Table1[[#This Row],[length_of_stay_days]]&gt;7,"Yes","No")</f>
        <v>No</v>
      </c>
    </row>
    <row r="1386" spans="1:13" x14ac:dyDescent="0.3">
      <c r="A1386" t="s">
        <v>1785</v>
      </c>
      <c r="B1386">
        <v>66</v>
      </c>
      <c r="C1386" t="s">
        <v>12</v>
      </c>
      <c r="D1386" t="s">
        <v>28</v>
      </c>
      <c r="E1386" t="s">
        <v>28</v>
      </c>
      <c r="F1386" t="s">
        <v>422</v>
      </c>
      <c r="G1386" t="s">
        <v>536</v>
      </c>
      <c r="H1386">
        <v>7</v>
      </c>
      <c r="I1386" s="1">
        <v>7169.39</v>
      </c>
      <c r="J1386" t="s">
        <v>17</v>
      </c>
      <c r="K1386" t="s">
        <v>18</v>
      </c>
      <c r="L1386" t="str" cm="1">
        <f t="array" ref="L1386">_xlfn.IFS(B1386&lt;30,"18-29",B1386&lt;45,"30-44",B1386&lt;60,"45-59",B1386&lt;75,"60-74",B1386&lt;=90,"75-90")</f>
        <v>60-74</v>
      </c>
      <c r="M1386" t="str">
        <f>IF(Table1[[#This Row],[length_of_stay_days]]&gt;7,"Yes","No")</f>
        <v>No</v>
      </c>
    </row>
    <row r="1387" spans="1:13" x14ac:dyDescent="0.3">
      <c r="A1387" t="s">
        <v>1786</v>
      </c>
      <c r="B1387">
        <v>29</v>
      </c>
      <c r="C1387" t="s">
        <v>12</v>
      </c>
      <c r="D1387" t="s">
        <v>55</v>
      </c>
      <c r="E1387" t="s">
        <v>28</v>
      </c>
      <c r="F1387" t="s">
        <v>261</v>
      </c>
      <c r="G1387" t="s">
        <v>390</v>
      </c>
      <c r="H1387">
        <v>6</v>
      </c>
      <c r="I1387" s="1">
        <v>9885.81</v>
      </c>
      <c r="J1387" t="s">
        <v>17</v>
      </c>
      <c r="K1387" t="s">
        <v>18</v>
      </c>
      <c r="L1387" t="str" cm="1">
        <f t="array" ref="L1387">_xlfn.IFS(B1387&lt;30,"18-29",B1387&lt;45,"30-44",B1387&lt;60,"45-59",B1387&lt;75,"60-74",B1387&lt;=90,"75-90")</f>
        <v>18-29</v>
      </c>
      <c r="M1387" t="str">
        <f>IF(Table1[[#This Row],[length_of_stay_days]]&gt;7,"Yes","No")</f>
        <v>No</v>
      </c>
    </row>
    <row r="1388" spans="1:13" x14ac:dyDescent="0.3">
      <c r="A1388" t="s">
        <v>1787</v>
      </c>
      <c r="B1388">
        <v>61</v>
      </c>
      <c r="C1388" t="s">
        <v>12</v>
      </c>
      <c r="D1388" t="s">
        <v>32</v>
      </c>
      <c r="E1388" t="s">
        <v>28</v>
      </c>
      <c r="F1388" t="s">
        <v>228</v>
      </c>
      <c r="G1388" t="s">
        <v>366</v>
      </c>
      <c r="H1388">
        <v>9</v>
      </c>
      <c r="I1388" s="1">
        <v>13003.85</v>
      </c>
      <c r="J1388" t="s">
        <v>17</v>
      </c>
      <c r="K1388" t="s">
        <v>18</v>
      </c>
      <c r="L1388" t="str" cm="1">
        <f t="array" ref="L1388">_xlfn.IFS(B1388&lt;30,"18-29",B1388&lt;45,"30-44",B1388&lt;60,"45-59",B1388&lt;75,"60-74",B1388&lt;=90,"75-90")</f>
        <v>60-74</v>
      </c>
      <c r="M1388" t="str">
        <f>IF(Table1[[#This Row],[length_of_stay_days]]&gt;7,"Yes","No")</f>
        <v>Yes</v>
      </c>
    </row>
    <row r="1389" spans="1:13" x14ac:dyDescent="0.3">
      <c r="A1389" t="s">
        <v>1788</v>
      </c>
      <c r="B1389">
        <v>60</v>
      </c>
      <c r="C1389" t="s">
        <v>20</v>
      </c>
      <c r="D1389" t="s">
        <v>32</v>
      </c>
      <c r="E1389" t="s">
        <v>21</v>
      </c>
      <c r="F1389" t="s">
        <v>506</v>
      </c>
      <c r="G1389" t="s">
        <v>133</v>
      </c>
      <c r="H1389">
        <v>5</v>
      </c>
      <c r="I1389" s="1">
        <v>10045.82</v>
      </c>
      <c r="J1389" t="s">
        <v>17</v>
      </c>
      <c r="K1389" t="s">
        <v>18</v>
      </c>
      <c r="L1389" t="str" cm="1">
        <f t="array" ref="L1389">_xlfn.IFS(B1389&lt;30,"18-29",B1389&lt;45,"30-44",B1389&lt;60,"45-59",B1389&lt;75,"60-74",B1389&lt;=90,"75-90")</f>
        <v>60-74</v>
      </c>
      <c r="M1389" t="str">
        <f>IF(Table1[[#This Row],[length_of_stay_days]]&gt;7,"Yes","No")</f>
        <v>No</v>
      </c>
    </row>
    <row r="1390" spans="1:13" x14ac:dyDescent="0.3">
      <c r="A1390" t="s">
        <v>1789</v>
      </c>
      <c r="B1390">
        <v>90</v>
      </c>
      <c r="C1390" t="s">
        <v>12</v>
      </c>
      <c r="D1390" t="s">
        <v>32</v>
      </c>
      <c r="E1390" t="s">
        <v>28</v>
      </c>
      <c r="F1390" t="s">
        <v>158</v>
      </c>
      <c r="G1390" t="s">
        <v>184</v>
      </c>
      <c r="H1390">
        <v>3</v>
      </c>
      <c r="I1390" s="1">
        <v>9371.67</v>
      </c>
      <c r="J1390" t="s">
        <v>49</v>
      </c>
      <c r="K1390" t="s">
        <v>18</v>
      </c>
      <c r="L1390" t="str" cm="1">
        <f t="array" ref="L1390">_xlfn.IFS(B1390&lt;30,"18-29",B1390&lt;45,"30-44",B1390&lt;60,"45-59",B1390&lt;75,"60-74",B1390&lt;=90,"75-90")</f>
        <v>75-90</v>
      </c>
      <c r="M1390" t="str">
        <f>IF(Table1[[#This Row],[length_of_stay_days]]&gt;7,"Yes","No")</f>
        <v>No</v>
      </c>
    </row>
    <row r="1391" spans="1:13" x14ac:dyDescent="0.3">
      <c r="A1391" t="s">
        <v>1790</v>
      </c>
      <c r="B1391">
        <v>62</v>
      </c>
      <c r="C1391" t="s">
        <v>12</v>
      </c>
      <c r="D1391" t="s">
        <v>28</v>
      </c>
      <c r="E1391" t="s">
        <v>28</v>
      </c>
      <c r="F1391" t="s">
        <v>162</v>
      </c>
      <c r="G1391" t="s">
        <v>797</v>
      </c>
      <c r="H1391">
        <v>8</v>
      </c>
      <c r="I1391" s="1">
        <v>7052.62</v>
      </c>
      <c r="J1391" t="s">
        <v>17</v>
      </c>
      <c r="K1391" t="s">
        <v>18</v>
      </c>
      <c r="L1391" t="str" cm="1">
        <f t="array" ref="L1391">_xlfn.IFS(B1391&lt;30,"18-29",B1391&lt;45,"30-44",B1391&lt;60,"45-59",B1391&lt;75,"60-74",B1391&lt;=90,"75-90")</f>
        <v>60-74</v>
      </c>
      <c r="M1391" t="str">
        <f>IF(Table1[[#This Row],[length_of_stay_days]]&gt;7,"Yes","No")</f>
        <v>Yes</v>
      </c>
    </row>
    <row r="1392" spans="1:13" x14ac:dyDescent="0.3">
      <c r="A1392" t="s">
        <v>1791</v>
      </c>
      <c r="B1392">
        <v>31</v>
      </c>
      <c r="C1392" t="s">
        <v>12</v>
      </c>
      <c r="D1392" t="s">
        <v>46</v>
      </c>
      <c r="E1392" t="s">
        <v>28</v>
      </c>
      <c r="F1392" t="s">
        <v>180</v>
      </c>
      <c r="G1392" t="s">
        <v>689</v>
      </c>
      <c r="H1392">
        <v>6</v>
      </c>
      <c r="I1392" s="1">
        <v>13581.91</v>
      </c>
      <c r="J1392" t="s">
        <v>17</v>
      </c>
      <c r="K1392" t="s">
        <v>18</v>
      </c>
      <c r="L1392" t="str" cm="1">
        <f t="array" ref="L1392">_xlfn.IFS(B1392&lt;30,"18-29",B1392&lt;45,"30-44",B1392&lt;60,"45-59",B1392&lt;75,"60-74",B1392&lt;=90,"75-90")</f>
        <v>30-44</v>
      </c>
      <c r="M1392" t="str">
        <f>IF(Table1[[#This Row],[length_of_stay_days]]&gt;7,"Yes","No")</f>
        <v>No</v>
      </c>
    </row>
    <row r="1393" spans="1:13" x14ac:dyDescent="0.3">
      <c r="A1393" t="s">
        <v>1792</v>
      </c>
      <c r="B1393">
        <v>72</v>
      </c>
      <c r="C1393" t="s">
        <v>12</v>
      </c>
      <c r="D1393" t="s">
        <v>28</v>
      </c>
      <c r="E1393" t="s">
        <v>28</v>
      </c>
      <c r="F1393" t="s">
        <v>86</v>
      </c>
      <c r="G1393" t="s">
        <v>25</v>
      </c>
      <c r="H1393">
        <v>8</v>
      </c>
      <c r="I1393" s="1">
        <v>8604.7099999999991</v>
      </c>
      <c r="J1393" t="s">
        <v>17</v>
      </c>
      <c r="K1393" t="s">
        <v>18</v>
      </c>
      <c r="L1393" t="str" cm="1">
        <f t="array" ref="L1393">_xlfn.IFS(B1393&lt;30,"18-29",B1393&lt;45,"30-44",B1393&lt;60,"45-59",B1393&lt;75,"60-74",B1393&lt;=90,"75-90")</f>
        <v>60-74</v>
      </c>
      <c r="M1393" t="str">
        <f>IF(Table1[[#This Row],[length_of_stay_days]]&gt;7,"Yes","No")</f>
        <v>Yes</v>
      </c>
    </row>
    <row r="1394" spans="1:13" x14ac:dyDescent="0.3">
      <c r="A1394" t="s">
        <v>1793</v>
      </c>
      <c r="B1394">
        <v>85</v>
      </c>
      <c r="C1394" t="s">
        <v>12</v>
      </c>
      <c r="D1394" t="s">
        <v>46</v>
      </c>
      <c r="E1394" t="s">
        <v>21</v>
      </c>
      <c r="F1394" t="s">
        <v>259</v>
      </c>
      <c r="G1394" t="s">
        <v>92</v>
      </c>
      <c r="H1394">
        <v>11</v>
      </c>
      <c r="I1394" s="1">
        <v>15521.66</v>
      </c>
      <c r="J1394" t="s">
        <v>17</v>
      </c>
      <c r="K1394" t="s">
        <v>44</v>
      </c>
      <c r="L1394" t="str" cm="1">
        <f t="array" ref="L1394">_xlfn.IFS(B1394&lt;30,"18-29",B1394&lt;45,"30-44",B1394&lt;60,"45-59",B1394&lt;75,"60-74",B1394&lt;=90,"75-90")</f>
        <v>75-90</v>
      </c>
      <c r="M1394" t="str">
        <f>IF(Table1[[#This Row],[length_of_stay_days]]&gt;7,"Yes","No")</f>
        <v>Yes</v>
      </c>
    </row>
    <row r="1395" spans="1:13" x14ac:dyDescent="0.3">
      <c r="A1395" t="s">
        <v>1794</v>
      </c>
      <c r="B1395">
        <v>54</v>
      </c>
      <c r="C1395" t="s">
        <v>20</v>
      </c>
      <c r="D1395" t="s">
        <v>28</v>
      </c>
      <c r="E1395" t="s">
        <v>14</v>
      </c>
      <c r="F1395" t="s">
        <v>40</v>
      </c>
      <c r="G1395" t="s">
        <v>405</v>
      </c>
      <c r="H1395">
        <v>2</v>
      </c>
      <c r="I1395" s="1">
        <v>2984.16</v>
      </c>
      <c r="J1395" t="s">
        <v>17</v>
      </c>
      <c r="K1395" t="s">
        <v>18</v>
      </c>
      <c r="L1395" t="str" cm="1">
        <f t="array" ref="L1395">_xlfn.IFS(B1395&lt;30,"18-29",B1395&lt;45,"30-44",B1395&lt;60,"45-59",B1395&lt;75,"60-74",B1395&lt;=90,"75-90")</f>
        <v>45-59</v>
      </c>
      <c r="M1395" t="str">
        <f>IF(Table1[[#This Row],[length_of_stay_days]]&gt;7,"Yes","No")</f>
        <v>No</v>
      </c>
    </row>
    <row r="1396" spans="1:13" x14ac:dyDescent="0.3">
      <c r="A1396" t="s">
        <v>1795</v>
      </c>
      <c r="B1396">
        <v>68</v>
      </c>
      <c r="C1396" t="s">
        <v>20</v>
      </c>
      <c r="D1396" t="s">
        <v>32</v>
      </c>
      <c r="E1396" t="s">
        <v>28</v>
      </c>
      <c r="F1396" t="s">
        <v>408</v>
      </c>
      <c r="G1396" t="s">
        <v>555</v>
      </c>
      <c r="H1396">
        <v>9</v>
      </c>
      <c r="I1396" s="1">
        <v>13872.98</v>
      </c>
      <c r="J1396" t="s">
        <v>17</v>
      </c>
      <c r="K1396" t="s">
        <v>18</v>
      </c>
      <c r="L1396" t="str" cm="1">
        <f t="array" ref="L1396">_xlfn.IFS(B1396&lt;30,"18-29",B1396&lt;45,"30-44",B1396&lt;60,"45-59",B1396&lt;75,"60-74",B1396&lt;=90,"75-90")</f>
        <v>60-74</v>
      </c>
      <c r="M1396" t="str">
        <f>IF(Table1[[#This Row],[length_of_stay_days]]&gt;7,"Yes","No")</f>
        <v>Yes</v>
      </c>
    </row>
    <row r="1397" spans="1:13" x14ac:dyDescent="0.3">
      <c r="A1397" t="s">
        <v>1796</v>
      </c>
      <c r="B1397">
        <v>22</v>
      </c>
      <c r="C1397" t="s">
        <v>12</v>
      </c>
      <c r="D1397" t="s">
        <v>28</v>
      </c>
      <c r="E1397" t="s">
        <v>21</v>
      </c>
      <c r="F1397" t="s">
        <v>256</v>
      </c>
      <c r="G1397" t="s">
        <v>266</v>
      </c>
      <c r="H1397">
        <v>4</v>
      </c>
      <c r="I1397" s="1">
        <v>5055.78</v>
      </c>
      <c r="J1397" t="s">
        <v>17</v>
      </c>
      <c r="K1397" t="s">
        <v>18</v>
      </c>
      <c r="L1397" t="str" cm="1">
        <f t="array" ref="L1397">_xlfn.IFS(B1397&lt;30,"18-29",B1397&lt;45,"30-44",B1397&lt;60,"45-59",B1397&lt;75,"60-74",B1397&lt;=90,"75-90")</f>
        <v>18-29</v>
      </c>
      <c r="M1397" t="str">
        <f>IF(Table1[[#This Row],[length_of_stay_days]]&gt;7,"Yes","No")</f>
        <v>No</v>
      </c>
    </row>
    <row r="1398" spans="1:13" x14ac:dyDescent="0.3">
      <c r="A1398" t="s">
        <v>1797</v>
      </c>
      <c r="B1398">
        <v>18</v>
      </c>
      <c r="C1398" t="s">
        <v>12</v>
      </c>
      <c r="D1398" t="s">
        <v>51</v>
      </c>
      <c r="E1398" t="s">
        <v>21</v>
      </c>
      <c r="F1398" t="s">
        <v>606</v>
      </c>
      <c r="G1398" t="s">
        <v>364</v>
      </c>
      <c r="H1398">
        <v>2</v>
      </c>
      <c r="I1398" s="1">
        <v>8677.52</v>
      </c>
      <c r="J1398" t="s">
        <v>17</v>
      </c>
      <c r="K1398" t="s">
        <v>18</v>
      </c>
      <c r="L1398" t="str" cm="1">
        <f t="array" ref="L1398">_xlfn.IFS(B1398&lt;30,"18-29",B1398&lt;45,"30-44",B1398&lt;60,"45-59",B1398&lt;75,"60-74",B1398&lt;=90,"75-90")</f>
        <v>18-29</v>
      </c>
      <c r="M1398" t="str">
        <f>IF(Table1[[#This Row],[length_of_stay_days]]&gt;7,"Yes","No")</f>
        <v>No</v>
      </c>
    </row>
    <row r="1399" spans="1:13" x14ac:dyDescent="0.3">
      <c r="A1399" t="s">
        <v>1798</v>
      </c>
      <c r="B1399">
        <v>41</v>
      </c>
      <c r="C1399" t="s">
        <v>12</v>
      </c>
      <c r="D1399" t="s">
        <v>55</v>
      </c>
      <c r="E1399" t="s">
        <v>14</v>
      </c>
      <c r="F1399" t="s">
        <v>280</v>
      </c>
      <c r="G1399" t="s">
        <v>335</v>
      </c>
      <c r="H1399">
        <v>3</v>
      </c>
      <c r="I1399" s="1">
        <v>10449.23</v>
      </c>
      <c r="J1399" t="s">
        <v>17</v>
      </c>
      <c r="K1399" t="s">
        <v>44</v>
      </c>
      <c r="L1399" t="str" cm="1">
        <f t="array" ref="L1399">_xlfn.IFS(B1399&lt;30,"18-29",B1399&lt;45,"30-44",B1399&lt;60,"45-59",B1399&lt;75,"60-74",B1399&lt;=90,"75-90")</f>
        <v>30-44</v>
      </c>
      <c r="M1399" t="str">
        <f>IF(Table1[[#This Row],[length_of_stay_days]]&gt;7,"Yes","No")</f>
        <v>No</v>
      </c>
    </row>
    <row r="1400" spans="1:13" x14ac:dyDescent="0.3">
      <c r="A1400" t="s">
        <v>1799</v>
      </c>
      <c r="B1400">
        <v>60</v>
      </c>
      <c r="C1400" t="s">
        <v>20</v>
      </c>
      <c r="D1400" t="s">
        <v>28</v>
      </c>
      <c r="E1400" t="s">
        <v>14</v>
      </c>
      <c r="F1400" t="s">
        <v>250</v>
      </c>
      <c r="G1400" t="s">
        <v>778</v>
      </c>
      <c r="H1400">
        <v>5</v>
      </c>
      <c r="I1400" s="1">
        <v>5295.96</v>
      </c>
      <c r="J1400" t="s">
        <v>17</v>
      </c>
      <c r="K1400" t="s">
        <v>44</v>
      </c>
      <c r="L1400" t="str" cm="1">
        <f t="array" ref="L1400">_xlfn.IFS(B1400&lt;30,"18-29",B1400&lt;45,"30-44",B1400&lt;60,"45-59",B1400&lt;75,"60-74",B1400&lt;=90,"75-90")</f>
        <v>60-74</v>
      </c>
      <c r="M1400" t="str">
        <f>IF(Table1[[#This Row],[length_of_stay_days]]&gt;7,"Yes","No")</f>
        <v>No</v>
      </c>
    </row>
    <row r="1401" spans="1:13" x14ac:dyDescent="0.3">
      <c r="A1401" t="s">
        <v>1800</v>
      </c>
      <c r="B1401">
        <v>69</v>
      </c>
      <c r="C1401" t="s">
        <v>70</v>
      </c>
      <c r="D1401" t="s">
        <v>28</v>
      </c>
      <c r="E1401" t="s">
        <v>28</v>
      </c>
      <c r="F1401" t="s">
        <v>195</v>
      </c>
      <c r="G1401" t="s">
        <v>119</v>
      </c>
      <c r="H1401">
        <v>8</v>
      </c>
      <c r="I1401" s="1">
        <v>10318.82</v>
      </c>
      <c r="J1401" t="s">
        <v>49</v>
      </c>
      <c r="K1401" t="s">
        <v>18</v>
      </c>
      <c r="L1401" t="str" cm="1">
        <f t="array" ref="L1401">_xlfn.IFS(B1401&lt;30,"18-29",B1401&lt;45,"30-44",B1401&lt;60,"45-59",B1401&lt;75,"60-74",B1401&lt;=90,"75-90")</f>
        <v>60-74</v>
      </c>
      <c r="M1401" t="str">
        <f>IF(Table1[[#This Row],[length_of_stay_days]]&gt;7,"Yes","No")</f>
        <v>Yes</v>
      </c>
    </row>
    <row r="1402" spans="1:13" x14ac:dyDescent="0.3">
      <c r="A1402" t="s">
        <v>1801</v>
      </c>
      <c r="B1402">
        <v>90</v>
      </c>
      <c r="C1402" t="s">
        <v>12</v>
      </c>
      <c r="D1402" t="s">
        <v>46</v>
      </c>
      <c r="E1402" t="s">
        <v>28</v>
      </c>
      <c r="F1402" t="s">
        <v>390</v>
      </c>
      <c r="G1402" t="s">
        <v>849</v>
      </c>
      <c r="H1402">
        <v>8</v>
      </c>
      <c r="I1402" s="1">
        <v>15443.41</v>
      </c>
      <c r="J1402" t="s">
        <v>49</v>
      </c>
      <c r="K1402" t="s">
        <v>18</v>
      </c>
      <c r="L1402" t="str" cm="1">
        <f t="array" ref="L1402">_xlfn.IFS(B1402&lt;30,"18-29",B1402&lt;45,"30-44",B1402&lt;60,"45-59",B1402&lt;75,"60-74",B1402&lt;=90,"75-90")</f>
        <v>75-90</v>
      </c>
      <c r="M1402" t="str">
        <f>IF(Table1[[#This Row],[length_of_stay_days]]&gt;7,"Yes","No")</f>
        <v>Yes</v>
      </c>
    </row>
    <row r="1403" spans="1:13" x14ac:dyDescent="0.3">
      <c r="A1403" t="s">
        <v>1802</v>
      </c>
      <c r="B1403">
        <v>52</v>
      </c>
      <c r="C1403" t="s">
        <v>12</v>
      </c>
      <c r="D1403" t="s">
        <v>28</v>
      </c>
      <c r="E1403" t="s">
        <v>28</v>
      </c>
      <c r="F1403" t="s">
        <v>454</v>
      </c>
      <c r="G1403" t="s">
        <v>581</v>
      </c>
      <c r="H1403">
        <v>7</v>
      </c>
      <c r="I1403" s="1">
        <v>4945.67</v>
      </c>
      <c r="J1403" t="s">
        <v>17</v>
      </c>
      <c r="K1403" t="s">
        <v>18</v>
      </c>
      <c r="L1403" t="str" cm="1">
        <f t="array" ref="L1403">_xlfn.IFS(B1403&lt;30,"18-29",B1403&lt;45,"30-44",B1403&lt;60,"45-59",B1403&lt;75,"60-74",B1403&lt;=90,"75-90")</f>
        <v>45-59</v>
      </c>
      <c r="M1403" t="str">
        <f>IF(Table1[[#This Row],[length_of_stay_days]]&gt;7,"Yes","No")</f>
        <v>No</v>
      </c>
    </row>
    <row r="1404" spans="1:13" x14ac:dyDescent="0.3">
      <c r="A1404" t="s">
        <v>1803</v>
      </c>
      <c r="B1404">
        <v>33</v>
      </c>
      <c r="C1404" t="s">
        <v>20</v>
      </c>
      <c r="D1404" t="s">
        <v>13</v>
      </c>
      <c r="E1404" t="s">
        <v>21</v>
      </c>
      <c r="F1404" t="s">
        <v>451</v>
      </c>
      <c r="G1404" t="s">
        <v>186</v>
      </c>
      <c r="H1404">
        <v>6</v>
      </c>
      <c r="I1404" s="1">
        <v>6251.27</v>
      </c>
      <c r="J1404" t="s">
        <v>17</v>
      </c>
      <c r="K1404" t="s">
        <v>18</v>
      </c>
      <c r="L1404" t="str" cm="1">
        <f t="array" ref="L1404">_xlfn.IFS(B1404&lt;30,"18-29",B1404&lt;45,"30-44",B1404&lt;60,"45-59",B1404&lt;75,"60-74",B1404&lt;=90,"75-90")</f>
        <v>30-44</v>
      </c>
      <c r="M1404" t="str">
        <f>IF(Table1[[#This Row],[length_of_stay_days]]&gt;7,"Yes","No")</f>
        <v>No</v>
      </c>
    </row>
    <row r="1405" spans="1:13" x14ac:dyDescent="0.3">
      <c r="A1405" t="s">
        <v>1804</v>
      </c>
      <c r="B1405">
        <v>67</v>
      </c>
      <c r="C1405" t="s">
        <v>20</v>
      </c>
      <c r="D1405" t="s">
        <v>28</v>
      </c>
      <c r="E1405" t="s">
        <v>21</v>
      </c>
      <c r="F1405" t="s">
        <v>320</v>
      </c>
      <c r="G1405" t="s">
        <v>312</v>
      </c>
      <c r="H1405">
        <v>3</v>
      </c>
      <c r="I1405" s="1">
        <v>5839.38</v>
      </c>
      <c r="J1405" t="s">
        <v>17</v>
      </c>
      <c r="K1405" t="s">
        <v>18</v>
      </c>
      <c r="L1405" t="str" cm="1">
        <f t="array" ref="L1405">_xlfn.IFS(B1405&lt;30,"18-29",B1405&lt;45,"30-44",B1405&lt;60,"45-59",B1405&lt;75,"60-74",B1405&lt;=90,"75-90")</f>
        <v>60-74</v>
      </c>
      <c r="M1405" t="str">
        <f>IF(Table1[[#This Row],[length_of_stay_days]]&gt;7,"Yes","No")</f>
        <v>No</v>
      </c>
    </row>
    <row r="1406" spans="1:13" x14ac:dyDescent="0.3">
      <c r="A1406" t="s">
        <v>1805</v>
      </c>
      <c r="B1406">
        <v>28</v>
      </c>
      <c r="C1406" t="s">
        <v>20</v>
      </c>
      <c r="D1406" t="s">
        <v>32</v>
      </c>
      <c r="E1406" t="s">
        <v>28</v>
      </c>
      <c r="F1406" t="s">
        <v>841</v>
      </c>
      <c r="G1406" t="s">
        <v>141</v>
      </c>
      <c r="H1406">
        <v>7</v>
      </c>
      <c r="I1406" s="1">
        <v>12686.99</v>
      </c>
      <c r="J1406" t="s">
        <v>17</v>
      </c>
      <c r="K1406" t="s">
        <v>18</v>
      </c>
      <c r="L1406" t="str" cm="1">
        <f t="array" ref="L1406">_xlfn.IFS(B1406&lt;30,"18-29",B1406&lt;45,"30-44",B1406&lt;60,"45-59",B1406&lt;75,"60-74",B1406&lt;=90,"75-90")</f>
        <v>18-29</v>
      </c>
      <c r="M1406" t="str">
        <f>IF(Table1[[#This Row],[length_of_stay_days]]&gt;7,"Yes","No")</f>
        <v>No</v>
      </c>
    </row>
    <row r="1407" spans="1:13" x14ac:dyDescent="0.3">
      <c r="A1407" t="s">
        <v>1806</v>
      </c>
      <c r="B1407">
        <v>60</v>
      </c>
      <c r="C1407" t="s">
        <v>12</v>
      </c>
      <c r="D1407" t="s">
        <v>55</v>
      </c>
      <c r="E1407" t="s">
        <v>28</v>
      </c>
      <c r="F1407" t="s">
        <v>61</v>
      </c>
      <c r="G1407" t="s">
        <v>43</v>
      </c>
      <c r="H1407">
        <v>7</v>
      </c>
      <c r="I1407" s="1">
        <v>9405.1</v>
      </c>
      <c r="J1407" t="s">
        <v>17</v>
      </c>
      <c r="K1407" t="s">
        <v>18</v>
      </c>
      <c r="L1407" t="str" cm="1">
        <f t="array" ref="L1407">_xlfn.IFS(B1407&lt;30,"18-29",B1407&lt;45,"30-44",B1407&lt;60,"45-59",B1407&lt;75,"60-74",B1407&lt;=90,"75-90")</f>
        <v>60-74</v>
      </c>
      <c r="M1407" t="str">
        <f>IF(Table1[[#This Row],[length_of_stay_days]]&gt;7,"Yes","No")</f>
        <v>No</v>
      </c>
    </row>
    <row r="1408" spans="1:13" x14ac:dyDescent="0.3">
      <c r="A1408" t="s">
        <v>1807</v>
      </c>
      <c r="B1408">
        <v>87</v>
      </c>
      <c r="C1408" t="s">
        <v>20</v>
      </c>
      <c r="D1408" t="s">
        <v>55</v>
      </c>
      <c r="E1408" t="s">
        <v>28</v>
      </c>
      <c r="F1408" t="s">
        <v>52</v>
      </c>
      <c r="G1408" t="s">
        <v>346</v>
      </c>
      <c r="H1408">
        <v>6</v>
      </c>
      <c r="I1408" s="1">
        <v>9713.06</v>
      </c>
      <c r="J1408" t="s">
        <v>17</v>
      </c>
      <c r="K1408" t="s">
        <v>18</v>
      </c>
      <c r="L1408" t="str" cm="1">
        <f t="array" ref="L1408">_xlfn.IFS(B1408&lt;30,"18-29",B1408&lt;45,"30-44",B1408&lt;60,"45-59",B1408&lt;75,"60-74",B1408&lt;=90,"75-90")</f>
        <v>75-90</v>
      </c>
      <c r="M1408" t="str">
        <f>IF(Table1[[#This Row],[length_of_stay_days]]&gt;7,"Yes","No")</f>
        <v>No</v>
      </c>
    </row>
    <row r="1409" spans="1:13" x14ac:dyDescent="0.3">
      <c r="A1409" t="s">
        <v>1808</v>
      </c>
      <c r="B1409">
        <v>52</v>
      </c>
      <c r="C1409" t="s">
        <v>12</v>
      </c>
      <c r="D1409" t="s">
        <v>28</v>
      </c>
      <c r="E1409" t="s">
        <v>28</v>
      </c>
      <c r="F1409" t="s">
        <v>314</v>
      </c>
      <c r="G1409" t="s">
        <v>430</v>
      </c>
      <c r="H1409">
        <v>4</v>
      </c>
      <c r="I1409" s="1">
        <v>3900.37</v>
      </c>
      <c r="J1409" t="s">
        <v>17</v>
      </c>
      <c r="K1409" t="s">
        <v>18</v>
      </c>
      <c r="L1409" t="str" cm="1">
        <f t="array" ref="L1409">_xlfn.IFS(B1409&lt;30,"18-29",B1409&lt;45,"30-44",B1409&lt;60,"45-59",B1409&lt;75,"60-74",B1409&lt;=90,"75-90")</f>
        <v>45-59</v>
      </c>
      <c r="M1409" t="str">
        <f>IF(Table1[[#This Row],[length_of_stay_days]]&gt;7,"Yes","No")</f>
        <v>No</v>
      </c>
    </row>
    <row r="1410" spans="1:13" x14ac:dyDescent="0.3">
      <c r="A1410" t="s">
        <v>1809</v>
      </c>
      <c r="B1410">
        <v>57</v>
      </c>
      <c r="C1410" t="s">
        <v>12</v>
      </c>
      <c r="D1410" t="s">
        <v>28</v>
      </c>
      <c r="E1410" t="s">
        <v>28</v>
      </c>
      <c r="F1410" t="s">
        <v>15</v>
      </c>
      <c r="G1410" t="s">
        <v>246</v>
      </c>
      <c r="H1410">
        <v>4</v>
      </c>
      <c r="I1410" s="1">
        <v>7205.95</v>
      </c>
      <c r="J1410" t="s">
        <v>17</v>
      </c>
      <c r="K1410" t="s">
        <v>18</v>
      </c>
      <c r="L1410" t="str" cm="1">
        <f t="array" ref="L1410">_xlfn.IFS(B1410&lt;30,"18-29",B1410&lt;45,"30-44",B1410&lt;60,"45-59",B1410&lt;75,"60-74",B1410&lt;=90,"75-90")</f>
        <v>45-59</v>
      </c>
      <c r="M1410" t="str">
        <f>IF(Table1[[#This Row],[length_of_stay_days]]&gt;7,"Yes","No")</f>
        <v>No</v>
      </c>
    </row>
    <row r="1411" spans="1:13" x14ac:dyDescent="0.3">
      <c r="A1411" t="s">
        <v>1810</v>
      </c>
      <c r="B1411">
        <v>85</v>
      </c>
      <c r="C1411" t="s">
        <v>12</v>
      </c>
      <c r="D1411" t="s">
        <v>55</v>
      </c>
      <c r="E1411" t="s">
        <v>28</v>
      </c>
      <c r="F1411" t="s">
        <v>658</v>
      </c>
      <c r="G1411" t="s">
        <v>620</v>
      </c>
      <c r="H1411">
        <v>6</v>
      </c>
      <c r="I1411" s="1">
        <v>12471.28</v>
      </c>
      <c r="J1411" t="s">
        <v>17</v>
      </c>
      <c r="K1411" t="s">
        <v>18</v>
      </c>
      <c r="L1411" t="str" cm="1">
        <f t="array" ref="L1411">_xlfn.IFS(B1411&lt;30,"18-29",B1411&lt;45,"30-44",B1411&lt;60,"45-59",B1411&lt;75,"60-74",B1411&lt;=90,"75-90")</f>
        <v>75-90</v>
      </c>
      <c r="M1411" t="str">
        <f>IF(Table1[[#This Row],[length_of_stay_days]]&gt;7,"Yes","No")</f>
        <v>No</v>
      </c>
    </row>
    <row r="1412" spans="1:13" x14ac:dyDescent="0.3">
      <c r="A1412" t="s">
        <v>1811</v>
      </c>
      <c r="B1412">
        <v>74</v>
      </c>
      <c r="C1412" t="s">
        <v>20</v>
      </c>
      <c r="D1412" t="s">
        <v>32</v>
      </c>
      <c r="E1412" t="s">
        <v>28</v>
      </c>
      <c r="F1412" t="s">
        <v>154</v>
      </c>
      <c r="G1412" t="s">
        <v>101</v>
      </c>
      <c r="H1412">
        <v>6</v>
      </c>
      <c r="I1412" s="1">
        <v>9914.67</v>
      </c>
      <c r="J1412" t="s">
        <v>17</v>
      </c>
      <c r="K1412" t="s">
        <v>18</v>
      </c>
      <c r="L1412" t="str" cm="1">
        <f t="array" ref="L1412">_xlfn.IFS(B1412&lt;30,"18-29",B1412&lt;45,"30-44",B1412&lt;60,"45-59",B1412&lt;75,"60-74",B1412&lt;=90,"75-90")</f>
        <v>60-74</v>
      </c>
      <c r="M1412" t="str">
        <f>IF(Table1[[#This Row],[length_of_stay_days]]&gt;7,"Yes","No")</f>
        <v>No</v>
      </c>
    </row>
    <row r="1413" spans="1:13" x14ac:dyDescent="0.3">
      <c r="A1413" t="s">
        <v>1812</v>
      </c>
      <c r="B1413">
        <v>78</v>
      </c>
      <c r="C1413" t="s">
        <v>20</v>
      </c>
      <c r="D1413" t="s">
        <v>28</v>
      </c>
      <c r="E1413" t="s">
        <v>14</v>
      </c>
      <c r="F1413" t="s">
        <v>625</v>
      </c>
      <c r="G1413" t="s">
        <v>895</v>
      </c>
      <c r="H1413">
        <v>3</v>
      </c>
      <c r="I1413" s="1">
        <v>4505.78</v>
      </c>
      <c r="J1413" t="s">
        <v>17</v>
      </c>
      <c r="K1413" t="s">
        <v>18</v>
      </c>
      <c r="L1413" t="str" cm="1">
        <f t="array" ref="L1413">_xlfn.IFS(B1413&lt;30,"18-29",B1413&lt;45,"30-44",B1413&lt;60,"45-59",B1413&lt;75,"60-74",B1413&lt;=90,"75-90")</f>
        <v>75-90</v>
      </c>
      <c r="M1413" t="str">
        <f>IF(Table1[[#This Row],[length_of_stay_days]]&gt;7,"Yes","No")</f>
        <v>No</v>
      </c>
    </row>
    <row r="1414" spans="1:13" x14ac:dyDescent="0.3">
      <c r="A1414" t="s">
        <v>1813</v>
      </c>
      <c r="B1414">
        <v>45</v>
      </c>
      <c r="C1414" t="s">
        <v>20</v>
      </c>
      <c r="D1414" t="s">
        <v>46</v>
      </c>
      <c r="E1414" t="s">
        <v>28</v>
      </c>
      <c r="F1414" t="s">
        <v>1018</v>
      </c>
      <c r="G1414" t="s">
        <v>646</v>
      </c>
      <c r="H1414">
        <v>8</v>
      </c>
      <c r="I1414" s="1">
        <v>15066.37</v>
      </c>
      <c r="J1414" t="s">
        <v>17</v>
      </c>
      <c r="K1414" t="s">
        <v>18</v>
      </c>
      <c r="L1414" t="str" cm="1">
        <f t="array" ref="L1414">_xlfn.IFS(B1414&lt;30,"18-29",B1414&lt;45,"30-44",B1414&lt;60,"45-59",B1414&lt;75,"60-74",B1414&lt;=90,"75-90")</f>
        <v>45-59</v>
      </c>
      <c r="M1414" t="str">
        <f>IF(Table1[[#This Row],[length_of_stay_days]]&gt;7,"Yes","No")</f>
        <v>Yes</v>
      </c>
    </row>
    <row r="1415" spans="1:13" x14ac:dyDescent="0.3">
      <c r="A1415" t="s">
        <v>1814</v>
      </c>
      <c r="B1415">
        <v>38</v>
      </c>
      <c r="C1415" t="s">
        <v>20</v>
      </c>
      <c r="D1415" t="s">
        <v>55</v>
      </c>
      <c r="E1415" t="s">
        <v>28</v>
      </c>
      <c r="F1415" t="s">
        <v>506</v>
      </c>
      <c r="G1415" t="s">
        <v>106</v>
      </c>
      <c r="H1415">
        <v>8</v>
      </c>
      <c r="I1415" s="1">
        <v>13242.5</v>
      </c>
      <c r="J1415" t="s">
        <v>17</v>
      </c>
      <c r="K1415" t="s">
        <v>44</v>
      </c>
      <c r="L1415" t="str" cm="1">
        <f t="array" ref="L1415">_xlfn.IFS(B1415&lt;30,"18-29",B1415&lt;45,"30-44",B1415&lt;60,"45-59",B1415&lt;75,"60-74",B1415&lt;=90,"75-90")</f>
        <v>30-44</v>
      </c>
      <c r="M1415" t="str">
        <f>IF(Table1[[#This Row],[length_of_stay_days]]&gt;7,"Yes","No")</f>
        <v>Yes</v>
      </c>
    </row>
    <row r="1416" spans="1:13" x14ac:dyDescent="0.3">
      <c r="A1416" t="s">
        <v>1815</v>
      </c>
      <c r="B1416">
        <v>62</v>
      </c>
      <c r="C1416" t="s">
        <v>20</v>
      </c>
      <c r="D1416" t="s">
        <v>13</v>
      </c>
      <c r="E1416" t="s">
        <v>21</v>
      </c>
      <c r="F1416" t="s">
        <v>246</v>
      </c>
      <c r="G1416" t="s">
        <v>214</v>
      </c>
      <c r="H1416">
        <v>5</v>
      </c>
      <c r="I1416" s="1">
        <v>7900.97</v>
      </c>
      <c r="J1416" t="s">
        <v>17</v>
      </c>
      <c r="K1416" t="s">
        <v>18</v>
      </c>
      <c r="L1416" t="str" cm="1">
        <f t="array" ref="L1416">_xlfn.IFS(B1416&lt;30,"18-29",B1416&lt;45,"30-44",B1416&lt;60,"45-59",B1416&lt;75,"60-74",B1416&lt;=90,"75-90")</f>
        <v>60-74</v>
      </c>
      <c r="M1416" t="str">
        <f>IF(Table1[[#This Row],[length_of_stay_days]]&gt;7,"Yes","No")</f>
        <v>No</v>
      </c>
    </row>
    <row r="1417" spans="1:13" x14ac:dyDescent="0.3">
      <c r="A1417" t="s">
        <v>1816</v>
      </c>
      <c r="B1417">
        <v>63</v>
      </c>
      <c r="C1417" t="s">
        <v>20</v>
      </c>
      <c r="D1417" t="s">
        <v>13</v>
      </c>
      <c r="E1417" t="s">
        <v>28</v>
      </c>
      <c r="F1417" t="s">
        <v>491</v>
      </c>
      <c r="G1417" t="s">
        <v>123</v>
      </c>
      <c r="H1417">
        <v>5</v>
      </c>
      <c r="I1417" s="1">
        <v>5969.94</v>
      </c>
      <c r="J1417" t="s">
        <v>17</v>
      </c>
      <c r="K1417" t="s">
        <v>18</v>
      </c>
      <c r="L1417" t="str" cm="1">
        <f t="array" ref="L1417">_xlfn.IFS(B1417&lt;30,"18-29",B1417&lt;45,"30-44",B1417&lt;60,"45-59",B1417&lt;75,"60-74",B1417&lt;=90,"75-90")</f>
        <v>60-74</v>
      </c>
      <c r="M1417" t="str">
        <f>IF(Table1[[#This Row],[length_of_stay_days]]&gt;7,"Yes","No")</f>
        <v>No</v>
      </c>
    </row>
    <row r="1418" spans="1:13" x14ac:dyDescent="0.3">
      <c r="A1418" t="s">
        <v>1817</v>
      </c>
      <c r="B1418">
        <v>75</v>
      </c>
      <c r="C1418" t="s">
        <v>20</v>
      </c>
      <c r="D1418" t="s">
        <v>28</v>
      </c>
      <c r="E1418" t="s">
        <v>14</v>
      </c>
      <c r="F1418" t="s">
        <v>355</v>
      </c>
      <c r="G1418" t="s">
        <v>410</v>
      </c>
      <c r="H1418">
        <v>1</v>
      </c>
      <c r="I1418" s="1">
        <v>5151.49</v>
      </c>
      <c r="J1418" t="s">
        <v>17</v>
      </c>
      <c r="K1418" t="s">
        <v>18</v>
      </c>
      <c r="L1418" t="str" cm="1">
        <f t="array" ref="L1418">_xlfn.IFS(B1418&lt;30,"18-29",B1418&lt;45,"30-44",B1418&lt;60,"45-59",B1418&lt;75,"60-74",B1418&lt;=90,"75-90")</f>
        <v>75-90</v>
      </c>
      <c r="M1418" t="str">
        <f>IF(Table1[[#This Row],[length_of_stay_days]]&gt;7,"Yes","No")</f>
        <v>No</v>
      </c>
    </row>
    <row r="1419" spans="1:13" x14ac:dyDescent="0.3">
      <c r="A1419" t="s">
        <v>1818</v>
      </c>
      <c r="B1419">
        <v>37</v>
      </c>
      <c r="C1419" t="s">
        <v>20</v>
      </c>
      <c r="D1419" t="s">
        <v>13</v>
      </c>
      <c r="E1419" t="s">
        <v>28</v>
      </c>
      <c r="F1419" t="s">
        <v>189</v>
      </c>
      <c r="G1419" t="s">
        <v>56</v>
      </c>
      <c r="H1419">
        <v>8</v>
      </c>
      <c r="I1419" s="1">
        <v>9702.65</v>
      </c>
      <c r="J1419" t="s">
        <v>17</v>
      </c>
      <c r="K1419" t="s">
        <v>18</v>
      </c>
      <c r="L1419" t="str" cm="1">
        <f t="array" ref="L1419">_xlfn.IFS(B1419&lt;30,"18-29",B1419&lt;45,"30-44",B1419&lt;60,"45-59",B1419&lt;75,"60-74",B1419&lt;=90,"75-90")</f>
        <v>30-44</v>
      </c>
      <c r="M1419" t="str">
        <f>IF(Table1[[#This Row],[length_of_stay_days]]&gt;7,"Yes","No")</f>
        <v>Yes</v>
      </c>
    </row>
    <row r="1420" spans="1:13" x14ac:dyDescent="0.3">
      <c r="A1420" t="s">
        <v>1819</v>
      </c>
      <c r="B1420">
        <v>78</v>
      </c>
      <c r="C1420" t="s">
        <v>12</v>
      </c>
      <c r="D1420" t="s">
        <v>55</v>
      </c>
      <c r="E1420" t="s">
        <v>14</v>
      </c>
      <c r="F1420" t="s">
        <v>625</v>
      </c>
      <c r="G1420" t="s">
        <v>895</v>
      </c>
      <c r="H1420">
        <v>3</v>
      </c>
      <c r="I1420" s="1">
        <v>6804.16</v>
      </c>
      <c r="J1420" t="s">
        <v>17</v>
      </c>
      <c r="K1420" t="s">
        <v>18</v>
      </c>
      <c r="L1420" t="str" cm="1">
        <f t="array" ref="L1420">_xlfn.IFS(B1420&lt;30,"18-29",B1420&lt;45,"30-44",B1420&lt;60,"45-59",B1420&lt;75,"60-74",B1420&lt;=90,"75-90")</f>
        <v>75-90</v>
      </c>
      <c r="M1420" t="str">
        <f>IF(Table1[[#This Row],[length_of_stay_days]]&gt;7,"Yes","No")</f>
        <v>No</v>
      </c>
    </row>
    <row r="1421" spans="1:13" x14ac:dyDescent="0.3">
      <c r="A1421" t="s">
        <v>1820</v>
      </c>
      <c r="B1421">
        <v>66</v>
      </c>
      <c r="C1421" t="s">
        <v>20</v>
      </c>
      <c r="D1421" t="s">
        <v>13</v>
      </c>
      <c r="E1421" t="s">
        <v>14</v>
      </c>
      <c r="F1421" t="s">
        <v>613</v>
      </c>
      <c r="G1421" t="s">
        <v>527</v>
      </c>
      <c r="H1421">
        <v>2</v>
      </c>
      <c r="I1421" s="1">
        <v>6911.75</v>
      </c>
      <c r="J1421" t="s">
        <v>17</v>
      </c>
      <c r="K1421" t="s">
        <v>18</v>
      </c>
      <c r="L1421" t="str" cm="1">
        <f t="array" ref="L1421">_xlfn.IFS(B1421&lt;30,"18-29",B1421&lt;45,"30-44",B1421&lt;60,"45-59",B1421&lt;75,"60-74",B1421&lt;=90,"75-90")</f>
        <v>60-74</v>
      </c>
      <c r="M1421" t="str">
        <f>IF(Table1[[#This Row],[length_of_stay_days]]&gt;7,"Yes","No")</f>
        <v>No</v>
      </c>
    </row>
    <row r="1422" spans="1:13" x14ac:dyDescent="0.3">
      <c r="A1422" t="s">
        <v>1821</v>
      </c>
      <c r="B1422">
        <v>39</v>
      </c>
      <c r="C1422" t="s">
        <v>12</v>
      </c>
      <c r="D1422" t="s">
        <v>55</v>
      </c>
      <c r="E1422" t="s">
        <v>28</v>
      </c>
      <c r="F1422" t="s">
        <v>152</v>
      </c>
      <c r="G1422" t="s">
        <v>126</v>
      </c>
      <c r="H1422">
        <v>5</v>
      </c>
      <c r="I1422" s="1">
        <v>8568.4599999999991</v>
      </c>
      <c r="J1422" t="s">
        <v>17</v>
      </c>
      <c r="K1422" t="s">
        <v>18</v>
      </c>
      <c r="L1422" t="str" cm="1">
        <f t="array" ref="L1422">_xlfn.IFS(B1422&lt;30,"18-29",B1422&lt;45,"30-44",B1422&lt;60,"45-59",B1422&lt;75,"60-74",B1422&lt;=90,"75-90")</f>
        <v>30-44</v>
      </c>
      <c r="M1422" t="str">
        <f>IF(Table1[[#This Row],[length_of_stay_days]]&gt;7,"Yes","No")</f>
        <v>No</v>
      </c>
    </row>
    <row r="1423" spans="1:13" x14ac:dyDescent="0.3">
      <c r="A1423" t="s">
        <v>1822</v>
      </c>
      <c r="B1423">
        <v>27</v>
      </c>
      <c r="C1423" t="s">
        <v>12</v>
      </c>
      <c r="D1423" t="s">
        <v>13</v>
      </c>
      <c r="E1423" t="s">
        <v>28</v>
      </c>
      <c r="F1423" t="s">
        <v>216</v>
      </c>
      <c r="G1423" t="s">
        <v>339</v>
      </c>
      <c r="H1423">
        <v>5</v>
      </c>
      <c r="I1423" s="1">
        <v>6005.29</v>
      </c>
      <c r="J1423" t="s">
        <v>17</v>
      </c>
      <c r="K1423" t="s">
        <v>18</v>
      </c>
      <c r="L1423" t="str" cm="1">
        <f t="array" ref="L1423">_xlfn.IFS(B1423&lt;30,"18-29",B1423&lt;45,"30-44",B1423&lt;60,"45-59",B1423&lt;75,"60-74",B1423&lt;=90,"75-90")</f>
        <v>18-29</v>
      </c>
      <c r="M1423" t="str">
        <f>IF(Table1[[#This Row],[length_of_stay_days]]&gt;7,"Yes","No")</f>
        <v>No</v>
      </c>
    </row>
    <row r="1424" spans="1:13" x14ac:dyDescent="0.3">
      <c r="A1424" t="s">
        <v>1823</v>
      </c>
      <c r="B1424">
        <v>23</v>
      </c>
      <c r="C1424" t="s">
        <v>20</v>
      </c>
      <c r="D1424" t="s">
        <v>28</v>
      </c>
      <c r="E1424" t="s">
        <v>28</v>
      </c>
      <c r="F1424" t="s">
        <v>503</v>
      </c>
      <c r="G1424" t="s">
        <v>504</v>
      </c>
      <c r="H1424">
        <v>5</v>
      </c>
      <c r="I1424" s="1">
        <v>4812.72</v>
      </c>
      <c r="J1424" t="s">
        <v>17</v>
      </c>
      <c r="K1424" t="s">
        <v>18</v>
      </c>
      <c r="L1424" t="str" cm="1">
        <f t="array" ref="L1424">_xlfn.IFS(B1424&lt;30,"18-29",B1424&lt;45,"30-44",B1424&lt;60,"45-59",B1424&lt;75,"60-74",B1424&lt;=90,"75-90")</f>
        <v>18-29</v>
      </c>
      <c r="M1424" t="str">
        <f>IF(Table1[[#This Row],[length_of_stay_days]]&gt;7,"Yes","No")</f>
        <v>No</v>
      </c>
    </row>
    <row r="1425" spans="1:13" x14ac:dyDescent="0.3">
      <c r="A1425" t="s">
        <v>1824</v>
      </c>
      <c r="B1425">
        <v>55</v>
      </c>
      <c r="C1425" t="s">
        <v>12</v>
      </c>
      <c r="D1425" t="s">
        <v>32</v>
      </c>
      <c r="E1425" t="s">
        <v>14</v>
      </c>
      <c r="F1425" t="s">
        <v>195</v>
      </c>
      <c r="G1425" t="s">
        <v>245</v>
      </c>
      <c r="H1425">
        <v>4</v>
      </c>
      <c r="I1425" s="1">
        <v>9682.73</v>
      </c>
      <c r="J1425" t="s">
        <v>17</v>
      </c>
      <c r="K1425" t="s">
        <v>18</v>
      </c>
      <c r="L1425" t="str" cm="1">
        <f t="array" ref="L1425">_xlfn.IFS(B1425&lt;30,"18-29",B1425&lt;45,"30-44",B1425&lt;60,"45-59",B1425&lt;75,"60-74",B1425&lt;=90,"75-90")</f>
        <v>45-59</v>
      </c>
      <c r="M1425" t="str">
        <f>IF(Table1[[#This Row],[length_of_stay_days]]&gt;7,"Yes","No")</f>
        <v>No</v>
      </c>
    </row>
    <row r="1426" spans="1:13" x14ac:dyDescent="0.3">
      <c r="A1426" t="s">
        <v>1825</v>
      </c>
      <c r="B1426">
        <v>67</v>
      </c>
      <c r="C1426" t="s">
        <v>20</v>
      </c>
      <c r="D1426" t="s">
        <v>55</v>
      </c>
      <c r="E1426" t="s">
        <v>28</v>
      </c>
      <c r="F1426" t="s">
        <v>212</v>
      </c>
      <c r="G1426" t="s">
        <v>1248</v>
      </c>
      <c r="H1426">
        <v>8</v>
      </c>
      <c r="I1426" s="1">
        <v>10633.94</v>
      </c>
      <c r="J1426" t="s">
        <v>17</v>
      </c>
      <c r="K1426" t="s">
        <v>18</v>
      </c>
      <c r="L1426" t="str" cm="1">
        <f t="array" ref="L1426">_xlfn.IFS(B1426&lt;30,"18-29",B1426&lt;45,"30-44",B1426&lt;60,"45-59",B1426&lt;75,"60-74",B1426&lt;=90,"75-90")</f>
        <v>60-74</v>
      </c>
      <c r="M1426" t="str">
        <f>IF(Table1[[#This Row],[length_of_stay_days]]&gt;7,"Yes","No")</f>
        <v>Yes</v>
      </c>
    </row>
    <row r="1427" spans="1:13" x14ac:dyDescent="0.3">
      <c r="A1427" t="s">
        <v>1826</v>
      </c>
      <c r="B1427">
        <v>70</v>
      </c>
      <c r="C1427" t="s">
        <v>20</v>
      </c>
      <c r="D1427" t="s">
        <v>55</v>
      </c>
      <c r="E1427" t="s">
        <v>21</v>
      </c>
      <c r="F1427" t="s">
        <v>344</v>
      </c>
      <c r="G1427" t="s">
        <v>520</v>
      </c>
      <c r="H1427">
        <v>5</v>
      </c>
      <c r="I1427" s="1">
        <v>11928.25</v>
      </c>
      <c r="J1427" t="s">
        <v>17</v>
      </c>
      <c r="K1427" t="s">
        <v>18</v>
      </c>
      <c r="L1427" t="str" cm="1">
        <f t="array" ref="L1427">_xlfn.IFS(B1427&lt;30,"18-29",B1427&lt;45,"30-44",B1427&lt;60,"45-59",B1427&lt;75,"60-74",B1427&lt;=90,"75-90")</f>
        <v>60-74</v>
      </c>
      <c r="M1427" t="str">
        <f>IF(Table1[[#This Row],[length_of_stay_days]]&gt;7,"Yes","No")</f>
        <v>No</v>
      </c>
    </row>
    <row r="1428" spans="1:13" x14ac:dyDescent="0.3">
      <c r="A1428" t="s">
        <v>1827</v>
      </c>
      <c r="B1428">
        <v>72</v>
      </c>
      <c r="C1428" t="s">
        <v>12</v>
      </c>
      <c r="D1428" t="s">
        <v>55</v>
      </c>
      <c r="E1428" t="s">
        <v>14</v>
      </c>
      <c r="F1428" t="s">
        <v>166</v>
      </c>
      <c r="G1428" t="s">
        <v>551</v>
      </c>
      <c r="H1428">
        <v>6</v>
      </c>
      <c r="I1428" s="1">
        <v>12209.03</v>
      </c>
      <c r="J1428" t="s">
        <v>17</v>
      </c>
      <c r="K1428" t="s">
        <v>18</v>
      </c>
      <c r="L1428" t="str" cm="1">
        <f t="array" ref="L1428">_xlfn.IFS(B1428&lt;30,"18-29",B1428&lt;45,"30-44",B1428&lt;60,"45-59",B1428&lt;75,"60-74",B1428&lt;=90,"75-90")</f>
        <v>60-74</v>
      </c>
      <c r="M1428" t="str">
        <f>IF(Table1[[#This Row],[length_of_stay_days]]&gt;7,"Yes","No")</f>
        <v>No</v>
      </c>
    </row>
    <row r="1429" spans="1:13" x14ac:dyDescent="0.3">
      <c r="A1429" t="s">
        <v>1828</v>
      </c>
      <c r="B1429">
        <v>31</v>
      </c>
      <c r="C1429" t="s">
        <v>12</v>
      </c>
      <c r="D1429" t="s">
        <v>28</v>
      </c>
      <c r="E1429" t="s">
        <v>28</v>
      </c>
      <c r="F1429" t="s">
        <v>975</v>
      </c>
      <c r="G1429" t="s">
        <v>581</v>
      </c>
      <c r="H1429">
        <v>5</v>
      </c>
      <c r="I1429" s="1">
        <v>7145.92</v>
      </c>
      <c r="J1429" t="s">
        <v>17</v>
      </c>
      <c r="K1429" t="s">
        <v>18</v>
      </c>
      <c r="L1429" t="str" cm="1">
        <f t="array" ref="L1429">_xlfn.IFS(B1429&lt;30,"18-29",B1429&lt;45,"30-44",B1429&lt;60,"45-59",B1429&lt;75,"60-74",B1429&lt;=90,"75-90")</f>
        <v>30-44</v>
      </c>
      <c r="M1429" t="str">
        <f>IF(Table1[[#This Row],[length_of_stay_days]]&gt;7,"Yes","No")</f>
        <v>No</v>
      </c>
    </row>
    <row r="1430" spans="1:13" x14ac:dyDescent="0.3">
      <c r="A1430" t="s">
        <v>1829</v>
      </c>
      <c r="B1430">
        <v>39</v>
      </c>
      <c r="C1430" t="s">
        <v>12</v>
      </c>
      <c r="D1430" t="s">
        <v>55</v>
      </c>
      <c r="E1430" t="s">
        <v>28</v>
      </c>
      <c r="F1430" t="s">
        <v>562</v>
      </c>
      <c r="G1430" t="s">
        <v>604</v>
      </c>
      <c r="H1430">
        <v>3</v>
      </c>
      <c r="I1430" s="1">
        <v>7892.22</v>
      </c>
      <c r="J1430" t="s">
        <v>17</v>
      </c>
      <c r="K1430" t="s">
        <v>44</v>
      </c>
      <c r="L1430" t="str" cm="1">
        <f t="array" ref="L1430">_xlfn.IFS(B1430&lt;30,"18-29",B1430&lt;45,"30-44",B1430&lt;60,"45-59",B1430&lt;75,"60-74",B1430&lt;=90,"75-90")</f>
        <v>30-44</v>
      </c>
      <c r="M1430" t="str">
        <f>IF(Table1[[#This Row],[length_of_stay_days]]&gt;7,"Yes","No")</f>
        <v>No</v>
      </c>
    </row>
    <row r="1431" spans="1:13" x14ac:dyDescent="0.3">
      <c r="A1431" t="s">
        <v>1830</v>
      </c>
      <c r="B1431">
        <v>62</v>
      </c>
      <c r="C1431" t="s">
        <v>20</v>
      </c>
      <c r="D1431" t="s">
        <v>13</v>
      </c>
      <c r="E1431" t="s">
        <v>14</v>
      </c>
      <c r="F1431" t="s">
        <v>339</v>
      </c>
      <c r="G1431" t="s">
        <v>689</v>
      </c>
      <c r="H1431">
        <v>2</v>
      </c>
      <c r="I1431" s="1">
        <v>5712.26</v>
      </c>
      <c r="J1431" t="s">
        <v>17</v>
      </c>
      <c r="K1431" t="s">
        <v>18</v>
      </c>
      <c r="L1431" t="str" cm="1">
        <f t="array" ref="L1431">_xlfn.IFS(B1431&lt;30,"18-29",B1431&lt;45,"30-44",B1431&lt;60,"45-59",B1431&lt;75,"60-74",B1431&lt;=90,"75-90")</f>
        <v>60-74</v>
      </c>
      <c r="M1431" t="str">
        <f>IF(Table1[[#This Row],[length_of_stay_days]]&gt;7,"Yes","No")</f>
        <v>No</v>
      </c>
    </row>
    <row r="1432" spans="1:13" x14ac:dyDescent="0.3">
      <c r="A1432" t="s">
        <v>1831</v>
      </c>
      <c r="B1432">
        <v>65</v>
      </c>
      <c r="C1432" t="s">
        <v>12</v>
      </c>
      <c r="D1432" t="s">
        <v>13</v>
      </c>
      <c r="E1432" t="s">
        <v>14</v>
      </c>
      <c r="F1432" t="s">
        <v>526</v>
      </c>
      <c r="G1432" t="s">
        <v>527</v>
      </c>
      <c r="H1432">
        <v>1</v>
      </c>
      <c r="I1432" s="1">
        <v>5207.57</v>
      </c>
      <c r="J1432" t="s">
        <v>17</v>
      </c>
      <c r="K1432" t="s">
        <v>18</v>
      </c>
      <c r="L1432" t="str" cm="1">
        <f t="array" ref="L1432">_xlfn.IFS(B1432&lt;30,"18-29",B1432&lt;45,"30-44",B1432&lt;60,"45-59",B1432&lt;75,"60-74",B1432&lt;=90,"75-90")</f>
        <v>60-74</v>
      </c>
      <c r="M1432" t="str">
        <f>IF(Table1[[#This Row],[length_of_stay_days]]&gt;7,"Yes","No")</f>
        <v>No</v>
      </c>
    </row>
    <row r="1433" spans="1:13" x14ac:dyDescent="0.3">
      <c r="A1433" t="s">
        <v>1832</v>
      </c>
      <c r="B1433">
        <v>57</v>
      </c>
      <c r="C1433" t="s">
        <v>20</v>
      </c>
      <c r="D1433" t="s">
        <v>55</v>
      </c>
      <c r="E1433" t="s">
        <v>28</v>
      </c>
      <c r="F1433" t="s">
        <v>174</v>
      </c>
      <c r="G1433" t="s">
        <v>928</v>
      </c>
      <c r="H1433">
        <v>8</v>
      </c>
      <c r="I1433" s="1">
        <v>9385.99</v>
      </c>
      <c r="J1433" t="s">
        <v>17</v>
      </c>
      <c r="K1433" t="s">
        <v>18</v>
      </c>
      <c r="L1433" t="str" cm="1">
        <f t="array" ref="L1433">_xlfn.IFS(B1433&lt;30,"18-29",B1433&lt;45,"30-44",B1433&lt;60,"45-59",B1433&lt;75,"60-74",B1433&lt;=90,"75-90")</f>
        <v>45-59</v>
      </c>
      <c r="M1433" t="str">
        <f>IF(Table1[[#This Row],[length_of_stay_days]]&gt;7,"Yes","No")</f>
        <v>Yes</v>
      </c>
    </row>
    <row r="1434" spans="1:13" x14ac:dyDescent="0.3">
      <c r="A1434" t="s">
        <v>1833</v>
      </c>
      <c r="B1434">
        <v>84</v>
      </c>
      <c r="C1434" t="s">
        <v>20</v>
      </c>
      <c r="D1434" t="s">
        <v>28</v>
      </c>
      <c r="E1434" t="s">
        <v>28</v>
      </c>
      <c r="F1434" t="s">
        <v>283</v>
      </c>
      <c r="G1434" t="s">
        <v>841</v>
      </c>
      <c r="H1434">
        <v>5</v>
      </c>
      <c r="I1434" s="1">
        <v>4970.79</v>
      </c>
      <c r="J1434" t="s">
        <v>49</v>
      </c>
      <c r="K1434" t="s">
        <v>44</v>
      </c>
      <c r="L1434" t="str" cm="1">
        <f t="array" ref="L1434">_xlfn.IFS(B1434&lt;30,"18-29",B1434&lt;45,"30-44",B1434&lt;60,"45-59",B1434&lt;75,"60-74",B1434&lt;=90,"75-90")</f>
        <v>75-90</v>
      </c>
      <c r="M1434" t="str">
        <f>IF(Table1[[#This Row],[length_of_stay_days]]&gt;7,"Yes","No")</f>
        <v>No</v>
      </c>
    </row>
    <row r="1435" spans="1:13" x14ac:dyDescent="0.3">
      <c r="A1435" t="s">
        <v>1834</v>
      </c>
      <c r="B1435">
        <v>76</v>
      </c>
      <c r="C1435" t="s">
        <v>20</v>
      </c>
      <c r="D1435" t="s">
        <v>55</v>
      </c>
      <c r="E1435" t="s">
        <v>28</v>
      </c>
      <c r="F1435" t="s">
        <v>536</v>
      </c>
      <c r="G1435" t="s">
        <v>285</v>
      </c>
      <c r="H1435">
        <v>9</v>
      </c>
      <c r="I1435" s="1">
        <v>10637.56</v>
      </c>
      <c r="J1435" t="s">
        <v>17</v>
      </c>
      <c r="K1435" t="s">
        <v>18</v>
      </c>
      <c r="L1435" t="str" cm="1">
        <f t="array" ref="L1435">_xlfn.IFS(B1435&lt;30,"18-29",B1435&lt;45,"30-44",B1435&lt;60,"45-59",B1435&lt;75,"60-74",B1435&lt;=90,"75-90")</f>
        <v>75-90</v>
      </c>
      <c r="M1435" t="str">
        <f>IF(Table1[[#This Row],[length_of_stay_days]]&gt;7,"Yes","No")</f>
        <v>Yes</v>
      </c>
    </row>
    <row r="1436" spans="1:13" x14ac:dyDescent="0.3">
      <c r="A1436" t="s">
        <v>1835</v>
      </c>
      <c r="B1436">
        <v>18</v>
      </c>
      <c r="C1436" t="s">
        <v>12</v>
      </c>
      <c r="D1436" t="s">
        <v>28</v>
      </c>
      <c r="E1436" t="s">
        <v>21</v>
      </c>
      <c r="F1436" t="s">
        <v>263</v>
      </c>
      <c r="H1436">
        <v>7</v>
      </c>
      <c r="I1436" s="1">
        <v>6243.53</v>
      </c>
      <c r="J1436" t="s">
        <v>17</v>
      </c>
      <c r="K1436" t="s">
        <v>18</v>
      </c>
      <c r="L1436" t="str" cm="1">
        <f t="array" ref="L1436">_xlfn.IFS(B1436&lt;30,"18-29",B1436&lt;45,"30-44",B1436&lt;60,"45-59",B1436&lt;75,"60-74",B1436&lt;=90,"75-90")</f>
        <v>18-29</v>
      </c>
      <c r="M1436" t="str">
        <f>IF(Table1[[#This Row],[length_of_stay_days]]&gt;7,"Yes","No")</f>
        <v>No</v>
      </c>
    </row>
    <row r="1437" spans="1:13" x14ac:dyDescent="0.3">
      <c r="A1437" t="s">
        <v>1836</v>
      </c>
      <c r="B1437">
        <v>37</v>
      </c>
      <c r="C1437" t="s">
        <v>20</v>
      </c>
      <c r="D1437" t="s">
        <v>13</v>
      </c>
      <c r="E1437" t="s">
        <v>21</v>
      </c>
      <c r="F1437" t="s">
        <v>80</v>
      </c>
      <c r="G1437" t="s">
        <v>84</v>
      </c>
      <c r="H1437">
        <v>4</v>
      </c>
      <c r="I1437" s="1">
        <v>6462.47</v>
      </c>
      <c r="J1437" t="s">
        <v>49</v>
      </c>
      <c r="K1437" t="s">
        <v>18</v>
      </c>
      <c r="L1437" t="str" cm="1">
        <f t="array" ref="L1437">_xlfn.IFS(B1437&lt;30,"18-29",B1437&lt;45,"30-44",B1437&lt;60,"45-59",B1437&lt;75,"60-74",B1437&lt;=90,"75-90")</f>
        <v>30-44</v>
      </c>
      <c r="M1437" t="str">
        <f>IF(Table1[[#This Row],[length_of_stay_days]]&gt;7,"Yes","No")</f>
        <v>No</v>
      </c>
    </row>
    <row r="1438" spans="1:13" x14ac:dyDescent="0.3">
      <c r="A1438" t="s">
        <v>1837</v>
      </c>
      <c r="B1438">
        <v>78</v>
      </c>
      <c r="C1438" t="s">
        <v>12</v>
      </c>
      <c r="D1438" t="s">
        <v>28</v>
      </c>
      <c r="E1438" t="s">
        <v>28</v>
      </c>
      <c r="F1438" t="s">
        <v>361</v>
      </c>
      <c r="G1438" t="s">
        <v>101</v>
      </c>
      <c r="H1438">
        <v>4</v>
      </c>
      <c r="I1438" s="1">
        <v>4186.66</v>
      </c>
      <c r="J1438" t="s">
        <v>17</v>
      </c>
      <c r="K1438" t="s">
        <v>18</v>
      </c>
      <c r="L1438" t="str" cm="1">
        <f t="array" ref="L1438">_xlfn.IFS(B1438&lt;30,"18-29",B1438&lt;45,"30-44",B1438&lt;60,"45-59",B1438&lt;75,"60-74",B1438&lt;=90,"75-90")</f>
        <v>75-90</v>
      </c>
      <c r="M1438" t="str">
        <f>IF(Table1[[#This Row],[length_of_stay_days]]&gt;7,"Yes","No")</f>
        <v>No</v>
      </c>
    </row>
    <row r="1439" spans="1:13" x14ac:dyDescent="0.3">
      <c r="A1439" t="s">
        <v>1838</v>
      </c>
      <c r="B1439">
        <v>34</v>
      </c>
      <c r="C1439" t="s">
        <v>20</v>
      </c>
      <c r="D1439" t="s">
        <v>28</v>
      </c>
      <c r="E1439" t="s">
        <v>28</v>
      </c>
      <c r="F1439" t="s">
        <v>443</v>
      </c>
      <c r="H1439">
        <v>6</v>
      </c>
      <c r="I1439" s="1">
        <v>9712.93</v>
      </c>
      <c r="J1439" t="s">
        <v>17</v>
      </c>
      <c r="K1439" t="s">
        <v>44</v>
      </c>
      <c r="L1439" t="str" cm="1">
        <f t="array" ref="L1439">_xlfn.IFS(B1439&lt;30,"18-29",B1439&lt;45,"30-44",B1439&lt;60,"45-59",B1439&lt;75,"60-74",B1439&lt;=90,"75-90")</f>
        <v>30-44</v>
      </c>
      <c r="M1439" t="str">
        <f>IF(Table1[[#This Row],[length_of_stay_days]]&gt;7,"Yes","No")</f>
        <v>No</v>
      </c>
    </row>
    <row r="1440" spans="1:13" x14ac:dyDescent="0.3">
      <c r="A1440" t="s">
        <v>1839</v>
      </c>
      <c r="B1440">
        <v>30</v>
      </c>
      <c r="C1440" t="s">
        <v>12</v>
      </c>
      <c r="D1440" t="s">
        <v>55</v>
      </c>
      <c r="E1440" t="s">
        <v>14</v>
      </c>
      <c r="F1440" t="s">
        <v>157</v>
      </c>
      <c r="G1440" t="s">
        <v>428</v>
      </c>
      <c r="H1440">
        <v>1</v>
      </c>
      <c r="I1440" s="1">
        <v>5261.28</v>
      </c>
      <c r="J1440" t="s">
        <v>49</v>
      </c>
      <c r="K1440" t="s">
        <v>18</v>
      </c>
      <c r="L1440" t="str" cm="1">
        <f t="array" ref="L1440">_xlfn.IFS(B1440&lt;30,"18-29",B1440&lt;45,"30-44",B1440&lt;60,"45-59",B1440&lt;75,"60-74",B1440&lt;=90,"75-90")</f>
        <v>30-44</v>
      </c>
      <c r="M1440" t="str">
        <f>IF(Table1[[#This Row],[length_of_stay_days]]&gt;7,"Yes","No")</f>
        <v>No</v>
      </c>
    </row>
    <row r="1441" spans="1:13" x14ac:dyDescent="0.3">
      <c r="A1441" t="s">
        <v>1840</v>
      </c>
      <c r="B1441">
        <v>35</v>
      </c>
      <c r="C1441" t="s">
        <v>20</v>
      </c>
      <c r="D1441" t="s">
        <v>13</v>
      </c>
      <c r="E1441" t="s">
        <v>21</v>
      </c>
      <c r="F1441" t="s">
        <v>312</v>
      </c>
      <c r="G1441" t="s">
        <v>584</v>
      </c>
      <c r="H1441">
        <v>4</v>
      </c>
      <c r="I1441" s="1">
        <v>5653.79</v>
      </c>
      <c r="J1441" t="s">
        <v>17</v>
      </c>
      <c r="K1441" t="s">
        <v>18</v>
      </c>
      <c r="L1441" t="str" cm="1">
        <f t="array" ref="L1441">_xlfn.IFS(B1441&lt;30,"18-29",B1441&lt;45,"30-44",B1441&lt;60,"45-59",B1441&lt;75,"60-74",B1441&lt;=90,"75-90")</f>
        <v>30-44</v>
      </c>
      <c r="M1441" t="str">
        <f>IF(Table1[[#This Row],[length_of_stay_days]]&gt;7,"Yes","No")</f>
        <v>No</v>
      </c>
    </row>
    <row r="1442" spans="1:13" x14ac:dyDescent="0.3">
      <c r="A1442" t="s">
        <v>1841</v>
      </c>
      <c r="B1442">
        <v>25</v>
      </c>
      <c r="C1442" t="s">
        <v>12</v>
      </c>
      <c r="D1442" t="s">
        <v>55</v>
      </c>
      <c r="E1442" t="s">
        <v>14</v>
      </c>
      <c r="F1442" t="s">
        <v>791</v>
      </c>
      <c r="G1442" t="s">
        <v>367</v>
      </c>
      <c r="H1442">
        <v>2</v>
      </c>
      <c r="I1442" s="1">
        <v>4693.1099999999997</v>
      </c>
      <c r="J1442" t="s">
        <v>49</v>
      </c>
      <c r="K1442" t="s">
        <v>18</v>
      </c>
      <c r="L1442" t="str" cm="1">
        <f t="array" ref="L1442">_xlfn.IFS(B1442&lt;30,"18-29",B1442&lt;45,"30-44",B1442&lt;60,"45-59",B1442&lt;75,"60-74",B1442&lt;=90,"75-90")</f>
        <v>18-29</v>
      </c>
      <c r="M1442" t="str">
        <f>IF(Table1[[#This Row],[length_of_stay_days]]&gt;7,"Yes","No")</f>
        <v>No</v>
      </c>
    </row>
    <row r="1443" spans="1:13" x14ac:dyDescent="0.3">
      <c r="A1443" t="s">
        <v>1842</v>
      </c>
      <c r="B1443">
        <v>75</v>
      </c>
      <c r="C1443" t="s">
        <v>12</v>
      </c>
      <c r="D1443" t="s">
        <v>28</v>
      </c>
      <c r="E1443" t="s">
        <v>28</v>
      </c>
      <c r="F1443" t="s">
        <v>879</v>
      </c>
      <c r="G1443" t="s">
        <v>212</v>
      </c>
      <c r="H1443">
        <v>2</v>
      </c>
      <c r="I1443" s="1">
        <v>4868.8100000000004</v>
      </c>
      <c r="J1443" t="s">
        <v>17</v>
      </c>
      <c r="K1443" t="s">
        <v>18</v>
      </c>
      <c r="L1443" t="str" cm="1">
        <f t="array" ref="L1443">_xlfn.IFS(B1443&lt;30,"18-29",B1443&lt;45,"30-44",B1443&lt;60,"45-59",B1443&lt;75,"60-74",B1443&lt;=90,"75-90")</f>
        <v>75-90</v>
      </c>
      <c r="M1443" t="str">
        <f>IF(Table1[[#This Row],[length_of_stay_days]]&gt;7,"Yes","No")</f>
        <v>No</v>
      </c>
    </row>
    <row r="1444" spans="1:13" x14ac:dyDescent="0.3">
      <c r="A1444" t="s">
        <v>1843</v>
      </c>
      <c r="B1444">
        <v>83</v>
      </c>
      <c r="C1444" t="s">
        <v>20</v>
      </c>
      <c r="D1444" t="s">
        <v>13</v>
      </c>
      <c r="E1444" t="s">
        <v>21</v>
      </c>
      <c r="F1444" t="s">
        <v>463</v>
      </c>
      <c r="G1444" t="s">
        <v>264</v>
      </c>
      <c r="H1444">
        <v>4</v>
      </c>
      <c r="I1444" s="1">
        <v>6626.88</v>
      </c>
      <c r="J1444" t="s">
        <v>17</v>
      </c>
      <c r="K1444" t="s">
        <v>18</v>
      </c>
      <c r="L1444" t="str" cm="1">
        <f t="array" ref="L1444">_xlfn.IFS(B1444&lt;30,"18-29",B1444&lt;45,"30-44",B1444&lt;60,"45-59",B1444&lt;75,"60-74",B1444&lt;=90,"75-90")</f>
        <v>75-90</v>
      </c>
      <c r="M1444" t="str">
        <f>IF(Table1[[#This Row],[length_of_stay_days]]&gt;7,"Yes","No")</f>
        <v>No</v>
      </c>
    </row>
    <row r="1445" spans="1:13" x14ac:dyDescent="0.3">
      <c r="A1445" t="s">
        <v>1844</v>
      </c>
      <c r="B1445">
        <v>90</v>
      </c>
      <c r="C1445" t="s">
        <v>20</v>
      </c>
      <c r="D1445" t="s">
        <v>46</v>
      </c>
      <c r="E1445" t="s">
        <v>14</v>
      </c>
      <c r="F1445" t="s">
        <v>623</v>
      </c>
      <c r="G1445" t="s">
        <v>195</v>
      </c>
      <c r="H1445">
        <v>10</v>
      </c>
      <c r="I1445" s="1">
        <v>13139.78</v>
      </c>
      <c r="J1445" t="s">
        <v>17</v>
      </c>
      <c r="K1445" t="s">
        <v>18</v>
      </c>
      <c r="L1445" t="str" cm="1">
        <f t="array" ref="L1445">_xlfn.IFS(B1445&lt;30,"18-29",B1445&lt;45,"30-44",B1445&lt;60,"45-59",B1445&lt;75,"60-74",B1445&lt;=90,"75-90")</f>
        <v>75-90</v>
      </c>
      <c r="M1445" t="str">
        <f>IF(Table1[[#This Row],[length_of_stay_days]]&gt;7,"Yes","No")</f>
        <v>Yes</v>
      </c>
    </row>
    <row r="1446" spans="1:13" x14ac:dyDescent="0.3">
      <c r="A1446" t="s">
        <v>1845</v>
      </c>
      <c r="B1446">
        <v>49</v>
      </c>
      <c r="C1446" t="s">
        <v>20</v>
      </c>
      <c r="D1446" t="s">
        <v>13</v>
      </c>
      <c r="E1446" t="s">
        <v>14</v>
      </c>
      <c r="F1446" t="s">
        <v>123</v>
      </c>
      <c r="G1446" t="s">
        <v>112</v>
      </c>
      <c r="H1446">
        <v>3</v>
      </c>
      <c r="I1446" s="1">
        <v>5251.95</v>
      </c>
      <c r="J1446" t="s">
        <v>17</v>
      </c>
      <c r="K1446" t="s">
        <v>18</v>
      </c>
      <c r="L1446" t="str" cm="1">
        <f t="array" ref="L1446">_xlfn.IFS(B1446&lt;30,"18-29",B1446&lt;45,"30-44",B1446&lt;60,"45-59",B1446&lt;75,"60-74",B1446&lt;=90,"75-90")</f>
        <v>45-59</v>
      </c>
      <c r="M1446" t="str">
        <f>IF(Table1[[#This Row],[length_of_stay_days]]&gt;7,"Yes","No")</f>
        <v>No</v>
      </c>
    </row>
    <row r="1447" spans="1:13" x14ac:dyDescent="0.3">
      <c r="A1447" t="s">
        <v>1846</v>
      </c>
      <c r="B1447">
        <v>28</v>
      </c>
      <c r="C1447" t="s">
        <v>70</v>
      </c>
      <c r="D1447" t="s">
        <v>28</v>
      </c>
      <c r="E1447" t="s">
        <v>28</v>
      </c>
      <c r="F1447" t="s">
        <v>169</v>
      </c>
      <c r="G1447" t="s">
        <v>68</v>
      </c>
      <c r="H1447">
        <v>3</v>
      </c>
      <c r="I1447" s="1">
        <v>3924.42</v>
      </c>
      <c r="J1447" t="s">
        <v>49</v>
      </c>
      <c r="K1447" t="s">
        <v>18</v>
      </c>
      <c r="L1447" t="str" cm="1">
        <f t="array" ref="L1447">_xlfn.IFS(B1447&lt;30,"18-29",B1447&lt;45,"30-44",B1447&lt;60,"45-59",B1447&lt;75,"60-74",B1447&lt;=90,"75-90")</f>
        <v>18-29</v>
      </c>
      <c r="M1447" t="str">
        <f>IF(Table1[[#This Row],[length_of_stay_days]]&gt;7,"Yes","No")</f>
        <v>No</v>
      </c>
    </row>
    <row r="1448" spans="1:13" x14ac:dyDescent="0.3">
      <c r="A1448" t="s">
        <v>1847</v>
      </c>
      <c r="B1448">
        <v>44</v>
      </c>
      <c r="C1448" t="s">
        <v>12</v>
      </c>
      <c r="D1448" t="s">
        <v>28</v>
      </c>
      <c r="E1448" t="s">
        <v>28</v>
      </c>
      <c r="F1448" t="s">
        <v>501</v>
      </c>
      <c r="G1448" t="s">
        <v>283</v>
      </c>
      <c r="H1448">
        <v>8</v>
      </c>
      <c r="I1448" s="1">
        <v>9017.74</v>
      </c>
      <c r="J1448" t="s">
        <v>17</v>
      </c>
      <c r="K1448" t="s">
        <v>18</v>
      </c>
      <c r="L1448" t="str" cm="1">
        <f t="array" ref="L1448">_xlfn.IFS(B1448&lt;30,"18-29",B1448&lt;45,"30-44",B1448&lt;60,"45-59",B1448&lt;75,"60-74",B1448&lt;=90,"75-90")</f>
        <v>30-44</v>
      </c>
      <c r="M1448" t="str">
        <f>IF(Table1[[#This Row],[length_of_stay_days]]&gt;7,"Yes","No")</f>
        <v>Yes</v>
      </c>
    </row>
    <row r="1449" spans="1:13" x14ac:dyDescent="0.3">
      <c r="A1449" t="s">
        <v>1848</v>
      </c>
      <c r="B1449">
        <v>72</v>
      </c>
      <c r="C1449" t="s">
        <v>20</v>
      </c>
      <c r="D1449" t="s">
        <v>13</v>
      </c>
      <c r="E1449" t="s">
        <v>28</v>
      </c>
      <c r="F1449" t="s">
        <v>371</v>
      </c>
      <c r="G1449" t="s">
        <v>355</v>
      </c>
      <c r="H1449">
        <v>7</v>
      </c>
      <c r="I1449" s="1">
        <v>9140.7800000000007</v>
      </c>
      <c r="J1449" t="s">
        <v>17</v>
      </c>
      <c r="K1449" t="s">
        <v>44</v>
      </c>
      <c r="L1449" t="str" cm="1">
        <f t="array" ref="L1449">_xlfn.IFS(B1449&lt;30,"18-29",B1449&lt;45,"30-44",B1449&lt;60,"45-59",B1449&lt;75,"60-74",B1449&lt;=90,"75-90")</f>
        <v>60-74</v>
      </c>
      <c r="M1449" t="str">
        <f>IF(Table1[[#This Row],[length_of_stay_days]]&gt;7,"Yes","No")</f>
        <v>No</v>
      </c>
    </row>
    <row r="1450" spans="1:13" x14ac:dyDescent="0.3">
      <c r="A1450" t="s">
        <v>1849</v>
      </c>
      <c r="B1450">
        <v>35</v>
      </c>
      <c r="C1450" t="s">
        <v>12</v>
      </c>
      <c r="D1450" t="s">
        <v>13</v>
      </c>
      <c r="E1450" t="s">
        <v>28</v>
      </c>
      <c r="F1450" t="s">
        <v>137</v>
      </c>
      <c r="G1450" t="s">
        <v>609</v>
      </c>
      <c r="H1450">
        <v>7</v>
      </c>
      <c r="I1450" s="1">
        <v>7401.79</v>
      </c>
      <c r="J1450" t="s">
        <v>17</v>
      </c>
      <c r="K1450" t="s">
        <v>18</v>
      </c>
      <c r="L1450" t="str" cm="1">
        <f t="array" ref="L1450">_xlfn.IFS(B1450&lt;30,"18-29",B1450&lt;45,"30-44",B1450&lt;60,"45-59",B1450&lt;75,"60-74",B1450&lt;=90,"75-90")</f>
        <v>30-44</v>
      </c>
      <c r="M1450" t="str">
        <f>IF(Table1[[#This Row],[length_of_stay_days]]&gt;7,"Yes","No")</f>
        <v>No</v>
      </c>
    </row>
    <row r="1451" spans="1:13" x14ac:dyDescent="0.3">
      <c r="A1451" t="s">
        <v>1850</v>
      </c>
      <c r="B1451">
        <v>44</v>
      </c>
      <c r="C1451" t="s">
        <v>20</v>
      </c>
      <c r="D1451" t="s">
        <v>13</v>
      </c>
      <c r="E1451" t="s">
        <v>14</v>
      </c>
      <c r="F1451" t="s">
        <v>182</v>
      </c>
      <c r="G1451" t="s">
        <v>275</v>
      </c>
      <c r="H1451">
        <v>2</v>
      </c>
      <c r="I1451" s="1">
        <v>4082.09</v>
      </c>
      <c r="J1451" t="s">
        <v>17</v>
      </c>
      <c r="K1451" t="s">
        <v>18</v>
      </c>
      <c r="L1451" t="str" cm="1">
        <f t="array" ref="L1451">_xlfn.IFS(B1451&lt;30,"18-29",B1451&lt;45,"30-44",B1451&lt;60,"45-59",B1451&lt;75,"60-74",B1451&lt;=90,"75-90")</f>
        <v>30-44</v>
      </c>
      <c r="M1451" t="str">
        <f>IF(Table1[[#This Row],[length_of_stay_days]]&gt;7,"Yes","No")</f>
        <v>No</v>
      </c>
    </row>
    <row r="1452" spans="1:13" x14ac:dyDescent="0.3">
      <c r="A1452" t="s">
        <v>1851</v>
      </c>
      <c r="B1452">
        <v>39</v>
      </c>
      <c r="C1452" t="s">
        <v>12</v>
      </c>
      <c r="D1452" t="s">
        <v>32</v>
      </c>
      <c r="E1452" t="s">
        <v>28</v>
      </c>
      <c r="F1452" t="s">
        <v>613</v>
      </c>
      <c r="G1452" t="s">
        <v>83</v>
      </c>
      <c r="H1452">
        <v>4</v>
      </c>
      <c r="I1452" s="1">
        <v>9474.64</v>
      </c>
      <c r="J1452" t="s">
        <v>49</v>
      </c>
      <c r="K1452" t="s">
        <v>18</v>
      </c>
      <c r="L1452" t="str" cm="1">
        <f t="array" ref="L1452">_xlfn.IFS(B1452&lt;30,"18-29",B1452&lt;45,"30-44",B1452&lt;60,"45-59",B1452&lt;75,"60-74",B1452&lt;=90,"75-90")</f>
        <v>30-44</v>
      </c>
      <c r="M1452" t="str">
        <f>IF(Table1[[#This Row],[length_of_stay_days]]&gt;7,"Yes","No")</f>
        <v>No</v>
      </c>
    </row>
    <row r="1453" spans="1:13" x14ac:dyDescent="0.3">
      <c r="A1453" t="s">
        <v>1852</v>
      </c>
      <c r="B1453">
        <v>68</v>
      </c>
      <c r="C1453" t="s">
        <v>12</v>
      </c>
      <c r="D1453" t="s">
        <v>55</v>
      </c>
      <c r="E1453" t="s">
        <v>28</v>
      </c>
      <c r="F1453" t="s">
        <v>47</v>
      </c>
      <c r="G1453" t="s">
        <v>841</v>
      </c>
      <c r="H1453">
        <v>3</v>
      </c>
      <c r="I1453" s="1">
        <v>7158.45</v>
      </c>
      <c r="J1453" t="s">
        <v>49</v>
      </c>
      <c r="K1453" t="s">
        <v>18</v>
      </c>
      <c r="L1453" t="str" cm="1">
        <f t="array" ref="L1453">_xlfn.IFS(B1453&lt;30,"18-29",B1453&lt;45,"30-44",B1453&lt;60,"45-59",B1453&lt;75,"60-74",B1453&lt;=90,"75-90")</f>
        <v>60-74</v>
      </c>
      <c r="M1453" t="str">
        <f>IF(Table1[[#This Row],[length_of_stay_days]]&gt;7,"Yes","No")</f>
        <v>No</v>
      </c>
    </row>
    <row r="1454" spans="1:13" x14ac:dyDescent="0.3">
      <c r="A1454" t="s">
        <v>1853</v>
      </c>
      <c r="B1454">
        <v>80</v>
      </c>
      <c r="C1454" t="s">
        <v>20</v>
      </c>
      <c r="D1454" t="s">
        <v>55</v>
      </c>
      <c r="E1454" t="s">
        <v>28</v>
      </c>
      <c r="F1454" t="s">
        <v>584</v>
      </c>
      <c r="G1454" t="s">
        <v>252</v>
      </c>
      <c r="H1454">
        <v>7</v>
      </c>
      <c r="I1454" s="1">
        <v>10027.56</v>
      </c>
      <c r="J1454" t="s">
        <v>17</v>
      </c>
      <c r="K1454" t="s">
        <v>18</v>
      </c>
      <c r="L1454" t="str" cm="1">
        <f t="array" ref="L1454">_xlfn.IFS(B1454&lt;30,"18-29",B1454&lt;45,"30-44",B1454&lt;60,"45-59",B1454&lt;75,"60-74",B1454&lt;=90,"75-90")</f>
        <v>75-90</v>
      </c>
      <c r="M1454" t="str">
        <f>IF(Table1[[#This Row],[length_of_stay_days]]&gt;7,"Yes","No")</f>
        <v>No</v>
      </c>
    </row>
    <row r="1455" spans="1:13" x14ac:dyDescent="0.3">
      <c r="A1455" t="s">
        <v>1854</v>
      </c>
      <c r="B1455">
        <v>31</v>
      </c>
      <c r="C1455" t="s">
        <v>20</v>
      </c>
      <c r="D1455" t="s">
        <v>32</v>
      </c>
      <c r="E1455" t="s">
        <v>14</v>
      </c>
      <c r="F1455" t="s">
        <v>234</v>
      </c>
      <c r="G1455" t="s">
        <v>103</v>
      </c>
      <c r="H1455">
        <v>2</v>
      </c>
      <c r="I1455" s="1">
        <v>8962.75</v>
      </c>
      <c r="J1455" t="s">
        <v>49</v>
      </c>
      <c r="K1455" t="s">
        <v>18</v>
      </c>
      <c r="L1455" t="str" cm="1">
        <f t="array" ref="L1455">_xlfn.IFS(B1455&lt;30,"18-29",B1455&lt;45,"30-44",B1455&lt;60,"45-59",B1455&lt;75,"60-74",B1455&lt;=90,"75-90")</f>
        <v>30-44</v>
      </c>
      <c r="M1455" t="str">
        <f>IF(Table1[[#This Row],[length_of_stay_days]]&gt;7,"Yes","No")</f>
        <v>No</v>
      </c>
    </row>
    <row r="1456" spans="1:13" x14ac:dyDescent="0.3">
      <c r="A1456" t="s">
        <v>1855</v>
      </c>
      <c r="B1456">
        <v>47</v>
      </c>
      <c r="C1456" t="s">
        <v>12</v>
      </c>
      <c r="D1456" t="s">
        <v>28</v>
      </c>
      <c r="E1456" t="s">
        <v>21</v>
      </c>
      <c r="F1456" t="s">
        <v>1018</v>
      </c>
      <c r="G1456" t="s">
        <v>411</v>
      </c>
      <c r="H1456">
        <v>6</v>
      </c>
      <c r="I1456" s="1">
        <v>3990.31</v>
      </c>
      <c r="J1456" t="s">
        <v>17</v>
      </c>
      <c r="K1456" t="s">
        <v>18</v>
      </c>
      <c r="L1456" t="str" cm="1">
        <f t="array" ref="L1456">_xlfn.IFS(B1456&lt;30,"18-29",B1456&lt;45,"30-44",B1456&lt;60,"45-59",B1456&lt;75,"60-74",B1456&lt;=90,"75-90")</f>
        <v>45-59</v>
      </c>
      <c r="M1456" t="str">
        <f>IF(Table1[[#This Row],[length_of_stay_days]]&gt;7,"Yes","No")</f>
        <v>No</v>
      </c>
    </row>
    <row r="1457" spans="1:13" x14ac:dyDescent="0.3">
      <c r="A1457" t="s">
        <v>1856</v>
      </c>
      <c r="B1457">
        <v>80</v>
      </c>
      <c r="C1457" t="s">
        <v>12</v>
      </c>
      <c r="D1457" t="s">
        <v>32</v>
      </c>
      <c r="E1457" t="s">
        <v>28</v>
      </c>
      <c r="F1457" t="s">
        <v>328</v>
      </c>
      <c r="G1457" t="s">
        <v>112</v>
      </c>
      <c r="H1457">
        <v>7</v>
      </c>
      <c r="I1457" s="1">
        <v>13244.36</v>
      </c>
      <c r="J1457" t="s">
        <v>49</v>
      </c>
      <c r="K1457" t="s">
        <v>18</v>
      </c>
      <c r="L1457" t="str" cm="1">
        <f t="array" ref="L1457">_xlfn.IFS(B1457&lt;30,"18-29",B1457&lt;45,"30-44",B1457&lt;60,"45-59",B1457&lt;75,"60-74",B1457&lt;=90,"75-90")</f>
        <v>75-90</v>
      </c>
      <c r="M1457" t="str">
        <f>IF(Table1[[#This Row],[length_of_stay_days]]&gt;7,"Yes","No")</f>
        <v>No</v>
      </c>
    </row>
    <row r="1458" spans="1:13" x14ac:dyDescent="0.3">
      <c r="A1458" t="s">
        <v>1857</v>
      </c>
      <c r="B1458">
        <v>40</v>
      </c>
      <c r="C1458" t="s">
        <v>12</v>
      </c>
      <c r="D1458" t="s">
        <v>32</v>
      </c>
      <c r="E1458" t="s">
        <v>14</v>
      </c>
      <c r="F1458" t="s">
        <v>282</v>
      </c>
      <c r="G1458" t="s">
        <v>823</v>
      </c>
      <c r="H1458">
        <v>8</v>
      </c>
      <c r="I1458" s="1">
        <v>13368.27</v>
      </c>
      <c r="J1458" t="s">
        <v>17</v>
      </c>
      <c r="K1458" t="s">
        <v>18</v>
      </c>
      <c r="L1458" t="str" cm="1">
        <f t="array" ref="L1458">_xlfn.IFS(B1458&lt;30,"18-29",B1458&lt;45,"30-44",B1458&lt;60,"45-59",B1458&lt;75,"60-74",B1458&lt;=90,"75-90")</f>
        <v>30-44</v>
      </c>
      <c r="M1458" t="str">
        <f>IF(Table1[[#This Row],[length_of_stay_days]]&gt;7,"Yes","No")</f>
        <v>Yes</v>
      </c>
    </row>
    <row r="1459" spans="1:13" x14ac:dyDescent="0.3">
      <c r="A1459" t="s">
        <v>1858</v>
      </c>
      <c r="B1459">
        <v>58</v>
      </c>
      <c r="C1459" t="s">
        <v>12</v>
      </c>
      <c r="D1459" t="s">
        <v>55</v>
      </c>
      <c r="E1459" t="s">
        <v>14</v>
      </c>
      <c r="F1459" t="s">
        <v>831</v>
      </c>
      <c r="G1459" t="s">
        <v>221</v>
      </c>
      <c r="H1459">
        <v>6</v>
      </c>
      <c r="I1459" s="1">
        <v>8197.89</v>
      </c>
      <c r="J1459" t="s">
        <v>17</v>
      </c>
      <c r="K1459" t="s">
        <v>18</v>
      </c>
      <c r="L1459" t="str" cm="1">
        <f t="array" ref="L1459">_xlfn.IFS(B1459&lt;30,"18-29",B1459&lt;45,"30-44",B1459&lt;60,"45-59",B1459&lt;75,"60-74",B1459&lt;=90,"75-90")</f>
        <v>45-59</v>
      </c>
      <c r="M1459" t="str">
        <f>IF(Table1[[#This Row],[length_of_stay_days]]&gt;7,"Yes","No")</f>
        <v>No</v>
      </c>
    </row>
    <row r="1460" spans="1:13" x14ac:dyDescent="0.3">
      <c r="A1460" t="s">
        <v>1859</v>
      </c>
      <c r="B1460">
        <v>90</v>
      </c>
      <c r="C1460" t="s">
        <v>12</v>
      </c>
      <c r="D1460" t="s">
        <v>51</v>
      </c>
      <c r="E1460" t="s">
        <v>21</v>
      </c>
      <c r="F1460" t="s">
        <v>210</v>
      </c>
      <c r="G1460" t="s">
        <v>118</v>
      </c>
      <c r="H1460">
        <v>9</v>
      </c>
      <c r="I1460" s="1">
        <v>12529.33</v>
      </c>
      <c r="J1460" t="s">
        <v>17</v>
      </c>
      <c r="K1460" t="s">
        <v>18</v>
      </c>
      <c r="L1460" t="str" cm="1">
        <f t="array" ref="L1460">_xlfn.IFS(B1460&lt;30,"18-29",B1460&lt;45,"30-44",B1460&lt;60,"45-59",B1460&lt;75,"60-74",B1460&lt;=90,"75-90")</f>
        <v>75-90</v>
      </c>
      <c r="M1460" t="str">
        <f>IF(Table1[[#This Row],[length_of_stay_days]]&gt;7,"Yes","No")</f>
        <v>Yes</v>
      </c>
    </row>
    <row r="1461" spans="1:13" x14ac:dyDescent="0.3">
      <c r="A1461" t="s">
        <v>1860</v>
      </c>
      <c r="B1461">
        <v>35</v>
      </c>
      <c r="C1461" t="s">
        <v>20</v>
      </c>
      <c r="D1461" t="s">
        <v>28</v>
      </c>
      <c r="E1461" t="s">
        <v>14</v>
      </c>
      <c r="F1461" t="s">
        <v>537</v>
      </c>
      <c r="G1461" t="s">
        <v>286</v>
      </c>
      <c r="H1461">
        <v>3</v>
      </c>
      <c r="I1461" s="1">
        <v>4967.2</v>
      </c>
      <c r="J1461" t="s">
        <v>17</v>
      </c>
      <c r="K1461" t="s">
        <v>44</v>
      </c>
      <c r="L1461" t="str" cm="1">
        <f t="array" ref="L1461">_xlfn.IFS(B1461&lt;30,"18-29",B1461&lt;45,"30-44",B1461&lt;60,"45-59",B1461&lt;75,"60-74",B1461&lt;=90,"75-90")</f>
        <v>30-44</v>
      </c>
      <c r="M1461" t="str">
        <f>IF(Table1[[#This Row],[length_of_stay_days]]&gt;7,"Yes","No")</f>
        <v>No</v>
      </c>
    </row>
    <row r="1462" spans="1:13" x14ac:dyDescent="0.3">
      <c r="A1462" t="s">
        <v>1861</v>
      </c>
      <c r="B1462">
        <v>77</v>
      </c>
      <c r="C1462" t="s">
        <v>20</v>
      </c>
      <c r="D1462" t="s">
        <v>55</v>
      </c>
      <c r="E1462" t="s">
        <v>14</v>
      </c>
      <c r="F1462" t="s">
        <v>357</v>
      </c>
      <c r="G1462" t="s">
        <v>37</v>
      </c>
      <c r="H1462">
        <v>8</v>
      </c>
      <c r="I1462" s="1">
        <v>13504.45</v>
      </c>
      <c r="J1462" t="s">
        <v>17</v>
      </c>
      <c r="K1462" t="s">
        <v>18</v>
      </c>
      <c r="L1462" t="str" cm="1">
        <f t="array" ref="L1462">_xlfn.IFS(B1462&lt;30,"18-29",B1462&lt;45,"30-44",B1462&lt;60,"45-59",B1462&lt;75,"60-74",B1462&lt;=90,"75-90")</f>
        <v>75-90</v>
      </c>
      <c r="M1462" t="str">
        <f>IF(Table1[[#This Row],[length_of_stay_days]]&gt;7,"Yes","No")</f>
        <v>Yes</v>
      </c>
    </row>
    <row r="1463" spans="1:13" x14ac:dyDescent="0.3">
      <c r="A1463" t="s">
        <v>1862</v>
      </c>
      <c r="B1463">
        <v>76</v>
      </c>
      <c r="C1463" t="s">
        <v>12</v>
      </c>
      <c r="D1463" t="s">
        <v>13</v>
      </c>
      <c r="E1463" t="s">
        <v>28</v>
      </c>
      <c r="F1463" t="s">
        <v>271</v>
      </c>
      <c r="G1463" t="s">
        <v>433</v>
      </c>
      <c r="H1463">
        <v>6</v>
      </c>
      <c r="I1463" s="1">
        <v>6788.31</v>
      </c>
      <c r="J1463" t="s">
        <v>17</v>
      </c>
      <c r="K1463" t="s">
        <v>18</v>
      </c>
      <c r="L1463" t="str" cm="1">
        <f t="array" ref="L1463">_xlfn.IFS(B1463&lt;30,"18-29",B1463&lt;45,"30-44",B1463&lt;60,"45-59",B1463&lt;75,"60-74",B1463&lt;=90,"75-90")</f>
        <v>75-90</v>
      </c>
      <c r="M1463" t="str">
        <f>IF(Table1[[#This Row],[length_of_stay_days]]&gt;7,"Yes","No")</f>
        <v>No</v>
      </c>
    </row>
    <row r="1464" spans="1:13" x14ac:dyDescent="0.3">
      <c r="A1464" t="s">
        <v>1863</v>
      </c>
      <c r="B1464">
        <v>85</v>
      </c>
      <c r="C1464" t="s">
        <v>12</v>
      </c>
      <c r="D1464" t="s">
        <v>28</v>
      </c>
      <c r="E1464" t="s">
        <v>28</v>
      </c>
      <c r="F1464" t="s">
        <v>30</v>
      </c>
      <c r="G1464" t="s">
        <v>555</v>
      </c>
      <c r="H1464">
        <v>10</v>
      </c>
      <c r="I1464" s="1">
        <v>10635.7</v>
      </c>
      <c r="J1464" t="s">
        <v>49</v>
      </c>
      <c r="K1464" t="s">
        <v>18</v>
      </c>
      <c r="L1464" t="str" cm="1">
        <f t="array" ref="L1464">_xlfn.IFS(B1464&lt;30,"18-29",B1464&lt;45,"30-44",B1464&lt;60,"45-59",B1464&lt;75,"60-74",B1464&lt;=90,"75-90")</f>
        <v>75-90</v>
      </c>
      <c r="M1464" t="str">
        <f>IF(Table1[[#This Row],[length_of_stay_days]]&gt;7,"Yes","No")</f>
        <v>Yes</v>
      </c>
    </row>
    <row r="1465" spans="1:13" x14ac:dyDescent="0.3">
      <c r="A1465" t="s">
        <v>1864</v>
      </c>
      <c r="B1465">
        <v>89</v>
      </c>
      <c r="C1465" t="s">
        <v>20</v>
      </c>
      <c r="D1465" t="s">
        <v>28</v>
      </c>
      <c r="E1465" t="s">
        <v>28</v>
      </c>
      <c r="F1465" t="s">
        <v>309</v>
      </c>
      <c r="G1465" t="s">
        <v>299</v>
      </c>
      <c r="H1465">
        <v>3</v>
      </c>
      <c r="I1465" s="1">
        <v>2628.11</v>
      </c>
      <c r="J1465" t="s">
        <v>17</v>
      </c>
      <c r="K1465" t="s">
        <v>18</v>
      </c>
      <c r="L1465" t="str" cm="1">
        <f t="array" ref="L1465">_xlfn.IFS(B1465&lt;30,"18-29",B1465&lt;45,"30-44",B1465&lt;60,"45-59",B1465&lt;75,"60-74",B1465&lt;=90,"75-90")</f>
        <v>75-90</v>
      </c>
      <c r="M1465" t="str">
        <f>IF(Table1[[#This Row],[length_of_stay_days]]&gt;7,"Yes","No")</f>
        <v>No</v>
      </c>
    </row>
    <row r="1466" spans="1:13" x14ac:dyDescent="0.3">
      <c r="A1466" t="s">
        <v>1865</v>
      </c>
      <c r="B1466">
        <v>34</v>
      </c>
      <c r="C1466" t="s">
        <v>20</v>
      </c>
      <c r="D1466" t="s">
        <v>32</v>
      </c>
      <c r="E1466" t="s">
        <v>28</v>
      </c>
      <c r="F1466" t="s">
        <v>787</v>
      </c>
      <c r="H1466">
        <v>6</v>
      </c>
      <c r="I1466" s="1">
        <v>12868.68</v>
      </c>
      <c r="J1466" t="s">
        <v>17</v>
      </c>
      <c r="K1466" t="s">
        <v>18</v>
      </c>
      <c r="L1466" t="str" cm="1">
        <f t="array" ref="L1466">_xlfn.IFS(B1466&lt;30,"18-29",B1466&lt;45,"30-44",B1466&lt;60,"45-59",B1466&lt;75,"60-74",B1466&lt;=90,"75-90")</f>
        <v>30-44</v>
      </c>
      <c r="M1466" t="str">
        <f>IF(Table1[[#This Row],[length_of_stay_days]]&gt;7,"Yes","No")</f>
        <v>No</v>
      </c>
    </row>
    <row r="1467" spans="1:13" x14ac:dyDescent="0.3">
      <c r="A1467" t="s">
        <v>1866</v>
      </c>
      <c r="B1467">
        <v>52</v>
      </c>
      <c r="C1467" t="s">
        <v>12</v>
      </c>
      <c r="D1467" t="s">
        <v>46</v>
      </c>
      <c r="E1467" t="s">
        <v>28</v>
      </c>
      <c r="F1467" t="s">
        <v>1248</v>
      </c>
      <c r="G1467" t="s">
        <v>413</v>
      </c>
      <c r="H1467">
        <v>8</v>
      </c>
      <c r="I1467" s="1">
        <v>11641.34</v>
      </c>
      <c r="J1467" t="s">
        <v>17</v>
      </c>
      <c r="K1467" t="s">
        <v>18</v>
      </c>
      <c r="L1467" t="str" cm="1">
        <f t="array" ref="L1467">_xlfn.IFS(B1467&lt;30,"18-29",B1467&lt;45,"30-44",B1467&lt;60,"45-59",B1467&lt;75,"60-74",B1467&lt;=90,"75-90")</f>
        <v>45-59</v>
      </c>
      <c r="M1467" t="str">
        <f>IF(Table1[[#This Row],[length_of_stay_days]]&gt;7,"Yes","No")</f>
        <v>Yes</v>
      </c>
    </row>
    <row r="1468" spans="1:13" x14ac:dyDescent="0.3">
      <c r="A1468" t="s">
        <v>1867</v>
      </c>
      <c r="B1468">
        <v>60</v>
      </c>
      <c r="C1468" t="s">
        <v>12</v>
      </c>
      <c r="D1468" t="s">
        <v>13</v>
      </c>
      <c r="E1468" t="s">
        <v>28</v>
      </c>
      <c r="F1468" t="s">
        <v>71</v>
      </c>
      <c r="G1468" t="s">
        <v>712</v>
      </c>
      <c r="H1468">
        <v>4</v>
      </c>
      <c r="I1468" s="1">
        <v>5598.84</v>
      </c>
      <c r="J1468" t="s">
        <v>17</v>
      </c>
      <c r="K1468" t="s">
        <v>18</v>
      </c>
      <c r="L1468" t="str" cm="1">
        <f t="array" ref="L1468">_xlfn.IFS(B1468&lt;30,"18-29",B1468&lt;45,"30-44",B1468&lt;60,"45-59",B1468&lt;75,"60-74",B1468&lt;=90,"75-90")</f>
        <v>60-74</v>
      </c>
      <c r="M1468" t="str">
        <f>IF(Table1[[#This Row],[length_of_stay_days]]&gt;7,"Yes","No")</f>
        <v>No</v>
      </c>
    </row>
    <row r="1469" spans="1:13" x14ac:dyDescent="0.3">
      <c r="A1469" t="s">
        <v>1868</v>
      </c>
      <c r="B1469">
        <v>88</v>
      </c>
      <c r="C1469" t="s">
        <v>12</v>
      </c>
      <c r="D1469" t="s">
        <v>55</v>
      </c>
      <c r="E1469" t="s">
        <v>28</v>
      </c>
      <c r="F1469" t="s">
        <v>584</v>
      </c>
      <c r="G1469" t="s">
        <v>99</v>
      </c>
      <c r="H1469">
        <v>10</v>
      </c>
      <c r="I1469" s="1">
        <v>12224.68</v>
      </c>
      <c r="J1469" t="s">
        <v>49</v>
      </c>
      <c r="K1469" t="s">
        <v>44</v>
      </c>
      <c r="L1469" t="str" cm="1">
        <f t="array" ref="L1469">_xlfn.IFS(B1469&lt;30,"18-29",B1469&lt;45,"30-44",B1469&lt;60,"45-59",B1469&lt;75,"60-74",B1469&lt;=90,"75-90")</f>
        <v>75-90</v>
      </c>
      <c r="M1469" t="str">
        <f>IF(Table1[[#This Row],[length_of_stay_days]]&gt;7,"Yes","No")</f>
        <v>Yes</v>
      </c>
    </row>
    <row r="1470" spans="1:13" x14ac:dyDescent="0.3">
      <c r="A1470" t="s">
        <v>1869</v>
      </c>
      <c r="B1470">
        <v>39</v>
      </c>
      <c r="C1470" t="s">
        <v>20</v>
      </c>
      <c r="D1470" t="s">
        <v>28</v>
      </c>
      <c r="E1470" t="s">
        <v>28</v>
      </c>
      <c r="F1470" t="s">
        <v>364</v>
      </c>
      <c r="G1470" t="s">
        <v>730</v>
      </c>
      <c r="H1470">
        <v>4</v>
      </c>
      <c r="I1470" s="1">
        <v>5514.67</v>
      </c>
      <c r="J1470" t="s">
        <v>17</v>
      </c>
      <c r="K1470" t="s">
        <v>18</v>
      </c>
      <c r="L1470" t="str" cm="1">
        <f t="array" ref="L1470">_xlfn.IFS(B1470&lt;30,"18-29",B1470&lt;45,"30-44",B1470&lt;60,"45-59",B1470&lt;75,"60-74",B1470&lt;=90,"75-90")</f>
        <v>30-44</v>
      </c>
      <c r="M1470" t="str">
        <f>IF(Table1[[#This Row],[length_of_stay_days]]&gt;7,"Yes","No")</f>
        <v>No</v>
      </c>
    </row>
    <row r="1471" spans="1:13" x14ac:dyDescent="0.3">
      <c r="A1471" t="s">
        <v>1870</v>
      </c>
      <c r="B1471">
        <v>69</v>
      </c>
      <c r="C1471" t="s">
        <v>12</v>
      </c>
      <c r="D1471" t="s">
        <v>46</v>
      </c>
      <c r="E1471" t="s">
        <v>28</v>
      </c>
      <c r="F1471" t="s">
        <v>656</v>
      </c>
      <c r="G1471" t="s">
        <v>778</v>
      </c>
      <c r="H1471">
        <v>6</v>
      </c>
      <c r="I1471" s="1">
        <v>11531.46</v>
      </c>
      <c r="J1471" t="s">
        <v>17</v>
      </c>
      <c r="K1471" t="s">
        <v>18</v>
      </c>
      <c r="L1471" t="str" cm="1">
        <f t="array" ref="L1471">_xlfn.IFS(B1471&lt;30,"18-29",B1471&lt;45,"30-44",B1471&lt;60,"45-59",B1471&lt;75,"60-74",B1471&lt;=90,"75-90")</f>
        <v>60-74</v>
      </c>
      <c r="M1471" t="str">
        <f>IF(Table1[[#This Row],[length_of_stay_days]]&gt;7,"Yes","No")</f>
        <v>No</v>
      </c>
    </row>
    <row r="1472" spans="1:13" x14ac:dyDescent="0.3">
      <c r="A1472" t="s">
        <v>1871</v>
      </c>
      <c r="B1472">
        <v>67</v>
      </c>
      <c r="C1472" t="s">
        <v>12</v>
      </c>
      <c r="D1472" t="s">
        <v>13</v>
      </c>
      <c r="E1472" t="s">
        <v>28</v>
      </c>
      <c r="F1472" t="s">
        <v>243</v>
      </c>
      <c r="G1472" t="s">
        <v>301</v>
      </c>
      <c r="H1472">
        <v>6</v>
      </c>
      <c r="I1472" s="1">
        <v>6054.92</v>
      </c>
      <c r="J1472" t="s">
        <v>17</v>
      </c>
      <c r="K1472" t="s">
        <v>18</v>
      </c>
      <c r="L1472" t="str" cm="1">
        <f t="array" ref="L1472">_xlfn.IFS(B1472&lt;30,"18-29",B1472&lt;45,"30-44",B1472&lt;60,"45-59",B1472&lt;75,"60-74",B1472&lt;=90,"75-90")</f>
        <v>60-74</v>
      </c>
      <c r="M1472" t="str">
        <f>IF(Table1[[#This Row],[length_of_stay_days]]&gt;7,"Yes","No")</f>
        <v>No</v>
      </c>
    </row>
    <row r="1473" spans="1:13" x14ac:dyDescent="0.3">
      <c r="A1473" t="s">
        <v>1872</v>
      </c>
      <c r="B1473">
        <v>51</v>
      </c>
      <c r="C1473" t="s">
        <v>12</v>
      </c>
      <c r="D1473" t="s">
        <v>51</v>
      </c>
      <c r="E1473" t="s">
        <v>28</v>
      </c>
      <c r="F1473" t="s">
        <v>512</v>
      </c>
      <c r="G1473" t="s">
        <v>462</v>
      </c>
      <c r="H1473">
        <v>7</v>
      </c>
      <c r="I1473" s="1">
        <v>14389.76</v>
      </c>
      <c r="J1473" t="s">
        <v>17</v>
      </c>
      <c r="K1473" t="s">
        <v>18</v>
      </c>
      <c r="L1473" t="str" cm="1">
        <f t="array" ref="L1473">_xlfn.IFS(B1473&lt;30,"18-29",B1473&lt;45,"30-44",B1473&lt;60,"45-59",B1473&lt;75,"60-74",B1473&lt;=90,"75-90")</f>
        <v>45-59</v>
      </c>
      <c r="M1473" t="str">
        <f>IF(Table1[[#This Row],[length_of_stay_days]]&gt;7,"Yes","No")</f>
        <v>No</v>
      </c>
    </row>
    <row r="1474" spans="1:13" x14ac:dyDescent="0.3">
      <c r="A1474" t="s">
        <v>1873</v>
      </c>
      <c r="B1474">
        <v>82</v>
      </c>
      <c r="C1474" t="s">
        <v>20</v>
      </c>
      <c r="D1474" t="s">
        <v>51</v>
      </c>
      <c r="E1474" t="s">
        <v>28</v>
      </c>
      <c r="F1474" t="s">
        <v>1160</v>
      </c>
      <c r="G1474" t="s">
        <v>575</v>
      </c>
      <c r="H1474">
        <v>6</v>
      </c>
      <c r="I1474" s="1">
        <v>10971.82</v>
      </c>
      <c r="J1474" t="s">
        <v>17</v>
      </c>
      <c r="K1474" t="s">
        <v>18</v>
      </c>
      <c r="L1474" t="str" cm="1">
        <f t="array" ref="L1474">_xlfn.IFS(B1474&lt;30,"18-29",B1474&lt;45,"30-44",B1474&lt;60,"45-59",B1474&lt;75,"60-74",B1474&lt;=90,"75-90")</f>
        <v>75-90</v>
      </c>
      <c r="M1474" t="str">
        <f>IF(Table1[[#This Row],[length_of_stay_days]]&gt;7,"Yes","No")</f>
        <v>No</v>
      </c>
    </row>
    <row r="1475" spans="1:13" x14ac:dyDescent="0.3">
      <c r="A1475" t="s">
        <v>1874</v>
      </c>
      <c r="B1475">
        <v>20</v>
      </c>
      <c r="C1475" t="s">
        <v>20</v>
      </c>
      <c r="D1475" t="s">
        <v>32</v>
      </c>
      <c r="E1475" t="s">
        <v>28</v>
      </c>
      <c r="F1475" t="s">
        <v>471</v>
      </c>
      <c r="G1475" t="s">
        <v>371</v>
      </c>
      <c r="H1475">
        <v>8</v>
      </c>
      <c r="I1475" s="1">
        <v>11165.98</v>
      </c>
      <c r="J1475" t="s">
        <v>17</v>
      </c>
      <c r="K1475" t="s">
        <v>18</v>
      </c>
      <c r="L1475" t="str" cm="1">
        <f t="array" ref="L1475">_xlfn.IFS(B1475&lt;30,"18-29",B1475&lt;45,"30-44",B1475&lt;60,"45-59",B1475&lt;75,"60-74",B1475&lt;=90,"75-90")</f>
        <v>18-29</v>
      </c>
      <c r="M1475" t="str">
        <f>IF(Table1[[#This Row],[length_of_stay_days]]&gt;7,"Yes","No")</f>
        <v>Yes</v>
      </c>
    </row>
    <row r="1476" spans="1:13" x14ac:dyDescent="0.3">
      <c r="A1476" t="s">
        <v>1875</v>
      </c>
      <c r="B1476">
        <v>62</v>
      </c>
      <c r="C1476" t="s">
        <v>12</v>
      </c>
      <c r="D1476" t="s">
        <v>51</v>
      </c>
      <c r="E1476" t="s">
        <v>21</v>
      </c>
      <c r="F1476" t="s">
        <v>390</v>
      </c>
      <c r="G1476" t="s">
        <v>654</v>
      </c>
      <c r="H1476">
        <v>6</v>
      </c>
      <c r="I1476" s="1">
        <v>9679.15</v>
      </c>
      <c r="J1476" t="s">
        <v>17</v>
      </c>
      <c r="K1476" t="s">
        <v>18</v>
      </c>
      <c r="L1476" t="str" cm="1">
        <f t="array" ref="L1476">_xlfn.IFS(B1476&lt;30,"18-29",B1476&lt;45,"30-44",B1476&lt;60,"45-59",B1476&lt;75,"60-74",B1476&lt;=90,"75-90")</f>
        <v>60-74</v>
      </c>
      <c r="M1476" t="str">
        <f>IF(Table1[[#This Row],[length_of_stay_days]]&gt;7,"Yes","No")</f>
        <v>No</v>
      </c>
    </row>
    <row r="1477" spans="1:13" x14ac:dyDescent="0.3">
      <c r="A1477" t="s">
        <v>1876</v>
      </c>
      <c r="B1477">
        <v>79</v>
      </c>
      <c r="C1477" t="s">
        <v>12</v>
      </c>
      <c r="D1477" t="s">
        <v>13</v>
      </c>
      <c r="E1477" t="s">
        <v>14</v>
      </c>
      <c r="F1477" t="s">
        <v>928</v>
      </c>
      <c r="G1477" t="s">
        <v>23</v>
      </c>
      <c r="H1477">
        <v>5</v>
      </c>
      <c r="I1477" s="1">
        <v>7155.43</v>
      </c>
      <c r="J1477" t="s">
        <v>17</v>
      </c>
      <c r="K1477" t="s">
        <v>18</v>
      </c>
      <c r="L1477" t="str" cm="1">
        <f t="array" ref="L1477">_xlfn.IFS(B1477&lt;30,"18-29",B1477&lt;45,"30-44",B1477&lt;60,"45-59",B1477&lt;75,"60-74",B1477&lt;=90,"75-90")</f>
        <v>75-90</v>
      </c>
      <c r="M1477" t="str">
        <f>IF(Table1[[#This Row],[length_of_stay_days]]&gt;7,"Yes","No")</f>
        <v>No</v>
      </c>
    </row>
    <row r="1478" spans="1:13" x14ac:dyDescent="0.3">
      <c r="A1478" t="s">
        <v>1877</v>
      </c>
      <c r="B1478">
        <v>65</v>
      </c>
      <c r="C1478" t="s">
        <v>12</v>
      </c>
      <c r="D1478" t="s">
        <v>32</v>
      </c>
      <c r="E1478" t="s">
        <v>28</v>
      </c>
      <c r="F1478" t="s">
        <v>841</v>
      </c>
      <c r="G1478" t="s">
        <v>141</v>
      </c>
      <c r="H1478">
        <v>7</v>
      </c>
      <c r="I1478" s="1">
        <v>11114</v>
      </c>
      <c r="J1478" t="s">
        <v>17</v>
      </c>
      <c r="K1478" t="s">
        <v>18</v>
      </c>
      <c r="L1478" t="str" cm="1">
        <f t="array" ref="L1478">_xlfn.IFS(B1478&lt;30,"18-29",B1478&lt;45,"30-44",B1478&lt;60,"45-59",B1478&lt;75,"60-74",B1478&lt;=90,"75-90")</f>
        <v>60-74</v>
      </c>
      <c r="M1478" t="str">
        <f>IF(Table1[[#This Row],[length_of_stay_days]]&gt;7,"Yes","No")</f>
        <v>No</v>
      </c>
    </row>
    <row r="1479" spans="1:13" x14ac:dyDescent="0.3">
      <c r="A1479" t="s">
        <v>1878</v>
      </c>
      <c r="B1479">
        <v>50</v>
      </c>
      <c r="C1479" t="s">
        <v>20</v>
      </c>
      <c r="D1479" t="s">
        <v>28</v>
      </c>
      <c r="E1479" t="s">
        <v>21</v>
      </c>
      <c r="F1479" t="s">
        <v>325</v>
      </c>
      <c r="G1479" t="s">
        <v>47</v>
      </c>
      <c r="H1479">
        <v>7</v>
      </c>
      <c r="I1479" s="1">
        <v>6652.46</v>
      </c>
      <c r="J1479" t="s">
        <v>17</v>
      </c>
      <c r="K1479" t="s">
        <v>18</v>
      </c>
      <c r="L1479" t="str" cm="1">
        <f t="array" ref="L1479">_xlfn.IFS(B1479&lt;30,"18-29",B1479&lt;45,"30-44",B1479&lt;60,"45-59",B1479&lt;75,"60-74",B1479&lt;=90,"75-90")</f>
        <v>45-59</v>
      </c>
      <c r="M1479" t="str">
        <f>IF(Table1[[#This Row],[length_of_stay_days]]&gt;7,"Yes","No")</f>
        <v>No</v>
      </c>
    </row>
    <row r="1480" spans="1:13" x14ac:dyDescent="0.3">
      <c r="A1480" t="s">
        <v>1879</v>
      </c>
      <c r="B1480">
        <v>74</v>
      </c>
      <c r="C1480" t="s">
        <v>12</v>
      </c>
      <c r="D1480" t="s">
        <v>32</v>
      </c>
      <c r="E1480" t="s">
        <v>28</v>
      </c>
      <c r="F1480" t="s">
        <v>121</v>
      </c>
      <c r="G1480" t="s">
        <v>62</v>
      </c>
      <c r="H1480">
        <v>6</v>
      </c>
      <c r="I1480" s="1">
        <v>12095.92</v>
      </c>
      <c r="J1480" t="s">
        <v>49</v>
      </c>
      <c r="K1480" t="s">
        <v>18</v>
      </c>
      <c r="L1480" t="str" cm="1">
        <f t="array" ref="L1480">_xlfn.IFS(B1480&lt;30,"18-29",B1480&lt;45,"30-44",B1480&lt;60,"45-59",B1480&lt;75,"60-74",B1480&lt;=90,"75-90")</f>
        <v>60-74</v>
      </c>
      <c r="M1480" t="str">
        <f>IF(Table1[[#This Row],[length_of_stay_days]]&gt;7,"Yes","No")</f>
        <v>No</v>
      </c>
    </row>
    <row r="1481" spans="1:13" x14ac:dyDescent="0.3">
      <c r="A1481" t="s">
        <v>1880</v>
      </c>
      <c r="B1481">
        <v>21</v>
      </c>
      <c r="C1481" t="s">
        <v>12</v>
      </c>
      <c r="D1481" t="s">
        <v>55</v>
      </c>
      <c r="E1481" t="s">
        <v>14</v>
      </c>
      <c r="F1481" t="s">
        <v>395</v>
      </c>
      <c r="G1481" t="s">
        <v>683</v>
      </c>
      <c r="H1481">
        <v>7</v>
      </c>
      <c r="I1481" s="1">
        <v>11846.54</v>
      </c>
      <c r="J1481" t="s">
        <v>17</v>
      </c>
      <c r="K1481" t="s">
        <v>18</v>
      </c>
      <c r="L1481" t="str" cm="1">
        <f t="array" ref="L1481">_xlfn.IFS(B1481&lt;30,"18-29",B1481&lt;45,"30-44",B1481&lt;60,"45-59",B1481&lt;75,"60-74",B1481&lt;=90,"75-90")</f>
        <v>18-29</v>
      </c>
      <c r="M1481" t="str">
        <f>IF(Table1[[#This Row],[length_of_stay_days]]&gt;7,"Yes","No")</f>
        <v>No</v>
      </c>
    </row>
    <row r="1482" spans="1:13" x14ac:dyDescent="0.3">
      <c r="A1482" t="s">
        <v>1881</v>
      </c>
      <c r="B1482">
        <v>36</v>
      </c>
      <c r="C1482" t="s">
        <v>20</v>
      </c>
      <c r="D1482" t="s">
        <v>13</v>
      </c>
      <c r="E1482" t="s">
        <v>21</v>
      </c>
      <c r="F1482" t="s">
        <v>516</v>
      </c>
      <c r="G1482" t="s">
        <v>366</v>
      </c>
      <c r="H1482">
        <v>4</v>
      </c>
      <c r="I1482" s="1">
        <v>6878.46</v>
      </c>
      <c r="J1482" t="s">
        <v>49</v>
      </c>
      <c r="K1482" t="s">
        <v>18</v>
      </c>
      <c r="L1482" t="str" cm="1">
        <f t="array" ref="L1482">_xlfn.IFS(B1482&lt;30,"18-29",B1482&lt;45,"30-44",B1482&lt;60,"45-59",B1482&lt;75,"60-74",B1482&lt;=90,"75-90")</f>
        <v>30-44</v>
      </c>
      <c r="M1482" t="str">
        <f>IF(Table1[[#This Row],[length_of_stay_days]]&gt;7,"Yes","No")</f>
        <v>No</v>
      </c>
    </row>
    <row r="1483" spans="1:13" x14ac:dyDescent="0.3">
      <c r="A1483" t="s">
        <v>1882</v>
      </c>
      <c r="B1483">
        <v>76</v>
      </c>
      <c r="C1483" t="s">
        <v>20</v>
      </c>
      <c r="D1483" t="s">
        <v>13</v>
      </c>
      <c r="E1483" t="s">
        <v>28</v>
      </c>
      <c r="F1483" t="s">
        <v>186</v>
      </c>
      <c r="G1483" t="s">
        <v>87</v>
      </c>
      <c r="H1483">
        <v>5</v>
      </c>
      <c r="I1483" s="1">
        <v>8632.52</v>
      </c>
      <c r="J1483" t="s">
        <v>17</v>
      </c>
      <c r="K1483" t="s">
        <v>18</v>
      </c>
      <c r="L1483" t="str" cm="1">
        <f t="array" ref="L1483">_xlfn.IFS(B1483&lt;30,"18-29",B1483&lt;45,"30-44",B1483&lt;60,"45-59",B1483&lt;75,"60-74",B1483&lt;=90,"75-90")</f>
        <v>75-90</v>
      </c>
      <c r="M1483" t="str">
        <f>IF(Table1[[#This Row],[length_of_stay_days]]&gt;7,"Yes","No")</f>
        <v>No</v>
      </c>
    </row>
    <row r="1484" spans="1:13" x14ac:dyDescent="0.3">
      <c r="A1484" t="s">
        <v>1883</v>
      </c>
      <c r="B1484">
        <v>86</v>
      </c>
      <c r="C1484" t="s">
        <v>20</v>
      </c>
      <c r="D1484" t="s">
        <v>28</v>
      </c>
      <c r="E1484" t="s">
        <v>28</v>
      </c>
      <c r="F1484" t="s">
        <v>59</v>
      </c>
      <c r="G1484" t="s">
        <v>152</v>
      </c>
      <c r="H1484">
        <v>4</v>
      </c>
      <c r="I1484" s="1">
        <v>5670.48</v>
      </c>
      <c r="J1484" t="s">
        <v>17</v>
      </c>
      <c r="K1484" t="s">
        <v>18</v>
      </c>
      <c r="L1484" t="str" cm="1">
        <f t="array" ref="L1484">_xlfn.IFS(B1484&lt;30,"18-29",B1484&lt;45,"30-44",B1484&lt;60,"45-59",B1484&lt;75,"60-74",B1484&lt;=90,"75-90")</f>
        <v>75-90</v>
      </c>
      <c r="M1484" t="str">
        <f>IF(Table1[[#This Row],[length_of_stay_days]]&gt;7,"Yes","No")</f>
        <v>No</v>
      </c>
    </row>
    <row r="1485" spans="1:13" x14ac:dyDescent="0.3">
      <c r="A1485" t="s">
        <v>1884</v>
      </c>
      <c r="B1485">
        <v>20</v>
      </c>
      <c r="C1485" t="s">
        <v>20</v>
      </c>
      <c r="D1485" t="s">
        <v>28</v>
      </c>
      <c r="E1485" t="s">
        <v>28</v>
      </c>
      <c r="F1485" t="s">
        <v>201</v>
      </c>
      <c r="G1485" t="s">
        <v>532</v>
      </c>
      <c r="H1485">
        <v>5</v>
      </c>
      <c r="I1485" s="1">
        <v>7287.76</v>
      </c>
      <c r="J1485" t="s">
        <v>17</v>
      </c>
      <c r="K1485" t="s">
        <v>18</v>
      </c>
      <c r="L1485" t="str" cm="1">
        <f t="array" ref="L1485">_xlfn.IFS(B1485&lt;30,"18-29",B1485&lt;45,"30-44",B1485&lt;60,"45-59",B1485&lt;75,"60-74",B1485&lt;=90,"75-90")</f>
        <v>18-29</v>
      </c>
      <c r="M1485" t="str">
        <f>IF(Table1[[#This Row],[length_of_stay_days]]&gt;7,"Yes","No")</f>
        <v>No</v>
      </c>
    </row>
    <row r="1486" spans="1:13" x14ac:dyDescent="0.3">
      <c r="A1486" t="s">
        <v>1885</v>
      </c>
      <c r="B1486">
        <v>79</v>
      </c>
      <c r="C1486" t="s">
        <v>12</v>
      </c>
      <c r="D1486" t="s">
        <v>28</v>
      </c>
      <c r="E1486" t="s">
        <v>28</v>
      </c>
      <c r="F1486" t="s">
        <v>648</v>
      </c>
      <c r="G1486" t="s">
        <v>584</v>
      </c>
      <c r="H1486">
        <v>5</v>
      </c>
      <c r="I1486" s="1">
        <v>8623.7099999999991</v>
      </c>
      <c r="J1486" t="s">
        <v>17</v>
      </c>
      <c r="K1486" t="s">
        <v>18</v>
      </c>
      <c r="L1486" t="str" cm="1">
        <f t="array" ref="L1486">_xlfn.IFS(B1486&lt;30,"18-29",B1486&lt;45,"30-44",B1486&lt;60,"45-59",B1486&lt;75,"60-74",B1486&lt;=90,"75-90")</f>
        <v>75-90</v>
      </c>
      <c r="M1486" t="str">
        <f>IF(Table1[[#This Row],[length_of_stay_days]]&gt;7,"Yes","No")</f>
        <v>No</v>
      </c>
    </row>
    <row r="1487" spans="1:13" x14ac:dyDescent="0.3">
      <c r="A1487" t="s">
        <v>1886</v>
      </c>
      <c r="B1487">
        <v>45</v>
      </c>
      <c r="C1487" t="s">
        <v>12</v>
      </c>
      <c r="D1487" t="s">
        <v>13</v>
      </c>
      <c r="E1487" t="s">
        <v>21</v>
      </c>
      <c r="F1487" t="s">
        <v>629</v>
      </c>
      <c r="G1487" t="s">
        <v>68</v>
      </c>
      <c r="H1487">
        <v>2</v>
      </c>
      <c r="I1487" s="1">
        <v>4849.71</v>
      </c>
      <c r="J1487" t="s">
        <v>17</v>
      </c>
      <c r="K1487" t="s">
        <v>18</v>
      </c>
      <c r="L1487" t="str" cm="1">
        <f t="array" ref="L1487">_xlfn.IFS(B1487&lt;30,"18-29",B1487&lt;45,"30-44",B1487&lt;60,"45-59",B1487&lt;75,"60-74",B1487&lt;=90,"75-90")</f>
        <v>45-59</v>
      </c>
      <c r="M1487" t="str">
        <f>IF(Table1[[#This Row],[length_of_stay_days]]&gt;7,"Yes","No")</f>
        <v>No</v>
      </c>
    </row>
    <row r="1488" spans="1:13" x14ac:dyDescent="0.3">
      <c r="A1488" t="s">
        <v>1887</v>
      </c>
      <c r="B1488">
        <v>85</v>
      </c>
      <c r="C1488" t="s">
        <v>12</v>
      </c>
      <c r="D1488" t="s">
        <v>55</v>
      </c>
      <c r="E1488" t="s">
        <v>14</v>
      </c>
      <c r="F1488" t="s">
        <v>40</v>
      </c>
      <c r="G1488" t="s">
        <v>225</v>
      </c>
      <c r="H1488">
        <v>8</v>
      </c>
      <c r="I1488" s="1">
        <v>13992.02</v>
      </c>
      <c r="J1488" t="s">
        <v>49</v>
      </c>
      <c r="K1488" t="s">
        <v>18</v>
      </c>
      <c r="L1488" t="str" cm="1">
        <f t="array" ref="L1488">_xlfn.IFS(B1488&lt;30,"18-29",B1488&lt;45,"30-44",B1488&lt;60,"45-59",B1488&lt;75,"60-74",B1488&lt;=90,"75-90")</f>
        <v>75-90</v>
      </c>
      <c r="M1488" t="str">
        <f>IF(Table1[[#This Row],[length_of_stay_days]]&gt;7,"Yes","No")</f>
        <v>Yes</v>
      </c>
    </row>
    <row r="1489" spans="1:13" x14ac:dyDescent="0.3">
      <c r="A1489" t="s">
        <v>1888</v>
      </c>
      <c r="B1489">
        <v>31</v>
      </c>
      <c r="C1489" t="s">
        <v>20</v>
      </c>
      <c r="D1489" t="s">
        <v>55</v>
      </c>
      <c r="E1489" t="s">
        <v>28</v>
      </c>
      <c r="F1489" t="s">
        <v>154</v>
      </c>
      <c r="G1489" t="s">
        <v>101</v>
      </c>
      <c r="H1489">
        <v>6</v>
      </c>
      <c r="I1489" s="1">
        <v>12030.29</v>
      </c>
      <c r="J1489" t="s">
        <v>17</v>
      </c>
      <c r="K1489" t="s">
        <v>18</v>
      </c>
      <c r="L1489" t="str" cm="1">
        <f t="array" ref="L1489">_xlfn.IFS(B1489&lt;30,"18-29",B1489&lt;45,"30-44",B1489&lt;60,"45-59",B1489&lt;75,"60-74",B1489&lt;=90,"75-90")</f>
        <v>30-44</v>
      </c>
      <c r="M1489" t="str">
        <f>IF(Table1[[#This Row],[length_of_stay_days]]&gt;7,"Yes","No")</f>
        <v>No</v>
      </c>
    </row>
    <row r="1490" spans="1:13" x14ac:dyDescent="0.3">
      <c r="A1490" t="s">
        <v>1889</v>
      </c>
      <c r="B1490">
        <v>36</v>
      </c>
      <c r="C1490" t="s">
        <v>12</v>
      </c>
      <c r="D1490" t="s">
        <v>32</v>
      </c>
      <c r="E1490" t="s">
        <v>21</v>
      </c>
      <c r="F1490" t="s">
        <v>330</v>
      </c>
      <c r="G1490" t="s">
        <v>765</v>
      </c>
      <c r="H1490">
        <v>8</v>
      </c>
      <c r="I1490" s="1">
        <v>12107.52</v>
      </c>
      <c r="J1490" t="s">
        <v>17</v>
      </c>
      <c r="K1490" t="s">
        <v>18</v>
      </c>
      <c r="L1490" t="str" cm="1">
        <f t="array" ref="L1490">_xlfn.IFS(B1490&lt;30,"18-29",B1490&lt;45,"30-44",B1490&lt;60,"45-59",B1490&lt;75,"60-74",B1490&lt;=90,"75-90")</f>
        <v>30-44</v>
      </c>
      <c r="M1490" t="str">
        <f>IF(Table1[[#This Row],[length_of_stay_days]]&gt;7,"Yes","No")</f>
        <v>Yes</v>
      </c>
    </row>
    <row r="1491" spans="1:13" x14ac:dyDescent="0.3">
      <c r="A1491" t="s">
        <v>1890</v>
      </c>
      <c r="B1491">
        <v>41</v>
      </c>
      <c r="C1491" t="s">
        <v>12</v>
      </c>
      <c r="D1491" t="s">
        <v>46</v>
      </c>
      <c r="E1491" t="s">
        <v>14</v>
      </c>
      <c r="F1491" t="s">
        <v>364</v>
      </c>
      <c r="G1491" t="s">
        <v>155</v>
      </c>
      <c r="H1491">
        <v>2</v>
      </c>
      <c r="I1491" s="1">
        <v>11139.24</v>
      </c>
      <c r="J1491" t="s">
        <v>17</v>
      </c>
      <c r="K1491" t="s">
        <v>18</v>
      </c>
      <c r="L1491" t="str" cm="1">
        <f t="array" ref="L1491">_xlfn.IFS(B1491&lt;30,"18-29",B1491&lt;45,"30-44",B1491&lt;60,"45-59",B1491&lt;75,"60-74",B1491&lt;=90,"75-90")</f>
        <v>30-44</v>
      </c>
      <c r="M1491" t="str">
        <f>IF(Table1[[#This Row],[length_of_stay_days]]&gt;7,"Yes","No")</f>
        <v>No</v>
      </c>
    </row>
    <row r="1492" spans="1:13" x14ac:dyDescent="0.3">
      <c r="A1492" t="s">
        <v>1891</v>
      </c>
      <c r="B1492">
        <v>60</v>
      </c>
      <c r="C1492" t="s">
        <v>20</v>
      </c>
      <c r="D1492" t="s">
        <v>51</v>
      </c>
      <c r="E1492" t="s">
        <v>28</v>
      </c>
      <c r="F1492" t="s">
        <v>216</v>
      </c>
      <c r="G1492" t="s">
        <v>339</v>
      </c>
      <c r="H1492">
        <v>5</v>
      </c>
      <c r="I1492" s="1">
        <v>12126.89</v>
      </c>
      <c r="J1492" t="s">
        <v>17</v>
      </c>
      <c r="K1492" t="s">
        <v>18</v>
      </c>
      <c r="L1492" t="str" cm="1">
        <f t="array" ref="L1492">_xlfn.IFS(B1492&lt;30,"18-29",B1492&lt;45,"30-44",B1492&lt;60,"45-59",B1492&lt;75,"60-74",B1492&lt;=90,"75-90")</f>
        <v>60-74</v>
      </c>
      <c r="M1492" t="str">
        <f>IF(Table1[[#This Row],[length_of_stay_days]]&gt;7,"Yes","No")</f>
        <v>No</v>
      </c>
    </row>
    <row r="1493" spans="1:13" x14ac:dyDescent="0.3">
      <c r="A1493" t="s">
        <v>1892</v>
      </c>
      <c r="B1493">
        <v>56</v>
      </c>
      <c r="C1493" t="s">
        <v>70</v>
      </c>
      <c r="D1493" t="s">
        <v>13</v>
      </c>
      <c r="E1493" t="s">
        <v>28</v>
      </c>
      <c r="F1493" t="s">
        <v>319</v>
      </c>
      <c r="G1493" t="s">
        <v>214</v>
      </c>
      <c r="H1493">
        <v>3</v>
      </c>
      <c r="I1493" s="1">
        <v>5274.61</v>
      </c>
      <c r="J1493" t="s">
        <v>17</v>
      </c>
      <c r="K1493" t="s">
        <v>18</v>
      </c>
      <c r="L1493" t="str" cm="1">
        <f t="array" ref="L1493">_xlfn.IFS(B1493&lt;30,"18-29",B1493&lt;45,"30-44",B1493&lt;60,"45-59",B1493&lt;75,"60-74",B1493&lt;=90,"75-90")</f>
        <v>45-59</v>
      </c>
      <c r="M1493" t="str">
        <f>IF(Table1[[#This Row],[length_of_stay_days]]&gt;7,"Yes","No")</f>
        <v>No</v>
      </c>
    </row>
    <row r="1494" spans="1:13" x14ac:dyDescent="0.3">
      <c r="A1494" t="s">
        <v>1893</v>
      </c>
      <c r="B1494">
        <v>56</v>
      </c>
      <c r="C1494" t="s">
        <v>20</v>
      </c>
      <c r="D1494" t="s">
        <v>28</v>
      </c>
      <c r="E1494" t="s">
        <v>28</v>
      </c>
      <c r="F1494" t="s">
        <v>25</v>
      </c>
      <c r="G1494" t="s">
        <v>26</v>
      </c>
      <c r="H1494">
        <v>4</v>
      </c>
      <c r="I1494" s="1">
        <v>6014.45</v>
      </c>
      <c r="J1494" t="s">
        <v>17</v>
      </c>
      <c r="K1494" t="s">
        <v>18</v>
      </c>
      <c r="L1494" t="str" cm="1">
        <f t="array" ref="L1494">_xlfn.IFS(B1494&lt;30,"18-29",B1494&lt;45,"30-44",B1494&lt;60,"45-59",B1494&lt;75,"60-74",B1494&lt;=90,"75-90")</f>
        <v>45-59</v>
      </c>
      <c r="M1494" t="str">
        <f>IF(Table1[[#This Row],[length_of_stay_days]]&gt;7,"Yes","No")</f>
        <v>No</v>
      </c>
    </row>
    <row r="1495" spans="1:13" x14ac:dyDescent="0.3">
      <c r="A1495" t="s">
        <v>1894</v>
      </c>
      <c r="B1495">
        <v>80</v>
      </c>
      <c r="C1495" t="s">
        <v>12</v>
      </c>
      <c r="D1495" t="s">
        <v>13</v>
      </c>
      <c r="E1495" t="s">
        <v>14</v>
      </c>
      <c r="F1495" t="s">
        <v>1207</v>
      </c>
      <c r="G1495" t="s">
        <v>415</v>
      </c>
      <c r="H1495">
        <v>7</v>
      </c>
      <c r="I1495" s="1">
        <v>7769.74</v>
      </c>
      <c r="J1495" t="s">
        <v>17</v>
      </c>
      <c r="K1495" t="s">
        <v>18</v>
      </c>
      <c r="L1495" t="str" cm="1">
        <f t="array" ref="L1495">_xlfn.IFS(B1495&lt;30,"18-29",B1495&lt;45,"30-44",B1495&lt;60,"45-59",B1495&lt;75,"60-74",B1495&lt;=90,"75-90")</f>
        <v>75-90</v>
      </c>
      <c r="M1495" t="str">
        <f>IF(Table1[[#This Row],[length_of_stay_days]]&gt;7,"Yes","No")</f>
        <v>No</v>
      </c>
    </row>
    <row r="1496" spans="1:13" x14ac:dyDescent="0.3">
      <c r="A1496" t="s">
        <v>1895</v>
      </c>
      <c r="B1496">
        <v>40</v>
      </c>
      <c r="C1496" t="s">
        <v>12</v>
      </c>
      <c r="D1496" t="s">
        <v>28</v>
      </c>
      <c r="E1496" t="s">
        <v>28</v>
      </c>
      <c r="F1496" t="s">
        <v>263</v>
      </c>
      <c r="G1496" t="s">
        <v>399</v>
      </c>
      <c r="H1496">
        <v>3</v>
      </c>
      <c r="I1496" s="1">
        <v>9017.68</v>
      </c>
      <c r="J1496" t="s">
        <v>17</v>
      </c>
      <c r="K1496" t="s">
        <v>18</v>
      </c>
      <c r="L1496" t="str" cm="1">
        <f t="array" ref="L1496">_xlfn.IFS(B1496&lt;30,"18-29",B1496&lt;45,"30-44",B1496&lt;60,"45-59",B1496&lt;75,"60-74",B1496&lt;=90,"75-90")</f>
        <v>30-44</v>
      </c>
      <c r="M1496" t="str">
        <f>IF(Table1[[#This Row],[length_of_stay_days]]&gt;7,"Yes","No")</f>
        <v>No</v>
      </c>
    </row>
    <row r="1497" spans="1:13" x14ac:dyDescent="0.3">
      <c r="A1497" t="s">
        <v>1896</v>
      </c>
      <c r="B1497">
        <v>21</v>
      </c>
      <c r="C1497" t="s">
        <v>20</v>
      </c>
      <c r="D1497" t="s">
        <v>28</v>
      </c>
      <c r="E1497" t="s">
        <v>28</v>
      </c>
      <c r="F1497" t="s">
        <v>47</v>
      </c>
      <c r="G1497" t="s">
        <v>140</v>
      </c>
      <c r="H1497">
        <v>6</v>
      </c>
      <c r="I1497" s="1">
        <v>5400.3</v>
      </c>
      <c r="J1497" t="s">
        <v>49</v>
      </c>
      <c r="K1497" t="s">
        <v>18</v>
      </c>
      <c r="L1497" t="str" cm="1">
        <f t="array" ref="L1497">_xlfn.IFS(B1497&lt;30,"18-29",B1497&lt;45,"30-44",B1497&lt;60,"45-59",B1497&lt;75,"60-74",B1497&lt;=90,"75-90")</f>
        <v>18-29</v>
      </c>
      <c r="M1497" t="str">
        <f>IF(Table1[[#This Row],[length_of_stay_days]]&gt;7,"Yes","No")</f>
        <v>No</v>
      </c>
    </row>
    <row r="1498" spans="1:13" x14ac:dyDescent="0.3">
      <c r="A1498" t="s">
        <v>1897</v>
      </c>
      <c r="B1498">
        <v>66</v>
      </c>
      <c r="C1498" t="s">
        <v>20</v>
      </c>
      <c r="D1498" t="s">
        <v>13</v>
      </c>
      <c r="E1498" t="s">
        <v>28</v>
      </c>
      <c r="F1498" t="s">
        <v>235</v>
      </c>
      <c r="G1498" t="s">
        <v>574</v>
      </c>
      <c r="H1498">
        <v>5</v>
      </c>
      <c r="I1498" s="1">
        <v>8024.32</v>
      </c>
      <c r="J1498" t="s">
        <v>49</v>
      </c>
      <c r="K1498" t="s">
        <v>18</v>
      </c>
      <c r="L1498" t="str" cm="1">
        <f t="array" ref="L1498">_xlfn.IFS(B1498&lt;30,"18-29",B1498&lt;45,"30-44",B1498&lt;60,"45-59",B1498&lt;75,"60-74",B1498&lt;=90,"75-90")</f>
        <v>60-74</v>
      </c>
      <c r="M1498" t="str">
        <f>IF(Table1[[#This Row],[length_of_stay_days]]&gt;7,"Yes","No")</f>
        <v>No</v>
      </c>
    </row>
    <row r="1499" spans="1:13" x14ac:dyDescent="0.3">
      <c r="A1499" t="s">
        <v>1898</v>
      </c>
      <c r="B1499">
        <v>84</v>
      </c>
      <c r="C1499" t="s">
        <v>12</v>
      </c>
      <c r="D1499" t="s">
        <v>32</v>
      </c>
      <c r="E1499" t="s">
        <v>14</v>
      </c>
      <c r="F1499" t="s">
        <v>410</v>
      </c>
      <c r="G1499" t="s">
        <v>489</v>
      </c>
      <c r="H1499">
        <v>6</v>
      </c>
      <c r="I1499" s="1">
        <v>12046.85</v>
      </c>
      <c r="J1499" t="s">
        <v>17</v>
      </c>
      <c r="K1499" t="s">
        <v>18</v>
      </c>
      <c r="L1499" t="str" cm="1">
        <f t="array" ref="L1499">_xlfn.IFS(B1499&lt;30,"18-29",B1499&lt;45,"30-44",B1499&lt;60,"45-59",B1499&lt;75,"60-74",B1499&lt;=90,"75-90")</f>
        <v>75-90</v>
      </c>
      <c r="M1499" t="str">
        <f>IF(Table1[[#This Row],[length_of_stay_days]]&gt;7,"Yes","No")</f>
        <v>No</v>
      </c>
    </row>
    <row r="1500" spans="1:13" x14ac:dyDescent="0.3">
      <c r="A1500" t="s">
        <v>1899</v>
      </c>
      <c r="B1500">
        <v>84</v>
      </c>
      <c r="C1500" t="s">
        <v>12</v>
      </c>
      <c r="D1500" t="s">
        <v>51</v>
      </c>
      <c r="E1500" t="s">
        <v>28</v>
      </c>
      <c r="F1500" t="s">
        <v>558</v>
      </c>
      <c r="G1500" t="s">
        <v>676</v>
      </c>
      <c r="H1500">
        <v>10</v>
      </c>
      <c r="I1500" s="1">
        <v>12764.32</v>
      </c>
      <c r="J1500" t="s">
        <v>17</v>
      </c>
      <c r="K1500" t="s">
        <v>44</v>
      </c>
      <c r="L1500" t="str" cm="1">
        <f t="array" ref="L1500">_xlfn.IFS(B1500&lt;30,"18-29",B1500&lt;45,"30-44",B1500&lt;60,"45-59",B1500&lt;75,"60-74",B1500&lt;=90,"75-90")</f>
        <v>75-90</v>
      </c>
      <c r="M1500" t="str">
        <f>IF(Table1[[#This Row],[length_of_stay_days]]&gt;7,"Yes","No")</f>
        <v>Yes</v>
      </c>
    </row>
    <row r="1501" spans="1:13" x14ac:dyDescent="0.3">
      <c r="A1501" t="s">
        <v>1900</v>
      </c>
      <c r="B1501">
        <v>23</v>
      </c>
      <c r="C1501" t="s">
        <v>20</v>
      </c>
      <c r="D1501" t="s">
        <v>28</v>
      </c>
      <c r="E1501" t="s">
        <v>21</v>
      </c>
      <c r="F1501" t="s">
        <v>78</v>
      </c>
      <c r="G1501" t="s">
        <v>623</v>
      </c>
      <c r="H1501">
        <v>3</v>
      </c>
      <c r="I1501" s="1">
        <v>7388.65</v>
      </c>
      <c r="J1501" t="s">
        <v>17</v>
      </c>
      <c r="K1501" t="s">
        <v>18</v>
      </c>
      <c r="L1501" t="str" cm="1">
        <f t="array" ref="L1501">_xlfn.IFS(B1501&lt;30,"18-29",B1501&lt;45,"30-44",B1501&lt;60,"45-59",B1501&lt;75,"60-74",B1501&lt;=90,"75-90")</f>
        <v>18-29</v>
      </c>
      <c r="M1501" t="str">
        <f>IF(Table1[[#This Row],[length_of_stay_days]]&gt;7,"Yes","No")</f>
        <v>No</v>
      </c>
    </row>
    <row r="1502" spans="1:13" x14ac:dyDescent="0.3">
      <c r="A1502" t="s">
        <v>1901</v>
      </c>
      <c r="B1502">
        <v>31</v>
      </c>
      <c r="C1502" t="s">
        <v>12</v>
      </c>
      <c r="D1502" t="s">
        <v>13</v>
      </c>
      <c r="E1502" t="s">
        <v>21</v>
      </c>
      <c r="F1502" t="s">
        <v>478</v>
      </c>
      <c r="H1502">
        <v>2</v>
      </c>
      <c r="I1502" s="1">
        <v>6229.85</v>
      </c>
      <c r="J1502" t="s">
        <v>17</v>
      </c>
      <c r="K1502" t="s">
        <v>44</v>
      </c>
      <c r="L1502" t="str" cm="1">
        <f t="array" ref="L1502">_xlfn.IFS(B1502&lt;30,"18-29",B1502&lt;45,"30-44",B1502&lt;60,"45-59",B1502&lt;75,"60-74",B1502&lt;=90,"75-90")</f>
        <v>30-44</v>
      </c>
      <c r="M1502" t="str">
        <f>IF(Table1[[#This Row],[length_of_stay_days]]&gt;7,"Yes","No")</f>
        <v>No</v>
      </c>
    </row>
    <row r="1503" spans="1:13" x14ac:dyDescent="0.3">
      <c r="A1503" t="s">
        <v>1902</v>
      </c>
      <c r="B1503">
        <v>86</v>
      </c>
      <c r="C1503" t="s">
        <v>20</v>
      </c>
      <c r="D1503" t="s">
        <v>55</v>
      </c>
      <c r="E1503" t="s">
        <v>14</v>
      </c>
      <c r="F1503" t="s">
        <v>485</v>
      </c>
      <c r="G1503" t="s">
        <v>208</v>
      </c>
      <c r="H1503">
        <v>7</v>
      </c>
      <c r="I1503" s="1">
        <v>9831.76</v>
      </c>
      <c r="J1503" t="s">
        <v>17</v>
      </c>
      <c r="K1503" t="s">
        <v>18</v>
      </c>
      <c r="L1503" t="str" cm="1">
        <f t="array" ref="L1503">_xlfn.IFS(B1503&lt;30,"18-29",B1503&lt;45,"30-44",B1503&lt;60,"45-59",B1503&lt;75,"60-74",B1503&lt;=90,"75-90")</f>
        <v>75-90</v>
      </c>
      <c r="M1503" t="str">
        <f>IF(Table1[[#This Row],[length_of_stay_days]]&gt;7,"Yes","No")</f>
        <v>No</v>
      </c>
    </row>
    <row r="1504" spans="1:13" x14ac:dyDescent="0.3">
      <c r="A1504" t="s">
        <v>1903</v>
      </c>
      <c r="B1504">
        <v>84</v>
      </c>
      <c r="C1504" t="s">
        <v>20</v>
      </c>
      <c r="D1504" t="s">
        <v>28</v>
      </c>
      <c r="E1504" t="s">
        <v>28</v>
      </c>
      <c r="F1504" t="s">
        <v>52</v>
      </c>
      <c r="G1504" t="s">
        <v>210</v>
      </c>
      <c r="H1504">
        <v>4</v>
      </c>
      <c r="I1504" s="1">
        <v>5108.93</v>
      </c>
      <c r="J1504" t="s">
        <v>17</v>
      </c>
      <c r="K1504" t="s">
        <v>18</v>
      </c>
      <c r="L1504" t="str" cm="1">
        <f t="array" ref="L1504">_xlfn.IFS(B1504&lt;30,"18-29",B1504&lt;45,"30-44",B1504&lt;60,"45-59",B1504&lt;75,"60-74",B1504&lt;=90,"75-90")</f>
        <v>75-90</v>
      </c>
      <c r="M1504" t="str">
        <f>IF(Table1[[#This Row],[length_of_stay_days]]&gt;7,"Yes","No")</f>
        <v>No</v>
      </c>
    </row>
    <row r="1505" spans="1:13" x14ac:dyDescent="0.3">
      <c r="A1505" t="s">
        <v>1904</v>
      </c>
      <c r="B1505">
        <v>65</v>
      </c>
      <c r="C1505" t="s">
        <v>70</v>
      </c>
      <c r="D1505" t="s">
        <v>46</v>
      </c>
      <c r="E1505" t="s">
        <v>14</v>
      </c>
      <c r="F1505" t="s">
        <v>275</v>
      </c>
      <c r="G1505" t="s">
        <v>207</v>
      </c>
      <c r="H1505">
        <v>9</v>
      </c>
      <c r="I1505" s="1">
        <v>14574.61</v>
      </c>
      <c r="J1505" t="s">
        <v>49</v>
      </c>
      <c r="K1505" t="s">
        <v>18</v>
      </c>
      <c r="L1505" t="str" cm="1">
        <f t="array" ref="L1505">_xlfn.IFS(B1505&lt;30,"18-29",B1505&lt;45,"30-44",B1505&lt;60,"45-59",B1505&lt;75,"60-74",B1505&lt;=90,"75-90")</f>
        <v>60-74</v>
      </c>
      <c r="M1505" t="str">
        <f>IF(Table1[[#This Row],[length_of_stay_days]]&gt;7,"Yes","No")</f>
        <v>Yes</v>
      </c>
    </row>
    <row r="1506" spans="1:13" x14ac:dyDescent="0.3">
      <c r="A1506" t="s">
        <v>1905</v>
      </c>
      <c r="B1506">
        <v>87</v>
      </c>
      <c r="C1506" t="s">
        <v>20</v>
      </c>
      <c r="D1506" t="s">
        <v>51</v>
      </c>
      <c r="E1506" t="s">
        <v>21</v>
      </c>
      <c r="F1506" t="s">
        <v>683</v>
      </c>
      <c r="G1506" t="s">
        <v>357</v>
      </c>
      <c r="H1506">
        <v>11</v>
      </c>
      <c r="I1506" s="1">
        <v>16069.3</v>
      </c>
      <c r="J1506" t="s">
        <v>49</v>
      </c>
      <c r="K1506" t="s">
        <v>18</v>
      </c>
      <c r="L1506" t="str" cm="1">
        <f t="array" ref="L1506">_xlfn.IFS(B1506&lt;30,"18-29",B1506&lt;45,"30-44",B1506&lt;60,"45-59",B1506&lt;75,"60-74",B1506&lt;=90,"75-90")</f>
        <v>75-90</v>
      </c>
      <c r="M1506" t="str">
        <f>IF(Table1[[#This Row],[length_of_stay_days]]&gt;7,"Yes","No")</f>
        <v>Yes</v>
      </c>
    </row>
    <row r="1507" spans="1:13" x14ac:dyDescent="0.3">
      <c r="A1507" t="s">
        <v>1906</v>
      </c>
      <c r="B1507">
        <v>32</v>
      </c>
      <c r="C1507" t="s">
        <v>12</v>
      </c>
      <c r="D1507" t="s">
        <v>28</v>
      </c>
      <c r="E1507" t="s">
        <v>28</v>
      </c>
      <c r="F1507" t="s">
        <v>155</v>
      </c>
      <c r="G1507" t="s">
        <v>471</v>
      </c>
      <c r="H1507">
        <v>8</v>
      </c>
      <c r="I1507" s="1">
        <v>7032.82</v>
      </c>
      <c r="J1507" t="s">
        <v>49</v>
      </c>
      <c r="K1507" t="s">
        <v>18</v>
      </c>
      <c r="L1507" t="str" cm="1">
        <f t="array" ref="L1507">_xlfn.IFS(B1507&lt;30,"18-29",B1507&lt;45,"30-44",B1507&lt;60,"45-59",B1507&lt;75,"60-74",B1507&lt;=90,"75-90")</f>
        <v>30-44</v>
      </c>
      <c r="M1507" t="str">
        <f>IF(Table1[[#This Row],[length_of_stay_days]]&gt;7,"Yes","No")</f>
        <v>Yes</v>
      </c>
    </row>
    <row r="1508" spans="1:13" x14ac:dyDescent="0.3">
      <c r="A1508" t="s">
        <v>1907</v>
      </c>
      <c r="B1508">
        <v>88</v>
      </c>
      <c r="C1508" t="s">
        <v>12</v>
      </c>
      <c r="D1508" t="s">
        <v>13</v>
      </c>
      <c r="E1508" t="s">
        <v>28</v>
      </c>
      <c r="F1508" t="s">
        <v>292</v>
      </c>
      <c r="G1508" t="s">
        <v>474</v>
      </c>
      <c r="H1508">
        <v>8</v>
      </c>
      <c r="I1508" s="1">
        <v>8920.4500000000007</v>
      </c>
      <c r="J1508" t="s">
        <v>17</v>
      </c>
      <c r="K1508" t="s">
        <v>18</v>
      </c>
      <c r="L1508" t="str" cm="1">
        <f t="array" ref="L1508">_xlfn.IFS(B1508&lt;30,"18-29",B1508&lt;45,"30-44",B1508&lt;60,"45-59",B1508&lt;75,"60-74",B1508&lt;=90,"75-90")</f>
        <v>75-90</v>
      </c>
      <c r="M1508" t="str">
        <f>IF(Table1[[#This Row],[length_of_stay_days]]&gt;7,"Yes","No")</f>
        <v>Yes</v>
      </c>
    </row>
    <row r="1509" spans="1:13" x14ac:dyDescent="0.3">
      <c r="A1509" t="s">
        <v>1908</v>
      </c>
      <c r="B1509">
        <v>68</v>
      </c>
      <c r="C1509" t="s">
        <v>12</v>
      </c>
      <c r="D1509" t="s">
        <v>51</v>
      </c>
      <c r="E1509" t="s">
        <v>14</v>
      </c>
      <c r="F1509" t="s">
        <v>395</v>
      </c>
      <c r="G1509" t="s">
        <v>129</v>
      </c>
      <c r="H1509">
        <v>10</v>
      </c>
      <c r="I1509" s="1">
        <v>12110.97</v>
      </c>
      <c r="J1509" t="s">
        <v>17</v>
      </c>
      <c r="K1509" t="s">
        <v>18</v>
      </c>
      <c r="L1509" t="str" cm="1">
        <f t="array" ref="L1509">_xlfn.IFS(B1509&lt;30,"18-29",B1509&lt;45,"30-44",B1509&lt;60,"45-59",B1509&lt;75,"60-74",B1509&lt;=90,"75-90")</f>
        <v>60-74</v>
      </c>
      <c r="M1509" t="str">
        <f>IF(Table1[[#This Row],[length_of_stay_days]]&gt;7,"Yes","No")</f>
        <v>Yes</v>
      </c>
    </row>
    <row r="1510" spans="1:13" x14ac:dyDescent="0.3">
      <c r="A1510" t="s">
        <v>1909</v>
      </c>
      <c r="B1510">
        <v>39</v>
      </c>
      <c r="C1510" t="s">
        <v>12</v>
      </c>
      <c r="D1510" t="s">
        <v>55</v>
      </c>
      <c r="E1510" t="s">
        <v>28</v>
      </c>
      <c r="F1510" t="s">
        <v>182</v>
      </c>
      <c r="G1510" t="s">
        <v>767</v>
      </c>
      <c r="H1510">
        <v>6</v>
      </c>
      <c r="I1510" s="1">
        <v>8866.8799999999992</v>
      </c>
      <c r="J1510" t="s">
        <v>17</v>
      </c>
      <c r="K1510" t="s">
        <v>18</v>
      </c>
      <c r="L1510" t="str" cm="1">
        <f t="array" ref="L1510">_xlfn.IFS(B1510&lt;30,"18-29",B1510&lt;45,"30-44",B1510&lt;60,"45-59",B1510&lt;75,"60-74",B1510&lt;=90,"75-90")</f>
        <v>30-44</v>
      </c>
      <c r="M1510" t="str">
        <f>IF(Table1[[#This Row],[length_of_stay_days]]&gt;7,"Yes","No")</f>
        <v>No</v>
      </c>
    </row>
    <row r="1511" spans="1:13" x14ac:dyDescent="0.3">
      <c r="A1511" t="s">
        <v>1910</v>
      </c>
      <c r="B1511">
        <v>48</v>
      </c>
      <c r="C1511" t="s">
        <v>20</v>
      </c>
      <c r="D1511" t="s">
        <v>51</v>
      </c>
      <c r="E1511" t="s">
        <v>28</v>
      </c>
      <c r="F1511" t="s">
        <v>617</v>
      </c>
      <c r="G1511" t="s">
        <v>259</v>
      </c>
      <c r="H1511">
        <v>8</v>
      </c>
      <c r="I1511" s="1">
        <v>12131.73</v>
      </c>
      <c r="J1511" t="s">
        <v>17</v>
      </c>
      <c r="K1511" t="s">
        <v>18</v>
      </c>
      <c r="L1511" t="str" cm="1">
        <f t="array" ref="L1511">_xlfn.IFS(B1511&lt;30,"18-29",B1511&lt;45,"30-44",B1511&lt;60,"45-59",B1511&lt;75,"60-74",B1511&lt;=90,"75-90")</f>
        <v>45-59</v>
      </c>
      <c r="M1511" t="str">
        <f>IF(Table1[[#This Row],[length_of_stay_days]]&gt;7,"Yes","No")</f>
        <v>Yes</v>
      </c>
    </row>
    <row r="1512" spans="1:13" x14ac:dyDescent="0.3">
      <c r="A1512" t="s">
        <v>1911</v>
      </c>
      <c r="B1512">
        <v>27</v>
      </c>
      <c r="C1512" t="s">
        <v>20</v>
      </c>
      <c r="D1512" t="s">
        <v>51</v>
      </c>
      <c r="E1512" t="s">
        <v>28</v>
      </c>
      <c r="F1512" t="s">
        <v>433</v>
      </c>
      <c r="G1512" t="s">
        <v>620</v>
      </c>
      <c r="H1512">
        <v>8</v>
      </c>
      <c r="I1512" s="1">
        <v>13931.75</v>
      </c>
      <c r="J1512" t="s">
        <v>17</v>
      </c>
      <c r="K1512" t="s">
        <v>18</v>
      </c>
      <c r="L1512" t="str" cm="1">
        <f t="array" ref="L1512">_xlfn.IFS(B1512&lt;30,"18-29",B1512&lt;45,"30-44",B1512&lt;60,"45-59",B1512&lt;75,"60-74",B1512&lt;=90,"75-90")</f>
        <v>18-29</v>
      </c>
      <c r="M1512" t="str">
        <f>IF(Table1[[#This Row],[length_of_stay_days]]&gt;7,"Yes","No")</f>
        <v>Yes</v>
      </c>
    </row>
    <row r="1513" spans="1:13" x14ac:dyDescent="0.3">
      <c r="A1513" t="s">
        <v>1912</v>
      </c>
      <c r="B1513">
        <v>47</v>
      </c>
      <c r="C1513" t="s">
        <v>12</v>
      </c>
      <c r="D1513" t="s">
        <v>46</v>
      </c>
      <c r="E1513" t="s">
        <v>21</v>
      </c>
      <c r="F1513" t="s">
        <v>77</v>
      </c>
      <c r="G1513" t="s">
        <v>78</v>
      </c>
      <c r="H1513">
        <v>6</v>
      </c>
      <c r="I1513" s="1">
        <v>11938.38</v>
      </c>
      <c r="J1513" t="s">
        <v>17</v>
      </c>
      <c r="K1513" t="s">
        <v>18</v>
      </c>
      <c r="L1513" t="str" cm="1">
        <f t="array" ref="L1513">_xlfn.IFS(B1513&lt;30,"18-29",B1513&lt;45,"30-44",B1513&lt;60,"45-59",B1513&lt;75,"60-74",B1513&lt;=90,"75-90")</f>
        <v>45-59</v>
      </c>
      <c r="M1513" t="str">
        <f>IF(Table1[[#This Row],[length_of_stay_days]]&gt;7,"Yes","No")</f>
        <v>No</v>
      </c>
    </row>
    <row r="1514" spans="1:13" x14ac:dyDescent="0.3">
      <c r="A1514" t="s">
        <v>1913</v>
      </c>
      <c r="B1514">
        <v>69</v>
      </c>
      <c r="C1514" t="s">
        <v>12</v>
      </c>
      <c r="D1514" t="s">
        <v>46</v>
      </c>
      <c r="E1514" t="s">
        <v>28</v>
      </c>
      <c r="F1514" t="s">
        <v>376</v>
      </c>
      <c r="G1514" t="s">
        <v>381</v>
      </c>
      <c r="H1514">
        <v>5</v>
      </c>
      <c r="I1514" s="1">
        <v>12549.86</v>
      </c>
      <c r="J1514" t="s">
        <v>17</v>
      </c>
      <c r="K1514" t="s">
        <v>18</v>
      </c>
      <c r="L1514" t="str" cm="1">
        <f t="array" ref="L1514">_xlfn.IFS(B1514&lt;30,"18-29",B1514&lt;45,"30-44",B1514&lt;60,"45-59",B1514&lt;75,"60-74",B1514&lt;=90,"75-90")</f>
        <v>60-74</v>
      </c>
      <c r="M1514" t="str">
        <f>IF(Table1[[#This Row],[length_of_stay_days]]&gt;7,"Yes","No")</f>
        <v>No</v>
      </c>
    </row>
    <row r="1515" spans="1:13" x14ac:dyDescent="0.3">
      <c r="A1515" t="s">
        <v>1914</v>
      </c>
      <c r="B1515">
        <v>79</v>
      </c>
      <c r="C1515" t="s">
        <v>12</v>
      </c>
      <c r="D1515" t="s">
        <v>51</v>
      </c>
      <c r="E1515" t="s">
        <v>14</v>
      </c>
      <c r="F1515" t="s">
        <v>680</v>
      </c>
      <c r="G1515" t="s">
        <v>75</v>
      </c>
      <c r="H1515">
        <v>6</v>
      </c>
      <c r="I1515" s="1">
        <v>12897.32</v>
      </c>
      <c r="J1515" t="s">
        <v>17</v>
      </c>
      <c r="K1515" t="s">
        <v>18</v>
      </c>
      <c r="L1515" t="str" cm="1">
        <f t="array" ref="L1515">_xlfn.IFS(B1515&lt;30,"18-29",B1515&lt;45,"30-44",B1515&lt;60,"45-59",B1515&lt;75,"60-74",B1515&lt;=90,"75-90")</f>
        <v>75-90</v>
      </c>
      <c r="M1515" t="str">
        <f>IF(Table1[[#This Row],[length_of_stay_days]]&gt;7,"Yes","No")</f>
        <v>No</v>
      </c>
    </row>
    <row r="1516" spans="1:13" x14ac:dyDescent="0.3">
      <c r="A1516" t="s">
        <v>1915</v>
      </c>
      <c r="B1516">
        <v>49</v>
      </c>
      <c r="C1516" t="s">
        <v>12</v>
      </c>
      <c r="D1516" t="s">
        <v>32</v>
      </c>
      <c r="E1516" t="s">
        <v>21</v>
      </c>
      <c r="F1516" t="s">
        <v>264</v>
      </c>
      <c r="G1516" t="s">
        <v>58</v>
      </c>
      <c r="H1516">
        <v>8</v>
      </c>
      <c r="I1516" s="1">
        <v>12219.55</v>
      </c>
      <c r="J1516" t="s">
        <v>17</v>
      </c>
      <c r="K1516" t="s">
        <v>18</v>
      </c>
      <c r="L1516" t="str" cm="1">
        <f t="array" ref="L1516">_xlfn.IFS(B1516&lt;30,"18-29",B1516&lt;45,"30-44",B1516&lt;60,"45-59",B1516&lt;75,"60-74",B1516&lt;=90,"75-90")</f>
        <v>45-59</v>
      </c>
      <c r="M1516" t="str">
        <f>IF(Table1[[#This Row],[length_of_stay_days]]&gt;7,"Yes","No")</f>
        <v>Yes</v>
      </c>
    </row>
    <row r="1517" spans="1:13" x14ac:dyDescent="0.3">
      <c r="A1517" t="s">
        <v>1916</v>
      </c>
      <c r="B1517">
        <v>86</v>
      </c>
      <c r="C1517" t="s">
        <v>12</v>
      </c>
      <c r="D1517" t="s">
        <v>32</v>
      </c>
      <c r="E1517" t="s">
        <v>28</v>
      </c>
      <c r="F1517" t="s">
        <v>350</v>
      </c>
      <c r="G1517" t="s">
        <v>26</v>
      </c>
      <c r="H1517">
        <v>5</v>
      </c>
      <c r="I1517" s="1">
        <v>9288.68</v>
      </c>
      <c r="J1517" t="s">
        <v>49</v>
      </c>
      <c r="K1517" t="s">
        <v>18</v>
      </c>
      <c r="L1517" t="str" cm="1">
        <f t="array" ref="L1517">_xlfn.IFS(B1517&lt;30,"18-29",B1517&lt;45,"30-44",B1517&lt;60,"45-59",B1517&lt;75,"60-74",B1517&lt;=90,"75-90")</f>
        <v>75-90</v>
      </c>
      <c r="M1517" t="str">
        <f>IF(Table1[[#This Row],[length_of_stay_days]]&gt;7,"Yes","No")</f>
        <v>No</v>
      </c>
    </row>
    <row r="1518" spans="1:13" x14ac:dyDescent="0.3">
      <c r="A1518" t="s">
        <v>1917</v>
      </c>
      <c r="B1518">
        <v>71</v>
      </c>
      <c r="C1518" t="s">
        <v>12</v>
      </c>
      <c r="D1518" t="s">
        <v>55</v>
      </c>
      <c r="E1518" t="s">
        <v>28</v>
      </c>
      <c r="F1518" t="s">
        <v>774</v>
      </c>
      <c r="G1518" t="s">
        <v>807</v>
      </c>
      <c r="H1518">
        <v>8</v>
      </c>
      <c r="I1518" s="1">
        <v>11737.59</v>
      </c>
      <c r="J1518" t="s">
        <v>49</v>
      </c>
      <c r="K1518" t="s">
        <v>18</v>
      </c>
      <c r="L1518" t="str" cm="1">
        <f t="array" ref="L1518">_xlfn.IFS(B1518&lt;30,"18-29",B1518&lt;45,"30-44",B1518&lt;60,"45-59",B1518&lt;75,"60-74",B1518&lt;=90,"75-90")</f>
        <v>60-74</v>
      </c>
      <c r="M1518" t="str">
        <f>IF(Table1[[#This Row],[length_of_stay_days]]&gt;7,"Yes","No")</f>
        <v>Yes</v>
      </c>
    </row>
    <row r="1519" spans="1:13" x14ac:dyDescent="0.3">
      <c r="A1519" t="s">
        <v>1918</v>
      </c>
      <c r="B1519">
        <v>88</v>
      </c>
      <c r="C1519" t="s">
        <v>20</v>
      </c>
      <c r="D1519" t="s">
        <v>51</v>
      </c>
      <c r="E1519" t="s">
        <v>14</v>
      </c>
      <c r="F1519" t="s">
        <v>454</v>
      </c>
      <c r="G1519" t="s">
        <v>558</v>
      </c>
      <c r="H1519">
        <v>6</v>
      </c>
      <c r="I1519" s="1">
        <v>11277.14</v>
      </c>
      <c r="J1519" t="s">
        <v>49</v>
      </c>
      <c r="K1519" t="s">
        <v>18</v>
      </c>
      <c r="L1519" t="str" cm="1">
        <f t="array" ref="L1519">_xlfn.IFS(B1519&lt;30,"18-29",B1519&lt;45,"30-44",B1519&lt;60,"45-59",B1519&lt;75,"60-74",B1519&lt;=90,"75-90")</f>
        <v>75-90</v>
      </c>
      <c r="M1519" t="str">
        <f>IF(Table1[[#This Row],[length_of_stay_days]]&gt;7,"Yes","No")</f>
        <v>No</v>
      </c>
    </row>
    <row r="1520" spans="1:13" x14ac:dyDescent="0.3">
      <c r="A1520" t="s">
        <v>1919</v>
      </c>
      <c r="B1520">
        <v>76</v>
      </c>
      <c r="C1520" t="s">
        <v>12</v>
      </c>
      <c r="D1520" t="s">
        <v>13</v>
      </c>
      <c r="E1520" t="s">
        <v>21</v>
      </c>
      <c r="F1520" t="s">
        <v>198</v>
      </c>
      <c r="G1520" t="s">
        <v>555</v>
      </c>
      <c r="H1520">
        <v>6</v>
      </c>
      <c r="I1520" s="1">
        <v>11067.39</v>
      </c>
      <c r="J1520" t="s">
        <v>17</v>
      </c>
      <c r="K1520" t="s">
        <v>18</v>
      </c>
      <c r="L1520" t="str" cm="1">
        <f t="array" ref="L1520">_xlfn.IFS(B1520&lt;30,"18-29",B1520&lt;45,"30-44",B1520&lt;60,"45-59",B1520&lt;75,"60-74",B1520&lt;=90,"75-90")</f>
        <v>75-90</v>
      </c>
      <c r="M1520" t="str">
        <f>IF(Table1[[#This Row],[length_of_stay_days]]&gt;7,"Yes","No")</f>
        <v>No</v>
      </c>
    </row>
    <row r="1521" spans="1:13" x14ac:dyDescent="0.3">
      <c r="A1521" t="s">
        <v>1920</v>
      </c>
      <c r="B1521">
        <v>61</v>
      </c>
      <c r="C1521" t="s">
        <v>12</v>
      </c>
      <c r="D1521" t="s">
        <v>13</v>
      </c>
      <c r="E1521" t="s">
        <v>28</v>
      </c>
      <c r="F1521" t="s">
        <v>222</v>
      </c>
      <c r="G1521" t="s">
        <v>350</v>
      </c>
      <c r="H1521">
        <v>6</v>
      </c>
      <c r="I1521" s="1">
        <v>9122.7199999999993</v>
      </c>
      <c r="J1521" t="s">
        <v>17</v>
      </c>
      <c r="K1521" t="s">
        <v>18</v>
      </c>
      <c r="L1521" t="str" cm="1">
        <f t="array" ref="L1521">_xlfn.IFS(B1521&lt;30,"18-29",B1521&lt;45,"30-44",B1521&lt;60,"45-59",B1521&lt;75,"60-74",B1521&lt;=90,"75-90")</f>
        <v>60-74</v>
      </c>
      <c r="M1521" t="str">
        <f>IF(Table1[[#This Row],[length_of_stay_days]]&gt;7,"Yes","No")</f>
        <v>No</v>
      </c>
    </row>
    <row r="1522" spans="1:13" x14ac:dyDescent="0.3">
      <c r="A1522" t="s">
        <v>1921</v>
      </c>
      <c r="B1522">
        <v>89</v>
      </c>
      <c r="C1522" t="s">
        <v>20</v>
      </c>
      <c r="D1522" t="s">
        <v>28</v>
      </c>
      <c r="E1522" t="s">
        <v>14</v>
      </c>
      <c r="F1522" t="s">
        <v>48</v>
      </c>
      <c r="G1522" t="s">
        <v>56</v>
      </c>
      <c r="H1522">
        <v>4</v>
      </c>
      <c r="I1522" s="1">
        <v>4684.5600000000004</v>
      </c>
      <c r="J1522" t="s">
        <v>17</v>
      </c>
      <c r="K1522" t="s">
        <v>18</v>
      </c>
      <c r="L1522" t="str" cm="1">
        <f t="array" ref="L1522">_xlfn.IFS(B1522&lt;30,"18-29",B1522&lt;45,"30-44",B1522&lt;60,"45-59",B1522&lt;75,"60-74",B1522&lt;=90,"75-90")</f>
        <v>75-90</v>
      </c>
      <c r="M1522" t="str">
        <f>IF(Table1[[#This Row],[length_of_stay_days]]&gt;7,"Yes","No")</f>
        <v>No</v>
      </c>
    </row>
    <row r="1523" spans="1:13" x14ac:dyDescent="0.3">
      <c r="A1523" t="s">
        <v>1922</v>
      </c>
      <c r="B1523">
        <v>47</v>
      </c>
      <c r="C1523" t="s">
        <v>20</v>
      </c>
      <c r="D1523" t="s">
        <v>51</v>
      </c>
      <c r="E1523" t="s">
        <v>21</v>
      </c>
      <c r="F1523" t="s">
        <v>317</v>
      </c>
      <c r="G1523" t="s">
        <v>831</v>
      </c>
      <c r="H1523">
        <v>10</v>
      </c>
      <c r="I1523" s="1">
        <v>14885.69</v>
      </c>
      <c r="J1523" t="s">
        <v>17</v>
      </c>
      <c r="K1523" t="s">
        <v>18</v>
      </c>
      <c r="L1523" t="str" cm="1">
        <f t="array" ref="L1523">_xlfn.IFS(B1523&lt;30,"18-29",B1523&lt;45,"30-44",B1523&lt;60,"45-59",B1523&lt;75,"60-74",B1523&lt;=90,"75-90")</f>
        <v>45-59</v>
      </c>
      <c r="M1523" t="str">
        <f>IF(Table1[[#This Row],[length_of_stay_days]]&gt;7,"Yes","No")</f>
        <v>Yes</v>
      </c>
    </row>
    <row r="1524" spans="1:13" x14ac:dyDescent="0.3">
      <c r="A1524" t="s">
        <v>1923</v>
      </c>
      <c r="B1524">
        <v>48</v>
      </c>
      <c r="C1524" t="s">
        <v>12</v>
      </c>
      <c r="D1524" t="s">
        <v>51</v>
      </c>
      <c r="E1524" t="s">
        <v>28</v>
      </c>
      <c r="F1524" t="s">
        <v>849</v>
      </c>
      <c r="G1524" t="s">
        <v>625</v>
      </c>
      <c r="H1524">
        <v>5</v>
      </c>
      <c r="I1524" s="1">
        <v>10374.370000000001</v>
      </c>
      <c r="J1524" t="s">
        <v>17</v>
      </c>
      <c r="K1524" t="s">
        <v>18</v>
      </c>
      <c r="L1524" t="str" cm="1">
        <f t="array" ref="L1524">_xlfn.IFS(B1524&lt;30,"18-29",B1524&lt;45,"30-44",B1524&lt;60,"45-59",B1524&lt;75,"60-74",B1524&lt;=90,"75-90")</f>
        <v>45-59</v>
      </c>
      <c r="M1524" t="str">
        <f>IF(Table1[[#This Row],[length_of_stay_days]]&gt;7,"Yes","No")</f>
        <v>No</v>
      </c>
    </row>
    <row r="1525" spans="1:13" x14ac:dyDescent="0.3">
      <c r="A1525" t="s">
        <v>1924</v>
      </c>
      <c r="B1525">
        <v>46</v>
      </c>
      <c r="C1525" t="s">
        <v>12</v>
      </c>
      <c r="D1525" t="s">
        <v>28</v>
      </c>
      <c r="E1525" t="s">
        <v>28</v>
      </c>
      <c r="F1525" t="s">
        <v>471</v>
      </c>
      <c r="G1525" t="s">
        <v>43</v>
      </c>
      <c r="H1525">
        <v>2</v>
      </c>
      <c r="I1525" s="1">
        <v>3686.58</v>
      </c>
      <c r="J1525" t="s">
        <v>49</v>
      </c>
      <c r="K1525" t="s">
        <v>18</v>
      </c>
      <c r="L1525" t="str" cm="1">
        <f t="array" ref="L1525">_xlfn.IFS(B1525&lt;30,"18-29",B1525&lt;45,"30-44",B1525&lt;60,"45-59",B1525&lt;75,"60-74",B1525&lt;=90,"75-90")</f>
        <v>45-59</v>
      </c>
      <c r="M1525" t="str">
        <f>IF(Table1[[#This Row],[length_of_stay_days]]&gt;7,"Yes","No")</f>
        <v>No</v>
      </c>
    </row>
    <row r="1526" spans="1:13" x14ac:dyDescent="0.3">
      <c r="A1526" t="s">
        <v>1925</v>
      </c>
      <c r="B1526">
        <v>74</v>
      </c>
      <c r="C1526" t="s">
        <v>20</v>
      </c>
      <c r="D1526" t="s">
        <v>28</v>
      </c>
      <c r="E1526" t="s">
        <v>21</v>
      </c>
      <c r="F1526" t="s">
        <v>56</v>
      </c>
      <c r="G1526" t="s">
        <v>762</v>
      </c>
      <c r="H1526">
        <v>4</v>
      </c>
      <c r="I1526" s="1">
        <v>7546.48</v>
      </c>
      <c r="J1526" t="s">
        <v>17</v>
      </c>
      <c r="K1526" t="s">
        <v>18</v>
      </c>
      <c r="L1526" t="str" cm="1">
        <f t="array" ref="L1526">_xlfn.IFS(B1526&lt;30,"18-29",B1526&lt;45,"30-44",B1526&lt;60,"45-59",B1526&lt;75,"60-74",B1526&lt;=90,"75-90")</f>
        <v>60-74</v>
      </c>
      <c r="M1526" t="str">
        <f>IF(Table1[[#This Row],[length_of_stay_days]]&gt;7,"Yes","No")</f>
        <v>No</v>
      </c>
    </row>
    <row r="1527" spans="1:13" x14ac:dyDescent="0.3">
      <c r="A1527" t="s">
        <v>1926</v>
      </c>
      <c r="B1527">
        <v>86</v>
      </c>
      <c r="C1527" t="s">
        <v>20</v>
      </c>
      <c r="D1527" t="s">
        <v>32</v>
      </c>
      <c r="E1527" t="s">
        <v>14</v>
      </c>
      <c r="F1527" t="s">
        <v>410</v>
      </c>
      <c r="G1527" t="s">
        <v>575</v>
      </c>
      <c r="H1527">
        <v>7</v>
      </c>
      <c r="I1527" s="1">
        <v>12994.02</v>
      </c>
      <c r="J1527" t="s">
        <v>17</v>
      </c>
      <c r="K1527" t="s">
        <v>223</v>
      </c>
      <c r="L1527" t="str" cm="1">
        <f t="array" ref="L1527">_xlfn.IFS(B1527&lt;30,"18-29",B1527&lt;45,"30-44",B1527&lt;60,"45-59",B1527&lt;75,"60-74",B1527&lt;=90,"75-90")</f>
        <v>75-90</v>
      </c>
      <c r="M1527" t="str">
        <f>IF(Table1[[#This Row],[length_of_stay_days]]&gt;7,"Yes","No")</f>
        <v>No</v>
      </c>
    </row>
    <row r="1528" spans="1:13" x14ac:dyDescent="0.3">
      <c r="A1528" t="s">
        <v>1927</v>
      </c>
      <c r="B1528">
        <v>79</v>
      </c>
      <c r="C1528" t="s">
        <v>20</v>
      </c>
      <c r="D1528" t="s">
        <v>13</v>
      </c>
      <c r="E1528" t="s">
        <v>28</v>
      </c>
      <c r="F1528" t="s">
        <v>229</v>
      </c>
      <c r="G1528" t="s">
        <v>295</v>
      </c>
      <c r="H1528">
        <v>7</v>
      </c>
      <c r="I1528" s="1">
        <v>10085.209999999999</v>
      </c>
      <c r="J1528" t="s">
        <v>17</v>
      </c>
      <c r="K1528" t="s">
        <v>18</v>
      </c>
      <c r="L1528" t="str" cm="1">
        <f t="array" ref="L1528">_xlfn.IFS(B1528&lt;30,"18-29",B1528&lt;45,"30-44",B1528&lt;60,"45-59",B1528&lt;75,"60-74",B1528&lt;=90,"75-90")</f>
        <v>75-90</v>
      </c>
      <c r="M1528" t="str">
        <f>IF(Table1[[#This Row],[length_of_stay_days]]&gt;7,"Yes","No")</f>
        <v>No</v>
      </c>
    </row>
    <row r="1529" spans="1:13" x14ac:dyDescent="0.3">
      <c r="A1529" t="s">
        <v>1928</v>
      </c>
      <c r="B1529">
        <v>25</v>
      </c>
      <c r="C1529" t="s">
        <v>12</v>
      </c>
      <c r="D1529" t="s">
        <v>55</v>
      </c>
      <c r="E1529" t="s">
        <v>28</v>
      </c>
      <c r="F1529" t="s">
        <v>292</v>
      </c>
      <c r="G1529" t="s">
        <v>474</v>
      </c>
      <c r="H1529">
        <v>8</v>
      </c>
      <c r="I1529" s="1">
        <v>11474.3</v>
      </c>
      <c r="J1529" t="s">
        <v>17</v>
      </c>
      <c r="K1529" t="s">
        <v>18</v>
      </c>
      <c r="L1529" t="str" cm="1">
        <f t="array" ref="L1529">_xlfn.IFS(B1529&lt;30,"18-29",B1529&lt;45,"30-44",B1529&lt;60,"45-59",B1529&lt;75,"60-74",B1529&lt;=90,"75-90")</f>
        <v>18-29</v>
      </c>
      <c r="M1529" t="str">
        <f>IF(Table1[[#This Row],[length_of_stay_days]]&gt;7,"Yes","No")</f>
        <v>Yes</v>
      </c>
    </row>
    <row r="1530" spans="1:13" x14ac:dyDescent="0.3">
      <c r="A1530" t="s">
        <v>1929</v>
      </c>
      <c r="B1530">
        <v>59</v>
      </c>
      <c r="C1530" t="s">
        <v>20</v>
      </c>
      <c r="D1530" t="s">
        <v>28</v>
      </c>
      <c r="E1530" t="s">
        <v>21</v>
      </c>
      <c r="F1530" t="s">
        <v>135</v>
      </c>
      <c r="G1530" t="s">
        <v>724</v>
      </c>
      <c r="H1530">
        <v>3</v>
      </c>
      <c r="I1530" s="1">
        <v>4984.74</v>
      </c>
      <c r="J1530" t="s">
        <v>17</v>
      </c>
      <c r="K1530" t="s">
        <v>18</v>
      </c>
      <c r="L1530" t="str" cm="1">
        <f t="array" ref="L1530">_xlfn.IFS(B1530&lt;30,"18-29",B1530&lt;45,"30-44",B1530&lt;60,"45-59",B1530&lt;75,"60-74",B1530&lt;=90,"75-90")</f>
        <v>45-59</v>
      </c>
      <c r="M1530" t="str">
        <f>IF(Table1[[#This Row],[length_of_stay_days]]&gt;7,"Yes","No")</f>
        <v>No</v>
      </c>
    </row>
    <row r="1531" spans="1:13" x14ac:dyDescent="0.3">
      <c r="A1531" t="s">
        <v>1930</v>
      </c>
      <c r="B1531">
        <v>34</v>
      </c>
      <c r="C1531" t="s">
        <v>12</v>
      </c>
      <c r="D1531" t="s">
        <v>28</v>
      </c>
      <c r="E1531" t="s">
        <v>21</v>
      </c>
      <c r="F1531" t="s">
        <v>344</v>
      </c>
      <c r="G1531" t="s">
        <v>526</v>
      </c>
      <c r="H1531">
        <v>3</v>
      </c>
      <c r="I1531" s="1">
        <v>5395.24</v>
      </c>
      <c r="J1531" t="s">
        <v>17</v>
      </c>
      <c r="K1531" t="s">
        <v>18</v>
      </c>
      <c r="L1531" t="str" cm="1">
        <f t="array" ref="L1531">_xlfn.IFS(B1531&lt;30,"18-29",B1531&lt;45,"30-44",B1531&lt;60,"45-59",B1531&lt;75,"60-74",B1531&lt;=90,"75-90")</f>
        <v>30-44</v>
      </c>
      <c r="M1531" t="str">
        <f>IF(Table1[[#This Row],[length_of_stay_days]]&gt;7,"Yes","No")</f>
        <v>No</v>
      </c>
    </row>
    <row r="1532" spans="1:13" x14ac:dyDescent="0.3">
      <c r="A1532" t="s">
        <v>1931</v>
      </c>
      <c r="B1532">
        <v>57</v>
      </c>
      <c r="C1532" t="s">
        <v>12</v>
      </c>
      <c r="D1532" t="s">
        <v>28</v>
      </c>
      <c r="E1532" t="s">
        <v>14</v>
      </c>
      <c r="F1532" t="s">
        <v>344</v>
      </c>
      <c r="G1532" t="s">
        <v>527</v>
      </c>
      <c r="H1532">
        <v>4</v>
      </c>
      <c r="I1532" s="1">
        <v>4883.96</v>
      </c>
      <c r="J1532" t="s">
        <v>17</v>
      </c>
      <c r="K1532" t="s">
        <v>18</v>
      </c>
      <c r="L1532" t="str" cm="1">
        <f t="array" ref="L1532">_xlfn.IFS(B1532&lt;30,"18-29",B1532&lt;45,"30-44",B1532&lt;60,"45-59",B1532&lt;75,"60-74",B1532&lt;=90,"75-90")</f>
        <v>45-59</v>
      </c>
      <c r="M1532" t="str">
        <f>IF(Table1[[#This Row],[length_of_stay_days]]&gt;7,"Yes","No")</f>
        <v>No</v>
      </c>
    </row>
    <row r="1533" spans="1:13" x14ac:dyDescent="0.3">
      <c r="A1533" t="s">
        <v>1932</v>
      </c>
      <c r="B1533">
        <v>87</v>
      </c>
      <c r="C1533" t="s">
        <v>20</v>
      </c>
      <c r="D1533" t="s">
        <v>13</v>
      </c>
      <c r="E1533" t="s">
        <v>14</v>
      </c>
      <c r="F1533" t="s">
        <v>101</v>
      </c>
      <c r="G1533" t="s">
        <v>62</v>
      </c>
      <c r="H1533">
        <v>4</v>
      </c>
      <c r="I1533" s="1">
        <v>5569.78</v>
      </c>
      <c r="J1533" t="s">
        <v>17</v>
      </c>
      <c r="K1533" t="s">
        <v>18</v>
      </c>
      <c r="L1533" t="str" cm="1">
        <f t="array" ref="L1533">_xlfn.IFS(B1533&lt;30,"18-29",B1533&lt;45,"30-44",B1533&lt;60,"45-59",B1533&lt;75,"60-74",B1533&lt;=90,"75-90")</f>
        <v>75-90</v>
      </c>
      <c r="M1533" t="str">
        <f>IF(Table1[[#This Row],[length_of_stay_days]]&gt;7,"Yes","No")</f>
        <v>No</v>
      </c>
    </row>
    <row r="1534" spans="1:13" x14ac:dyDescent="0.3">
      <c r="A1534" t="s">
        <v>1933</v>
      </c>
      <c r="B1534">
        <v>84</v>
      </c>
      <c r="C1534" t="s">
        <v>12</v>
      </c>
      <c r="D1534" t="s">
        <v>28</v>
      </c>
      <c r="E1534" t="s">
        <v>28</v>
      </c>
      <c r="F1534" t="s">
        <v>80</v>
      </c>
      <c r="G1534" t="s">
        <v>290</v>
      </c>
      <c r="H1534">
        <v>7</v>
      </c>
      <c r="I1534" s="1">
        <v>4225.62</v>
      </c>
      <c r="J1534" t="s">
        <v>17</v>
      </c>
      <c r="K1534" t="s">
        <v>18</v>
      </c>
      <c r="L1534" t="str" cm="1">
        <f t="array" ref="L1534">_xlfn.IFS(B1534&lt;30,"18-29",B1534&lt;45,"30-44",B1534&lt;60,"45-59",B1534&lt;75,"60-74",B1534&lt;=90,"75-90")</f>
        <v>75-90</v>
      </c>
      <c r="M1534" t="str">
        <f>IF(Table1[[#This Row],[length_of_stay_days]]&gt;7,"Yes","No")</f>
        <v>No</v>
      </c>
    </row>
    <row r="1535" spans="1:13" x14ac:dyDescent="0.3">
      <c r="A1535" t="s">
        <v>1934</v>
      </c>
      <c r="B1535">
        <v>38</v>
      </c>
      <c r="C1535" t="s">
        <v>20</v>
      </c>
      <c r="D1535" t="s">
        <v>51</v>
      </c>
      <c r="E1535" t="s">
        <v>21</v>
      </c>
      <c r="F1535" t="s">
        <v>346</v>
      </c>
      <c r="G1535" t="s">
        <v>137</v>
      </c>
      <c r="H1535">
        <v>8</v>
      </c>
      <c r="I1535" s="1">
        <v>11764.61</v>
      </c>
      <c r="J1535" t="s">
        <v>17</v>
      </c>
      <c r="K1535" t="s">
        <v>18</v>
      </c>
      <c r="L1535" t="str" cm="1">
        <f t="array" ref="L1535">_xlfn.IFS(B1535&lt;30,"18-29",B1535&lt;45,"30-44",B1535&lt;60,"45-59",B1535&lt;75,"60-74",B1535&lt;=90,"75-90")</f>
        <v>30-44</v>
      </c>
      <c r="M1535" t="str">
        <f>IF(Table1[[#This Row],[length_of_stay_days]]&gt;7,"Yes","No")</f>
        <v>Yes</v>
      </c>
    </row>
    <row r="1536" spans="1:13" x14ac:dyDescent="0.3">
      <c r="A1536" t="s">
        <v>1935</v>
      </c>
      <c r="B1536">
        <v>60</v>
      </c>
      <c r="C1536" t="s">
        <v>12</v>
      </c>
      <c r="D1536" t="s">
        <v>28</v>
      </c>
      <c r="E1536" t="s">
        <v>14</v>
      </c>
      <c r="F1536" t="s">
        <v>549</v>
      </c>
      <c r="G1536" t="s">
        <v>53</v>
      </c>
      <c r="H1536">
        <v>2</v>
      </c>
      <c r="I1536" s="1">
        <v>3046.48</v>
      </c>
      <c r="J1536" t="s">
        <v>17</v>
      </c>
      <c r="K1536" t="s">
        <v>18</v>
      </c>
      <c r="L1536" t="str" cm="1">
        <f t="array" ref="L1536">_xlfn.IFS(B1536&lt;30,"18-29",B1536&lt;45,"30-44",B1536&lt;60,"45-59",B1536&lt;75,"60-74",B1536&lt;=90,"75-90")</f>
        <v>60-74</v>
      </c>
      <c r="M1536" t="str">
        <f>IF(Table1[[#This Row],[length_of_stay_days]]&gt;7,"Yes","No")</f>
        <v>No</v>
      </c>
    </row>
    <row r="1537" spans="1:13" x14ac:dyDescent="0.3">
      <c r="A1537" t="s">
        <v>1936</v>
      </c>
      <c r="B1537">
        <v>73</v>
      </c>
      <c r="C1537" t="s">
        <v>20</v>
      </c>
      <c r="D1537" t="s">
        <v>13</v>
      </c>
      <c r="E1537" t="s">
        <v>21</v>
      </c>
      <c r="F1537" t="s">
        <v>228</v>
      </c>
      <c r="G1537" t="s">
        <v>266</v>
      </c>
      <c r="H1537">
        <v>6</v>
      </c>
      <c r="I1537" s="1">
        <v>8020.1</v>
      </c>
      <c r="J1537" t="s">
        <v>17</v>
      </c>
      <c r="K1537" t="s">
        <v>18</v>
      </c>
      <c r="L1537" t="str" cm="1">
        <f t="array" ref="L1537">_xlfn.IFS(B1537&lt;30,"18-29",B1537&lt;45,"30-44",B1537&lt;60,"45-59",B1537&lt;75,"60-74",B1537&lt;=90,"75-90")</f>
        <v>60-74</v>
      </c>
      <c r="M1537" t="str">
        <f>IF(Table1[[#This Row],[length_of_stay_days]]&gt;7,"Yes","No")</f>
        <v>No</v>
      </c>
    </row>
    <row r="1538" spans="1:13" x14ac:dyDescent="0.3">
      <c r="A1538" t="s">
        <v>1937</v>
      </c>
      <c r="B1538">
        <v>77</v>
      </c>
      <c r="C1538" t="s">
        <v>12</v>
      </c>
      <c r="D1538" t="s">
        <v>55</v>
      </c>
      <c r="E1538" t="s">
        <v>28</v>
      </c>
      <c r="F1538" t="s">
        <v>333</v>
      </c>
      <c r="G1538" t="s">
        <v>609</v>
      </c>
      <c r="H1538">
        <v>4</v>
      </c>
      <c r="I1538" s="1">
        <v>7898.97</v>
      </c>
      <c r="J1538" t="s">
        <v>17</v>
      </c>
      <c r="K1538" t="s">
        <v>18</v>
      </c>
      <c r="L1538" t="str" cm="1">
        <f t="array" ref="L1538">_xlfn.IFS(B1538&lt;30,"18-29",B1538&lt;45,"30-44",B1538&lt;60,"45-59",B1538&lt;75,"60-74",B1538&lt;=90,"75-90")</f>
        <v>75-90</v>
      </c>
      <c r="M1538" t="str">
        <f>IF(Table1[[#This Row],[length_of_stay_days]]&gt;7,"Yes","No")</f>
        <v>No</v>
      </c>
    </row>
    <row r="1539" spans="1:13" x14ac:dyDescent="0.3">
      <c r="A1539" t="s">
        <v>1938</v>
      </c>
      <c r="B1539">
        <v>72</v>
      </c>
      <c r="C1539" t="s">
        <v>12</v>
      </c>
      <c r="D1539" t="s">
        <v>28</v>
      </c>
      <c r="E1539" t="s">
        <v>28</v>
      </c>
      <c r="F1539" t="s">
        <v>207</v>
      </c>
      <c r="G1539" t="s">
        <v>451</v>
      </c>
      <c r="H1539">
        <v>3</v>
      </c>
      <c r="I1539" s="1">
        <v>6775.37</v>
      </c>
      <c r="J1539" t="s">
        <v>17</v>
      </c>
      <c r="K1539" t="s">
        <v>18</v>
      </c>
      <c r="L1539" t="str" cm="1">
        <f t="array" ref="L1539">_xlfn.IFS(B1539&lt;30,"18-29",B1539&lt;45,"30-44",B1539&lt;60,"45-59",B1539&lt;75,"60-74",B1539&lt;=90,"75-90")</f>
        <v>60-74</v>
      </c>
      <c r="M1539" t="str">
        <f>IF(Table1[[#This Row],[length_of_stay_days]]&gt;7,"Yes","No")</f>
        <v>No</v>
      </c>
    </row>
    <row r="1540" spans="1:13" x14ac:dyDescent="0.3">
      <c r="A1540" t="s">
        <v>1939</v>
      </c>
      <c r="B1540">
        <v>41</v>
      </c>
      <c r="C1540" t="s">
        <v>20</v>
      </c>
      <c r="D1540" t="s">
        <v>32</v>
      </c>
      <c r="E1540" t="s">
        <v>14</v>
      </c>
      <c r="F1540" t="s">
        <v>138</v>
      </c>
      <c r="G1540" t="s">
        <v>15</v>
      </c>
      <c r="H1540">
        <v>4</v>
      </c>
      <c r="I1540" s="1">
        <v>9671.51</v>
      </c>
      <c r="J1540" t="s">
        <v>17</v>
      </c>
      <c r="K1540" t="s">
        <v>18</v>
      </c>
      <c r="L1540" t="str" cm="1">
        <f t="array" ref="L1540">_xlfn.IFS(B1540&lt;30,"18-29",B1540&lt;45,"30-44",B1540&lt;60,"45-59",B1540&lt;75,"60-74",B1540&lt;=90,"75-90")</f>
        <v>30-44</v>
      </c>
      <c r="M1540" t="str">
        <f>IF(Table1[[#This Row],[length_of_stay_days]]&gt;7,"Yes","No")</f>
        <v>No</v>
      </c>
    </row>
    <row r="1541" spans="1:13" x14ac:dyDescent="0.3">
      <c r="A1541" t="s">
        <v>1940</v>
      </c>
      <c r="B1541">
        <v>56</v>
      </c>
      <c r="C1541" t="s">
        <v>20</v>
      </c>
      <c r="D1541" t="s">
        <v>55</v>
      </c>
      <c r="E1541" t="s">
        <v>28</v>
      </c>
      <c r="F1541" t="s">
        <v>86</v>
      </c>
      <c r="G1541" t="s">
        <v>536</v>
      </c>
      <c r="H1541">
        <v>6</v>
      </c>
      <c r="I1541" s="1">
        <v>10886.42</v>
      </c>
      <c r="J1541" t="s">
        <v>17</v>
      </c>
      <c r="K1541" t="s">
        <v>18</v>
      </c>
      <c r="L1541" t="str" cm="1">
        <f t="array" ref="L1541">_xlfn.IFS(B1541&lt;30,"18-29",B1541&lt;45,"30-44",B1541&lt;60,"45-59",B1541&lt;75,"60-74",B1541&lt;=90,"75-90")</f>
        <v>45-59</v>
      </c>
      <c r="M1541" t="str">
        <f>IF(Table1[[#This Row],[length_of_stay_days]]&gt;7,"Yes","No")</f>
        <v>No</v>
      </c>
    </row>
    <row r="1542" spans="1:13" x14ac:dyDescent="0.3">
      <c r="A1542" t="s">
        <v>1941</v>
      </c>
      <c r="B1542">
        <v>87</v>
      </c>
      <c r="C1542" t="s">
        <v>20</v>
      </c>
      <c r="D1542" t="s">
        <v>55</v>
      </c>
      <c r="E1542" t="s">
        <v>28</v>
      </c>
      <c r="F1542" t="s">
        <v>807</v>
      </c>
      <c r="G1542" t="s">
        <v>855</v>
      </c>
      <c r="H1542">
        <v>8</v>
      </c>
      <c r="I1542" s="1">
        <v>12488.85</v>
      </c>
      <c r="J1542" t="s">
        <v>17</v>
      </c>
      <c r="K1542" t="s">
        <v>18</v>
      </c>
      <c r="L1542" t="str" cm="1">
        <f t="array" ref="L1542">_xlfn.IFS(B1542&lt;30,"18-29",B1542&lt;45,"30-44",B1542&lt;60,"45-59",B1542&lt;75,"60-74",B1542&lt;=90,"75-90")</f>
        <v>75-90</v>
      </c>
      <c r="M1542" t="str">
        <f>IF(Table1[[#This Row],[length_of_stay_days]]&gt;7,"Yes","No")</f>
        <v>Yes</v>
      </c>
    </row>
    <row r="1543" spans="1:13" x14ac:dyDescent="0.3">
      <c r="A1543" t="s">
        <v>1942</v>
      </c>
      <c r="B1543">
        <v>19</v>
      </c>
      <c r="C1543" t="s">
        <v>20</v>
      </c>
      <c r="D1543" t="s">
        <v>13</v>
      </c>
      <c r="E1543" t="s">
        <v>28</v>
      </c>
      <c r="F1543" t="s">
        <v>408</v>
      </c>
      <c r="G1543" t="s">
        <v>433</v>
      </c>
      <c r="H1543">
        <v>4</v>
      </c>
      <c r="I1543" s="1">
        <v>6755.29</v>
      </c>
      <c r="J1543" t="s">
        <v>49</v>
      </c>
      <c r="K1543" t="s">
        <v>44</v>
      </c>
      <c r="L1543" t="str" cm="1">
        <f t="array" ref="L1543">_xlfn.IFS(B1543&lt;30,"18-29",B1543&lt;45,"30-44",B1543&lt;60,"45-59",B1543&lt;75,"60-74",B1543&lt;=90,"75-90")</f>
        <v>18-29</v>
      </c>
      <c r="M1543" t="str">
        <f>IF(Table1[[#This Row],[length_of_stay_days]]&gt;7,"Yes","No")</f>
        <v>No</v>
      </c>
    </row>
    <row r="1544" spans="1:13" x14ac:dyDescent="0.3">
      <c r="A1544" t="s">
        <v>1943</v>
      </c>
      <c r="B1544">
        <v>63</v>
      </c>
      <c r="C1544" t="s">
        <v>20</v>
      </c>
      <c r="D1544" t="s">
        <v>46</v>
      </c>
      <c r="E1544" t="s">
        <v>28</v>
      </c>
      <c r="F1544" t="s">
        <v>928</v>
      </c>
      <c r="G1544" t="s">
        <v>317</v>
      </c>
      <c r="H1544">
        <v>10</v>
      </c>
      <c r="I1544" s="1">
        <v>15516.63</v>
      </c>
      <c r="J1544" t="s">
        <v>17</v>
      </c>
      <c r="K1544" t="s">
        <v>18</v>
      </c>
      <c r="L1544" t="str" cm="1">
        <f t="array" ref="L1544">_xlfn.IFS(B1544&lt;30,"18-29",B1544&lt;45,"30-44",B1544&lt;60,"45-59",B1544&lt;75,"60-74",B1544&lt;=90,"75-90")</f>
        <v>60-74</v>
      </c>
      <c r="M1544" t="str">
        <f>IF(Table1[[#This Row],[length_of_stay_days]]&gt;7,"Yes","No")</f>
        <v>Yes</v>
      </c>
    </row>
    <row r="1545" spans="1:13" x14ac:dyDescent="0.3">
      <c r="A1545" t="s">
        <v>1944</v>
      </c>
      <c r="B1545">
        <v>69</v>
      </c>
      <c r="C1545" t="s">
        <v>20</v>
      </c>
      <c r="D1545" t="s">
        <v>13</v>
      </c>
      <c r="E1545" t="s">
        <v>21</v>
      </c>
      <c r="F1545" t="s">
        <v>228</v>
      </c>
      <c r="G1545" t="s">
        <v>229</v>
      </c>
      <c r="H1545">
        <v>4</v>
      </c>
      <c r="I1545" s="1">
        <v>8550.43</v>
      </c>
      <c r="J1545" t="s">
        <v>17</v>
      </c>
      <c r="K1545" t="s">
        <v>18</v>
      </c>
      <c r="L1545" t="str" cm="1">
        <f t="array" ref="L1545">_xlfn.IFS(B1545&lt;30,"18-29",B1545&lt;45,"30-44",B1545&lt;60,"45-59",B1545&lt;75,"60-74",B1545&lt;=90,"75-90")</f>
        <v>60-74</v>
      </c>
      <c r="M1545" t="str">
        <f>IF(Table1[[#This Row],[length_of_stay_days]]&gt;7,"Yes","No")</f>
        <v>No</v>
      </c>
    </row>
    <row r="1546" spans="1:13" x14ac:dyDescent="0.3">
      <c r="A1546" t="s">
        <v>1945</v>
      </c>
      <c r="B1546">
        <v>51</v>
      </c>
      <c r="C1546" t="s">
        <v>12</v>
      </c>
      <c r="D1546" t="s">
        <v>55</v>
      </c>
      <c r="E1546" t="s">
        <v>28</v>
      </c>
      <c r="F1546" t="s">
        <v>629</v>
      </c>
      <c r="G1546" t="s">
        <v>68</v>
      </c>
      <c r="H1546">
        <v>2</v>
      </c>
      <c r="I1546" s="1">
        <v>8525.4500000000007</v>
      </c>
      <c r="J1546" t="s">
        <v>17</v>
      </c>
      <c r="K1546" t="s">
        <v>18</v>
      </c>
      <c r="L1546" t="str" cm="1">
        <f t="array" ref="L1546">_xlfn.IFS(B1546&lt;30,"18-29",B1546&lt;45,"30-44",B1546&lt;60,"45-59",B1546&lt;75,"60-74",B1546&lt;=90,"75-90")</f>
        <v>45-59</v>
      </c>
      <c r="M1546" t="str">
        <f>IF(Table1[[#This Row],[length_of_stay_days]]&gt;7,"Yes","No")</f>
        <v>No</v>
      </c>
    </row>
    <row r="1547" spans="1:13" x14ac:dyDescent="0.3">
      <c r="A1547" t="s">
        <v>1946</v>
      </c>
      <c r="B1547">
        <v>22</v>
      </c>
      <c r="C1547" t="s">
        <v>20</v>
      </c>
      <c r="D1547" t="s">
        <v>13</v>
      </c>
      <c r="E1547" t="s">
        <v>28</v>
      </c>
      <c r="F1547" t="s">
        <v>119</v>
      </c>
      <c r="G1547" t="s">
        <v>746</v>
      </c>
      <c r="H1547">
        <v>8</v>
      </c>
      <c r="I1547" s="1">
        <v>10486.54</v>
      </c>
      <c r="J1547" t="s">
        <v>17</v>
      </c>
      <c r="K1547" t="s">
        <v>18</v>
      </c>
      <c r="L1547" t="str" cm="1">
        <f t="array" ref="L1547">_xlfn.IFS(B1547&lt;30,"18-29",B1547&lt;45,"30-44",B1547&lt;60,"45-59",B1547&lt;75,"60-74",B1547&lt;=90,"75-90")</f>
        <v>18-29</v>
      </c>
      <c r="M1547" t="str">
        <f>IF(Table1[[#This Row],[length_of_stay_days]]&gt;7,"Yes","No")</f>
        <v>Yes</v>
      </c>
    </row>
    <row r="1548" spans="1:13" x14ac:dyDescent="0.3">
      <c r="A1548" t="s">
        <v>1947</v>
      </c>
      <c r="B1548">
        <v>83</v>
      </c>
      <c r="C1548" t="s">
        <v>12</v>
      </c>
      <c r="D1548" t="s">
        <v>28</v>
      </c>
      <c r="E1548" t="s">
        <v>21</v>
      </c>
      <c r="F1548" t="s">
        <v>282</v>
      </c>
      <c r="G1548" t="s">
        <v>47</v>
      </c>
      <c r="H1548">
        <v>6</v>
      </c>
      <c r="I1548" s="1">
        <v>6849.16</v>
      </c>
      <c r="J1548" t="s">
        <v>17</v>
      </c>
      <c r="K1548" t="s">
        <v>18</v>
      </c>
      <c r="L1548" t="str" cm="1">
        <f t="array" ref="L1548">_xlfn.IFS(B1548&lt;30,"18-29",B1548&lt;45,"30-44",B1548&lt;60,"45-59",B1548&lt;75,"60-74",B1548&lt;=90,"75-90")</f>
        <v>75-90</v>
      </c>
      <c r="M1548" t="str">
        <f>IF(Table1[[#This Row],[length_of_stay_days]]&gt;7,"Yes","No")</f>
        <v>No</v>
      </c>
    </row>
    <row r="1549" spans="1:13" x14ac:dyDescent="0.3">
      <c r="A1549" t="s">
        <v>1948</v>
      </c>
      <c r="B1549">
        <v>33</v>
      </c>
      <c r="C1549" t="s">
        <v>20</v>
      </c>
      <c r="D1549" t="s">
        <v>28</v>
      </c>
      <c r="E1549" t="s">
        <v>28</v>
      </c>
      <c r="F1549" t="s">
        <v>381</v>
      </c>
      <c r="G1549" t="s">
        <v>144</v>
      </c>
      <c r="H1549">
        <v>1</v>
      </c>
      <c r="I1549" s="1">
        <v>2074.63</v>
      </c>
      <c r="J1549" t="s">
        <v>17</v>
      </c>
      <c r="K1549" t="s">
        <v>18</v>
      </c>
      <c r="L1549" t="str" cm="1">
        <f t="array" ref="L1549">_xlfn.IFS(B1549&lt;30,"18-29",B1549&lt;45,"30-44",B1549&lt;60,"45-59",B1549&lt;75,"60-74",B1549&lt;=90,"75-90")</f>
        <v>30-44</v>
      </c>
      <c r="M1549" t="str">
        <f>IF(Table1[[#This Row],[length_of_stay_days]]&gt;7,"Yes","No")</f>
        <v>No</v>
      </c>
    </row>
    <row r="1550" spans="1:13" x14ac:dyDescent="0.3">
      <c r="A1550" t="s">
        <v>1949</v>
      </c>
      <c r="B1550">
        <v>57</v>
      </c>
      <c r="C1550" t="s">
        <v>12</v>
      </c>
      <c r="D1550" t="s">
        <v>13</v>
      </c>
      <c r="E1550" t="s">
        <v>28</v>
      </c>
      <c r="F1550" t="s">
        <v>489</v>
      </c>
      <c r="G1550" t="s">
        <v>575</v>
      </c>
      <c r="H1550">
        <v>1</v>
      </c>
      <c r="I1550" s="1">
        <v>5409.44</v>
      </c>
      <c r="J1550" t="s">
        <v>17</v>
      </c>
      <c r="K1550" t="s">
        <v>18</v>
      </c>
      <c r="L1550" t="str" cm="1">
        <f t="array" ref="L1550">_xlfn.IFS(B1550&lt;30,"18-29",B1550&lt;45,"30-44",B1550&lt;60,"45-59",B1550&lt;75,"60-74",B1550&lt;=90,"75-90")</f>
        <v>45-59</v>
      </c>
      <c r="M1550" t="str">
        <f>IF(Table1[[#This Row],[length_of_stay_days]]&gt;7,"Yes","No")</f>
        <v>No</v>
      </c>
    </row>
    <row r="1551" spans="1:13" x14ac:dyDescent="0.3">
      <c r="A1551" t="s">
        <v>1950</v>
      </c>
      <c r="B1551">
        <v>59</v>
      </c>
      <c r="C1551" t="s">
        <v>12</v>
      </c>
      <c r="D1551" t="s">
        <v>55</v>
      </c>
      <c r="E1551" t="s">
        <v>14</v>
      </c>
      <c r="F1551" t="s">
        <v>71</v>
      </c>
      <c r="G1551" t="s">
        <v>304</v>
      </c>
      <c r="H1551">
        <v>5</v>
      </c>
      <c r="I1551" s="1">
        <v>10308.33</v>
      </c>
      <c r="J1551" t="s">
        <v>49</v>
      </c>
      <c r="K1551" t="s">
        <v>44</v>
      </c>
      <c r="L1551" t="str" cm="1">
        <f t="array" ref="L1551">_xlfn.IFS(B1551&lt;30,"18-29",B1551&lt;45,"30-44",B1551&lt;60,"45-59",B1551&lt;75,"60-74",B1551&lt;=90,"75-90")</f>
        <v>45-59</v>
      </c>
      <c r="M1551" t="str">
        <f>IF(Table1[[#This Row],[length_of_stay_days]]&gt;7,"Yes","No")</f>
        <v>No</v>
      </c>
    </row>
    <row r="1552" spans="1:13" x14ac:dyDescent="0.3">
      <c r="A1552" t="s">
        <v>1951</v>
      </c>
      <c r="B1552">
        <v>35</v>
      </c>
      <c r="C1552" t="s">
        <v>12</v>
      </c>
      <c r="D1552" t="s">
        <v>55</v>
      </c>
      <c r="E1552" t="s">
        <v>28</v>
      </c>
      <c r="F1552" t="s">
        <v>221</v>
      </c>
      <c r="G1552" t="s">
        <v>222</v>
      </c>
      <c r="H1552">
        <v>4</v>
      </c>
      <c r="I1552" s="1">
        <v>11344.15</v>
      </c>
      <c r="J1552" t="s">
        <v>17</v>
      </c>
      <c r="K1552" t="s">
        <v>18</v>
      </c>
      <c r="L1552" t="str" cm="1">
        <f t="array" ref="L1552">_xlfn.IFS(B1552&lt;30,"18-29",B1552&lt;45,"30-44",B1552&lt;60,"45-59",B1552&lt;75,"60-74",B1552&lt;=90,"75-90")</f>
        <v>30-44</v>
      </c>
      <c r="M1552" t="str">
        <f>IF(Table1[[#This Row],[length_of_stay_days]]&gt;7,"Yes","No")</f>
        <v>No</v>
      </c>
    </row>
    <row r="1553" spans="1:13" x14ac:dyDescent="0.3">
      <c r="A1553" t="s">
        <v>1952</v>
      </c>
      <c r="B1553">
        <v>38</v>
      </c>
      <c r="C1553" t="s">
        <v>20</v>
      </c>
      <c r="D1553" t="s">
        <v>32</v>
      </c>
      <c r="E1553" t="s">
        <v>21</v>
      </c>
      <c r="F1553" t="s">
        <v>460</v>
      </c>
      <c r="G1553" t="s">
        <v>364</v>
      </c>
      <c r="H1553">
        <v>10</v>
      </c>
      <c r="I1553" s="1">
        <v>14282.23</v>
      </c>
      <c r="J1553" t="s">
        <v>17</v>
      </c>
      <c r="K1553" t="s">
        <v>18</v>
      </c>
      <c r="L1553" t="str" cm="1">
        <f t="array" ref="L1553">_xlfn.IFS(B1553&lt;30,"18-29",B1553&lt;45,"30-44",B1553&lt;60,"45-59",B1553&lt;75,"60-74",B1553&lt;=90,"75-90")</f>
        <v>30-44</v>
      </c>
      <c r="M1553" t="str">
        <f>IF(Table1[[#This Row],[length_of_stay_days]]&gt;7,"Yes","No")</f>
        <v>Yes</v>
      </c>
    </row>
    <row r="1554" spans="1:13" x14ac:dyDescent="0.3">
      <c r="A1554" t="s">
        <v>1953</v>
      </c>
      <c r="B1554">
        <v>26</v>
      </c>
      <c r="C1554" t="s">
        <v>20</v>
      </c>
      <c r="D1554" t="s">
        <v>28</v>
      </c>
      <c r="E1554" t="s">
        <v>28</v>
      </c>
      <c r="F1554" t="s">
        <v>363</v>
      </c>
      <c r="G1554" t="s">
        <v>361</v>
      </c>
      <c r="H1554">
        <v>4</v>
      </c>
      <c r="I1554" s="1">
        <v>5486.23</v>
      </c>
      <c r="J1554" t="s">
        <v>17</v>
      </c>
      <c r="K1554" t="s">
        <v>18</v>
      </c>
      <c r="L1554" t="str" cm="1">
        <f t="array" ref="L1554">_xlfn.IFS(B1554&lt;30,"18-29",B1554&lt;45,"30-44",B1554&lt;60,"45-59",B1554&lt;75,"60-74",B1554&lt;=90,"75-90")</f>
        <v>18-29</v>
      </c>
      <c r="M1554" t="str">
        <f>IF(Table1[[#This Row],[length_of_stay_days]]&gt;7,"Yes","No")</f>
        <v>No</v>
      </c>
    </row>
    <row r="1555" spans="1:13" x14ac:dyDescent="0.3">
      <c r="A1555" t="s">
        <v>1954</v>
      </c>
      <c r="B1555">
        <v>22</v>
      </c>
      <c r="C1555" t="s">
        <v>20</v>
      </c>
      <c r="D1555" t="s">
        <v>51</v>
      </c>
      <c r="E1555" t="s">
        <v>28</v>
      </c>
      <c r="F1555" t="s">
        <v>620</v>
      </c>
      <c r="G1555" t="s">
        <v>460</v>
      </c>
      <c r="H1555">
        <v>6</v>
      </c>
      <c r="I1555" s="1">
        <v>13100.71</v>
      </c>
      <c r="J1555" t="s">
        <v>17</v>
      </c>
      <c r="K1555" t="s">
        <v>18</v>
      </c>
      <c r="L1555" t="str" cm="1">
        <f t="array" ref="L1555">_xlfn.IFS(B1555&lt;30,"18-29",B1555&lt;45,"30-44",B1555&lt;60,"45-59",B1555&lt;75,"60-74",B1555&lt;=90,"75-90")</f>
        <v>18-29</v>
      </c>
      <c r="M1555" t="str">
        <f>IF(Table1[[#This Row],[length_of_stay_days]]&gt;7,"Yes","No")</f>
        <v>No</v>
      </c>
    </row>
    <row r="1556" spans="1:13" x14ac:dyDescent="0.3">
      <c r="A1556" t="s">
        <v>1955</v>
      </c>
      <c r="B1556">
        <v>72</v>
      </c>
      <c r="C1556" t="s">
        <v>20</v>
      </c>
      <c r="D1556" t="s">
        <v>32</v>
      </c>
      <c r="E1556" t="s">
        <v>14</v>
      </c>
      <c r="F1556" t="s">
        <v>506</v>
      </c>
      <c r="G1556" t="s">
        <v>133</v>
      </c>
      <c r="H1556">
        <v>5</v>
      </c>
      <c r="I1556" s="1">
        <v>9375.1</v>
      </c>
      <c r="J1556" t="s">
        <v>17</v>
      </c>
      <c r="K1556" t="s">
        <v>18</v>
      </c>
      <c r="L1556" t="str" cm="1">
        <f t="array" ref="L1556">_xlfn.IFS(B1556&lt;30,"18-29",B1556&lt;45,"30-44",B1556&lt;60,"45-59",B1556&lt;75,"60-74",B1556&lt;=90,"75-90")</f>
        <v>60-74</v>
      </c>
      <c r="M1556" t="str">
        <f>IF(Table1[[#This Row],[length_of_stay_days]]&gt;7,"Yes","No")</f>
        <v>No</v>
      </c>
    </row>
    <row r="1557" spans="1:13" x14ac:dyDescent="0.3">
      <c r="A1557" t="s">
        <v>1956</v>
      </c>
      <c r="B1557">
        <v>30</v>
      </c>
      <c r="C1557" t="s">
        <v>20</v>
      </c>
      <c r="D1557" t="s">
        <v>13</v>
      </c>
      <c r="E1557" t="s">
        <v>21</v>
      </c>
      <c r="F1557" t="s">
        <v>322</v>
      </c>
      <c r="G1557" t="s">
        <v>323</v>
      </c>
      <c r="H1557">
        <v>1</v>
      </c>
      <c r="I1557" s="1">
        <v>6536.91</v>
      </c>
      <c r="J1557" t="s">
        <v>17</v>
      </c>
      <c r="K1557" t="s">
        <v>18</v>
      </c>
      <c r="L1557" t="str" cm="1">
        <f t="array" ref="L1557">_xlfn.IFS(B1557&lt;30,"18-29",B1557&lt;45,"30-44",B1557&lt;60,"45-59",B1557&lt;75,"60-74",B1557&lt;=90,"75-90")</f>
        <v>30-44</v>
      </c>
      <c r="M1557" t="str">
        <f>IF(Table1[[#This Row],[length_of_stay_days]]&gt;7,"Yes","No")</f>
        <v>No</v>
      </c>
    </row>
    <row r="1558" spans="1:13" x14ac:dyDescent="0.3">
      <c r="A1558" t="s">
        <v>1957</v>
      </c>
      <c r="B1558">
        <v>20</v>
      </c>
      <c r="C1558" t="s">
        <v>20</v>
      </c>
      <c r="D1558" t="s">
        <v>28</v>
      </c>
      <c r="E1558" t="s">
        <v>28</v>
      </c>
      <c r="F1558" t="s">
        <v>198</v>
      </c>
      <c r="G1558" t="s">
        <v>554</v>
      </c>
      <c r="H1558">
        <v>4</v>
      </c>
      <c r="I1558" s="1">
        <v>4692.83</v>
      </c>
      <c r="J1558" t="s">
        <v>17</v>
      </c>
      <c r="K1558" t="s">
        <v>18</v>
      </c>
      <c r="L1558" t="str" cm="1">
        <f t="array" ref="L1558">_xlfn.IFS(B1558&lt;30,"18-29",B1558&lt;45,"30-44",B1558&lt;60,"45-59",B1558&lt;75,"60-74",B1558&lt;=90,"75-90")</f>
        <v>18-29</v>
      </c>
      <c r="M1558" t="str">
        <f>IF(Table1[[#This Row],[length_of_stay_days]]&gt;7,"Yes","No")</f>
        <v>No</v>
      </c>
    </row>
    <row r="1559" spans="1:13" x14ac:dyDescent="0.3">
      <c r="A1559" t="s">
        <v>1958</v>
      </c>
      <c r="B1559">
        <v>78</v>
      </c>
      <c r="C1559" t="s">
        <v>20</v>
      </c>
      <c r="D1559" t="s">
        <v>28</v>
      </c>
      <c r="E1559" t="s">
        <v>14</v>
      </c>
      <c r="F1559" t="s">
        <v>78</v>
      </c>
      <c r="G1559" t="s">
        <v>148</v>
      </c>
      <c r="H1559">
        <v>5</v>
      </c>
      <c r="I1559" s="1">
        <v>5453.92</v>
      </c>
      <c r="J1559" t="s">
        <v>17</v>
      </c>
      <c r="K1559" t="s">
        <v>18</v>
      </c>
      <c r="L1559" t="str" cm="1">
        <f t="array" ref="L1559">_xlfn.IFS(B1559&lt;30,"18-29",B1559&lt;45,"30-44",B1559&lt;60,"45-59",B1559&lt;75,"60-74",B1559&lt;=90,"75-90")</f>
        <v>75-90</v>
      </c>
      <c r="M1559" t="str">
        <f>IF(Table1[[#This Row],[length_of_stay_days]]&gt;7,"Yes","No")</f>
        <v>No</v>
      </c>
    </row>
    <row r="1560" spans="1:13" x14ac:dyDescent="0.3">
      <c r="A1560" t="s">
        <v>1959</v>
      </c>
      <c r="B1560">
        <v>56</v>
      </c>
      <c r="C1560" t="s">
        <v>20</v>
      </c>
      <c r="D1560" t="s">
        <v>51</v>
      </c>
      <c r="E1560" t="s">
        <v>21</v>
      </c>
      <c r="F1560" t="s">
        <v>399</v>
      </c>
      <c r="G1560" t="s">
        <v>106</v>
      </c>
      <c r="H1560">
        <v>4</v>
      </c>
      <c r="I1560" s="1">
        <v>11788.43</v>
      </c>
      <c r="J1560" t="s">
        <v>17</v>
      </c>
      <c r="K1560" t="s">
        <v>18</v>
      </c>
      <c r="L1560" t="str" cm="1">
        <f t="array" ref="L1560">_xlfn.IFS(B1560&lt;30,"18-29",B1560&lt;45,"30-44",B1560&lt;60,"45-59",B1560&lt;75,"60-74",B1560&lt;=90,"75-90")</f>
        <v>45-59</v>
      </c>
      <c r="M1560" t="str">
        <f>IF(Table1[[#This Row],[length_of_stay_days]]&gt;7,"Yes","No")</f>
        <v>No</v>
      </c>
    </row>
    <row r="1561" spans="1:13" x14ac:dyDescent="0.3">
      <c r="A1561" t="s">
        <v>1960</v>
      </c>
      <c r="B1561">
        <v>45</v>
      </c>
      <c r="C1561" t="s">
        <v>20</v>
      </c>
      <c r="D1561" t="s">
        <v>51</v>
      </c>
      <c r="E1561" t="s">
        <v>21</v>
      </c>
      <c r="F1561" t="s">
        <v>493</v>
      </c>
      <c r="G1561" t="s">
        <v>173</v>
      </c>
      <c r="H1561">
        <v>4</v>
      </c>
      <c r="I1561" s="1">
        <v>9221.5499999999993</v>
      </c>
      <c r="J1561" t="s">
        <v>17</v>
      </c>
      <c r="K1561" t="s">
        <v>18</v>
      </c>
      <c r="L1561" t="str" cm="1">
        <f t="array" ref="L1561">_xlfn.IFS(B1561&lt;30,"18-29",B1561&lt;45,"30-44",B1561&lt;60,"45-59",B1561&lt;75,"60-74",B1561&lt;=90,"75-90")</f>
        <v>45-59</v>
      </c>
      <c r="M1561" t="str">
        <f>IF(Table1[[#This Row],[length_of_stay_days]]&gt;7,"Yes","No")</f>
        <v>No</v>
      </c>
    </row>
    <row r="1562" spans="1:13" x14ac:dyDescent="0.3">
      <c r="A1562" t="s">
        <v>1961</v>
      </c>
      <c r="B1562">
        <v>86</v>
      </c>
      <c r="C1562" t="s">
        <v>20</v>
      </c>
      <c r="D1562" t="s">
        <v>51</v>
      </c>
      <c r="E1562" t="s">
        <v>28</v>
      </c>
      <c r="F1562" t="s">
        <v>648</v>
      </c>
      <c r="G1562" t="s">
        <v>1054</v>
      </c>
      <c r="H1562">
        <v>6</v>
      </c>
      <c r="I1562" s="1">
        <v>11428.91</v>
      </c>
      <c r="J1562" t="s">
        <v>49</v>
      </c>
      <c r="K1562" t="s">
        <v>18</v>
      </c>
      <c r="L1562" t="str" cm="1">
        <f t="array" ref="L1562">_xlfn.IFS(B1562&lt;30,"18-29",B1562&lt;45,"30-44",B1562&lt;60,"45-59",B1562&lt;75,"60-74",B1562&lt;=90,"75-90")</f>
        <v>75-90</v>
      </c>
      <c r="M1562" t="str">
        <f>IF(Table1[[#This Row],[length_of_stay_days]]&gt;7,"Yes","No")</f>
        <v>No</v>
      </c>
    </row>
    <row r="1563" spans="1:13" x14ac:dyDescent="0.3">
      <c r="A1563" t="s">
        <v>1962</v>
      </c>
      <c r="B1563">
        <v>62</v>
      </c>
      <c r="C1563" t="s">
        <v>70</v>
      </c>
      <c r="D1563" t="s">
        <v>51</v>
      </c>
      <c r="E1563" t="s">
        <v>28</v>
      </c>
      <c r="F1563" t="s">
        <v>765</v>
      </c>
      <c r="G1563" t="s">
        <v>354</v>
      </c>
      <c r="H1563">
        <v>6</v>
      </c>
      <c r="I1563" s="1">
        <v>13685.45</v>
      </c>
      <c r="J1563" t="s">
        <v>49</v>
      </c>
      <c r="K1563" t="s">
        <v>18</v>
      </c>
      <c r="L1563" t="str" cm="1">
        <f t="array" ref="L1563">_xlfn.IFS(B1563&lt;30,"18-29",B1563&lt;45,"30-44",B1563&lt;60,"45-59",B1563&lt;75,"60-74",B1563&lt;=90,"75-90")</f>
        <v>60-74</v>
      </c>
      <c r="M1563" t="str">
        <f>IF(Table1[[#This Row],[length_of_stay_days]]&gt;7,"Yes","No")</f>
        <v>No</v>
      </c>
    </row>
    <row r="1564" spans="1:13" x14ac:dyDescent="0.3">
      <c r="A1564" t="s">
        <v>1963</v>
      </c>
      <c r="B1564">
        <v>20</v>
      </c>
      <c r="C1564" t="s">
        <v>12</v>
      </c>
      <c r="D1564" t="s">
        <v>55</v>
      </c>
      <c r="E1564" t="s">
        <v>28</v>
      </c>
      <c r="F1564" t="s">
        <v>299</v>
      </c>
      <c r="G1564" t="s">
        <v>280</v>
      </c>
      <c r="H1564">
        <v>5</v>
      </c>
      <c r="I1564" s="1">
        <v>12375.33</v>
      </c>
      <c r="J1564" t="s">
        <v>17</v>
      </c>
      <c r="K1564" t="s">
        <v>18</v>
      </c>
      <c r="L1564" t="str" cm="1">
        <f t="array" ref="L1564">_xlfn.IFS(B1564&lt;30,"18-29",B1564&lt;45,"30-44",B1564&lt;60,"45-59",B1564&lt;75,"60-74",B1564&lt;=90,"75-90")</f>
        <v>18-29</v>
      </c>
      <c r="M1564" t="str">
        <f>IF(Table1[[#This Row],[length_of_stay_days]]&gt;7,"Yes","No")</f>
        <v>No</v>
      </c>
    </row>
    <row r="1565" spans="1:13" x14ac:dyDescent="0.3">
      <c r="A1565" t="s">
        <v>1964</v>
      </c>
      <c r="B1565">
        <v>47</v>
      </c>
      <c r="C1565" t="s">
        <v>20</v>
      </c>
      <c r="D1565" t="s">
        <v>51</v>
      </c>
      <c r="E1565" t="s">
        <v>21</v>
      </c>
      <c r="F1565" t="s">
        <v>112</v>
      </c>
      <c r="G1565" t="s">
        <v>395</v>
      </c>
      <c r="H1565">
        <v>6</v>
      </c>
      <c r="I1565" s="1">
        <v>10637.16</v>
      </c>
      <c r="J1565" t="s">
        <v>17</v>
      </c>
      <c r="K1565" t="s">
        <v>18</v>
      </c>
      <c r="L1565" t="str" cm="1">
        <f t="array" ref="L1565">_xlfn.IFS(B1565&lt;30,"18-29",B1565&lt;45,"30-44",B1565&lt;60,"45-59",B1565&lt;75,"60-74",B1565&lt;=90,"75-90")</f>
        <v>45-59</v>
      </c>
      <c r="M1565" t="str">
        <f>IF(Table1[[#This Row],[length_of_stay_days]]&gt;7,"Yes","No")</f>
        <v>No</v>
      </c>
    </row>
    <row r="1566" spans="1:13" x14ac:dyDescent="0.3">
      <c r="A1566" t="s">
        <v>1965</v>
      </c>
      <c r="B1566">
        <v>64</v>
      </c>
      <c r="C1566" t="s">
        <v>12</v>
      </c>
      <c r="D1566" t="s">
        <v>55</v>
      </c>
      <c r="E1566" t="s">
        <v>14</v>
      </c>
      <c r="F1566" t="s">
        <v>852</v>
      </c>
      <c r="G1566" t="s">
        <v>895</v>
      </c>
      <c r="H1566">
        <v>1</v>
      </c>
      <c r="I1566" s="1">
        <v>7176.22</v>
      </c>
      <c r="J1566" t="s">
        <v>17</v>
      </c>
      <c r="K1566" t="s">
        <v>18</v>
      </c>
      <c r="L1566" t="str" cm="1">
        <f t="array" ref="L1566">_xlfn.IFS(B1566&lt;30,"18-29",B1566&lt;45,"30-44",B1566&lt;60,"45-59",B1566&lt;75,"60-74",B1566&lt;=90,"75-90")</f>
        <v>60-74</v>
      </c>
      <c r="M1566" t="str">
        <f>IF(Table1[[#This Row],[length_of_stay_days]]&gt;7,"Yes","No")</f>
        <v>No</v>
      </c>
    </row>
    <row r="1567" spans="1:13" x14ac:dyDescent="0.3">
      <c r="A1567" t="s">
        <v>1966</v>
      </c>
      <c r="B1567">
        <v>79</v>
      </c>
      <c r="C1567" t="s">
        <v>12</v>
      </c>
      <c r="D1567" t="s">
        <v>32</v>
      </c>
      <c r="E1567" t="s">
        <v>21</v>
      </c>
      <c r="F1567" t="s">
        <v>879</v>
      </c>
      <c r="G1567" t="s">
        <v>306</v>
      </c>
      <c r="H1567">
        <v>7</v>
      </c>
      <c r="I1567" s="1">
        <v>11527.81</v>
      </c>
      <c r="J1567" t="s">
        <v>17</v>
      </c>
      <c r="K1567" t="s">
        <v>44</v>
      </c>
      <c r="L1567" t="str" cm="1">
        <f t="array" ref="L1567">_xlfn.IFS(B1567&lt;30,"18-29",B1567&lt;45,"30-44",B1567&lt;60,"45-59",B1567&lt;75,"60-74",B1567&lt;=90,"75-90")</f>
        <v>75-90</v>
      </c>
      <c r="M1567" t="str">
        <f>IF(Table1[[#This Row],[length_of_stay_days]]&gt;7,"Yes","No")</f>
        <v>No</v>
      </c>
    </row>
    <row r="1568" spans="1:13" x14ac:dyDescent="0.3">
      <c r="A1568" t="s">
        <v>1967</v>
      </c>
      <c r="B1568">
        <v>74</v>
      </c>
      <c r="C1568" t="s">
        <v>20</v>
      </c>
      <c r="D1568" t="s">
        <v>32</v>
      </c>
      <c r="E1568" t="s">
        <v>21</v>
      </c>
      <c r="F1568" t="s">
        <v>273</v>
      </c>
      <c r="G1568" t="s">
        <v>182</v>
      </c>
      <c r="H1568">
        <v>6</v>
      </c>
      <c r="I1568" s="1">
        <v>11619.24</v>
      </c>
      <c r="J1568" t="s">
        <v>17</v>
      </c>
      <c r="K1568" t="s">
        <v>223</v>
      </c>
      <c r="L1568" t="str" cm="1">
        <f t="array" ref="L1568">_xlfn.IFS(B1568&lt;30,"18-29",B1568&lt;45,"30-44",B1568&lt;60,"45-59",B1568&lt;75,"60-74",B1568&lt;=90,"75-90")</f>
        <v>60-74</v>
      </c>
      <c r="M1568" t="str">
        <f>IF(Table1[[#This Row],[length_of_stay_days]]&gt;7,"Yes","No")</f>
        <v>No</v>
      </c>
    </row>
    <row r="1569" spans="1:13" x14ac:dyDescent="0.3">
      <c r="A1569" t="s">
        <v>1968</v>
      </c>
      <c r="B1569">
        <v>59</v>
      </c>
      <c r="C1569" t="s">
        <v>12</v>
      </c>
      <c r="D1569" t="s">
        <v>55</v>
      </c>
      <c r="E1569" t="s">
        <v>21</v>
      </c>
      <c r="F1569" t="s">
        <v>235</v>
      </c>
      <c r="G1569" t="s">
        <v>574</v>
      </c>
      <c r="H1569">
        <v>5</v>
      </c>
      <c r="I1569" s="1">
        <v>9471.84</v>
      </c>
      <c r="J1569" t="s">
        <v>17</v>
      </c>
      <c r="K1569" t="s">
        <v>18</v>
      </c>
      <c r="L1569" t="str" cm="1">
        <f t="array" ref="L1569">_xlfn.IFS(B1569&lt;30,"18-29",B1569&lt;45,"30-44",B1569&lt;60,"45-59",B1569&lt;75,"60-74",B1569&lt;=90,"75-90")</f>
        <v>45-59</v>
      </c>
      <c r="M1569" t="str">
        <f>IF(Table1[[#This Row],[length_of_stay_days]]&gt;7,"Yes","No")</f>
        <v>No</v>
      </c>
    </row>
    <row r="1570" spans="1:13" x14ac:dyDescent="0.3">
      <c r="A1570" t="s">
        <v>1969</v>
      </c>
      <c r="B1570">
        <v>31</v>
      </c>
      <c r="C1570" t="s">
        <v>20</v>
      </c>
      <c r="D1570" t="s">
        <v>46</v>
      </c>
      <c r="E1570" t="s">
        <v>21</v>
      </c>
      <c r="F1570" t="s">
        <v>311</v>
      </c>
      <c r="G1570" t="s">
        <v>1054</v>
      </c>
      <c r="H1570">
        <v>10</v>
      </c>
      <c r="I1570" s="1">
        <v>14787.35</v>
      </c>
      <c r="J1570" t="s">
        <v>49</v>
      </c>
      <c r="K1570" t="s">
        <v>18</v>
      </c>
      <c r="L1570" t="str" cm="1">
        <f t="array" ref="L1570">_xlfn.IFS(B1570&lt;30,"18-29",B1570&lt;45,"30-44",B1570&lt;60,"45-59",B1570&lt;75,"60-74",B1570&lt;=90,"75-90")</f>
        <v>30-44</v>
      </c>
      <c r="M1570" t="str">
        <f>IF(Table1[[#This Row],[length_of_stay_days]]&gt;7,"Yes","No")</f>
        <v>Yes</v>
      </c>
    </row>
    <row r="1571" spans="1:13" x14ac:dyDescent="0.3">
      <c r="A1571" t="s">
        <v>1970</v>
      </c>
      <c r="B1571">
        <v>68</v>
      </c>
      <c r="C1571" t="s">
        <v>12</v>
      </c>
      <c r="D1571" t="s">
        <v>28</v>
      </c>
      <c r="E1571" t="s">
        <v>14</v>
      </c>
      <c r="F1571" t="s">
        <v>454</v>
      </c>
      <c r="G1571" t="s">
        <v>975</v>
      </c>
      <c r="H1571">
        <v>2</v>
      </c>
      <c r="I1571" s="1">
        <v>6586.05</v>
      </c>
      <c r="J1571" t="s">
        <v>17</v>
      </c>
      <c r="K1571" t="s">
        <v>18</v>
      </c>
      <c r="L1571" t="str" cm="1">
        <f t="array" ref="L1571">_xlfn.IFS(B1571&lt;30,"18-29",B1571&lt;45,"30-44",B1571&lt;60,"45-59",B1571&lt;75,"60-74",B1571&lt;=90,"75-90")</f>
        <v>60-74</v>
      </c>
      <c r="M1571" t="str">
        <f>IF(Table1[[#This Row],[length_of_stay_days]]&gt;7,"Yes","No")</f>
        <v>No</v>
      </c>
    </row>
    <row r="1572" spans="1:13" x14ac:dyDescent="0.3">
      <c r="A1572" t="s">
        <v>1971</v>
      </c>
      <c r="B1572">
        <v>37</v>
      </c>
      <c r="C1572" t="s">
        <v>12</v>
      </c>
      <c r="D1572" t="s">
        <v>55</v>
      </c>
      <c r="E1572" t="s">
        <v>14</v>
      </c>
      <c r="F1572" t="s">
        <v>39</v>
      </c>
      <c r="G1572" t="s">
        <v>295</v>
      </c>
      <c r="H1572">
        <v>1</v>
      </c>
      <c r="I1572" s="1">
        <v>6853.1</v>
      </c>
      <c r="J1572" t="s">
        <v>17</v>
      </c>
      <c r="K1572" t="s">
        <v>18</v>
      </c>
      <c r="L1572" t="str" cm="1">
        <f t="array" ref="L1572">_xlfn.IFS(B1572&lt;30,"18-29",B1572&lt;45,"30-44",B1572&lt;60,"45-59",B1572&lt;75,"60-74",B1572&lt;=90,"75-90")</f>
        <v>30-44</v>
      </c>
      <c r="M1572" t="str">
        <f>IF(Table1[[#This Row],[length_of_stay_days]]&gt;7,"Yes","No")</f>
        <v>No</v>
      </c>
    </row>
    <row r="1573" spans="1:13" x14ac:dyDescent="0.3">
      <c r="A1573" t="s">
        <v>1972</v>
      </c>
      <c r="B1573">
        <v>49</v>
      </c>
      <c r="C1573" t="s">
        <v>20</v>
      </c>
      <c r="D1573" t="s">
        <v>55</v>
      </c>
      <c r="E1573" t="s">
        <v>28</v>
      </c>
      <c r="F1573" t="s">
        <v>549</v>
      </c>
      <c r="G1573" t="s">
        <v>195</v>
      </c>
      <c r="H1573">
        <v>4</v>
      </c>
      <c r="I1573" s="1">
        <v>7533.34</v>
      </c>
      <c r="J1573" t="s">
        <v>17</v>
      </c>
      <c r="K1573" t="s">
        <v>18</v>
      </c>
      <c r="L1573" t="str" cm="1">
        <f t="array" ref="L1573">_xlfn.IFS(B1573&lt;30,"18-29",B1573&lt;45,"30-44",B1573&lt;60,"45-59",B1573&lt;75,"60-74",B1573&lt;=90,"75-90")</f>
        <v>45-59</v>
      </c>
      <c r="M1573" t="str">
        <f>IF(Table1[[#This Row],[length_of_stay_days]]&gt;7,"Yes","No")</f>
        <v>No</v>
      </c>
    </row>
    <row r="1574" spans="1:13" x14ac:dyDescent="0.3">
      <c r="A1574" t="s">
        <v>1973</v>
      </c>
      <c r="B1574">
        <v>60</v>
      </c>
      <c r="C1574" t="s">
        <v>20</v>
      </c>
      <c r="D1574" t="s">
        <v>32</v>
      </c>
      <c r="E1574" t="s">
        <v>28</v>
      </c>
      <c r="F1574" t="s">
        <v>471</v>
      </c>
      <c r="G1574" t="s">
        <v>103</v>
      </c>
      <c r="H1574">
        <v>11</v>
      </c>
      <c r="I1574" s="1">
        <v>14271.81</v>
      </c>
      <c r="J1574" t="s">
        <v>17</v>
      </c>
      <c r="K1574" t="s">
        <v>18</v>
      </c>
      <c r="L1574" t="str" cm="1">
        <f t="array" ref="L1574">_xlfn.IFS(B1574&lt;30,"18-29",B1574&lt;45,"30-44",B1574&lt;60,"45-59",B1574&lt;75,"60-74",B1574&lt;=90,"75-90")</f>
        <v>60-74</v>
      </c>
      <c r="M1574" t="str">
        <f>IF(Table1[[#This Row],[length_of_stay_days]]&gt;7,"Yes","No")</f>
        <v>Yes</v>
      </c>
    </row>
    <row r="1575" spans="1:13" x14ac:dyDescent="0.3">
      <c r="A1575" t="s">
        <v>1974</v>
      </c>
      <c r="B1575">
        <v>22</v>
      </c>
      <c r="C1575" t="s">
        <v>20</v>
      </c>
      <c r="D1575" t="s">
        <v>32</v>
      </c>
      <c r="E1575" t="s">
        <v>28</v>
      </c>
      <c r="F1575" t="s">
        <v>1229</v>
      </c>
      <c r="G1575" t="s">
        <v>194</v>
      </c>
      <c r="H1575">
        <v>9</v>
      </c>
      <c r="I1575" s="1">
        <v>11949.69</v>
      </c>
      <c r="J1575" t="s">
        <v>17</v>
      </c>
      <c r="K1575" t="s">
        <v>18</v>
      </c>
      <c r="L1575" t="str" cm="1">
        <f t="array" ref="L1575">_xlfn.IFS(B1575&lt;30,"18-29",B1575&lt;45,"30-44",B1575&lt;60,"45-59",B1575&lt;75,"60-74",B1575&lt;=90,"75-90")</f>
        <v>18-29</v>
      </c>
      <c r="M1575" t="str">
        <f>IF(Table1[[#This Row],[length_of_stay_days]]&gt;7,"Yes","No")</f>
        <v>Yes</v>
      </c>
    </row>
    <row r="1576" spans="1:13" x14ac:dyDescent="0.3">
      <c r="A1576" t="s">
        <v>1975</v>
      </c>
      <c r="B1576">
        <v>77</v>
      </c>
      <c r="C1576" t="s">
        <v>12</v>
      </c>
      <c r="D1576" t="s">
        <v>32</v>
      </c>
      <c r="E1576" t="s">
        <v>28</v>
      </c>
      <c r="F1576" t="s">
        <v>581</v>
      </c>
      <c r="G1576" t="s">
        <v>75</v>
      </c>
      <c r="H1576">
        <v>10</v>
      </c>
      <c r="I1576" s="1">
        <v>13858.21</v>
      </c>
      <c r="J1576" t="s">
        <v>17</v>
      </c>
      <c r="K1576" t="s">
        <v>18</v>
      </c>
      <c r="L1576" t="str" cm="1">
        <f t="array" ref="L1576">_xlfn.IFS(B1576&lt;30,"18-29",B1576&lt;45,"30-44",B1576&lt;60,"45-59",B1576&lt;75,"60-74",B1576&lt;=90,"75-90")</f>
        <v>75-90</v>
      </c>
      <c r="M1576" t="str">
        <f>IF(Table1[[#This Row],[length_of_stay_days]]&gt;7,"Yes","No")</f>
        <v>Yes</v>
      </c>
    </row>
    <row r="1577" spans="1:13" x14ac:dyDescent="0.3">
      <c r="A1577" t="s">
        <v>1976</v>
      </c>
      <c r="B1577">
        <v>61</v>
      </c>
      <c r="C1577" t="s">
        <v>20</v>
      </c>
      <c r="D1577" t="s">
        <v>28</v>
      </c>
      <c r="E1577" t="s">
        <v>14</v>
      </c>
      <c r="F1577" t="s">
        <v>547</v>
      </c>
      <c r="G1577" t="s">
        <v>504</v>
      </c>
      <c r="H1577">
        <v>4</v>
      </c>
      <c r="I1577" s="1">
        <v>5153.29</v>
      </c>
      <c r="J1577" t="s">
        <v>17</v>
      </c>
      <c r="K1577" t="s">
        <v>44</v>
      </c>
      <c r="L1577" t="str" cm="1">
        <f t="array" ref="L1577">_xlfn.IFS(B1577&lt;30,"18-29",B1577&lt;45,"30-44",B1577&lt;60,"45-59",B1577&lt;75,"60-74",B1577&lt;=90,"75-90")</f>
        <v>60-74</v>
      </c>
      <c r="M1577" t="str">
        <f>IF(Table1[[#This Row],[length_of_stay_days]]&gt;7,"Yes","No")</f>
        <v>No</v>
      </c>
    </row>
    <row r="1578" spans="1:13" x14ac:dyDescent="0.3">
      <c r="A1578" t="s">
        <v>1977</v>
      </c>
      <c r="B1578">
        <v>35</v>
      </c>
      <c r="C1578" t="s">
        <v>20</v>
      </c>
      <c r="D1578" t="s">
        <v>13</v>
      </c>
      <c r="E1578" t="s">
        <v>28</v>
      </c>
      <c r="F1578" t="s">
        <v>29</v>
      </c>
      <c r="G1578" t="s">
        <v>408</v>
      </c>
      <c r="H1578">
        <v>6</v>
      </c>
      <c r="I1578" s="1">
        <v>8052.14</v>
      </c>
      <c r="J1578" t="s">
        <v>17</v>
      </c>
      <c r="K1578" t="s">
        <v>18</v>
      </c>
      <c r="L1578" t="str" cm="1">
        <f t="array" ref="L1578">_xlfn.IFS(B1578&lt;30,"18-29",B1578&lt;45,"30-44",B1578&lt;60,"45-59",B1578&lt;75,"60-74",B1578&lt;=90,"75-90")</f>
        <v>30-44</v>
      </c>
      <c r="M1578" t="str">
        <f>IF(Table1[[#This Row],[length_of_stay_days]]&gt;7,"Yes","No")</f>
        <v>No</v>
      </c>
    </row>
    <row r="1579" spans="1:13" x14ac:dyDescent="0.3">
      <c r="A1579" t="s">
        <v>1978</v>
      </c>
      <c r="B1579">
        <v>52</v>
      </c>
      <c r="C1579" t="s">
        <v>20</v>
      </c>
      <c r="D1579" t="s">
        <v>13</v>
      </c>
      <c r="E1579" t="s">
        <v>14</v>
      </c>
      <c r="F1579" t="s">
        <v>751</v>
      </c>
      <c r="G1579" t="s">
        <v>941</v>
      </c>
      <c r="H1579">
        <v>4</v>
      </c>
      <c r="I1579" s="1">
        <v>8938.23</v>
      </c>
      <c r="J1579" t="s">
        <v>17</v>
      </c>
      <c r="K1579" t="s">
        <v>18</v>
      </c>
      <c r="L1579" t="str" cm="1">
        <f t="array" ref="L1579">_xlfn.IFS(B1579&lt;30,"18-29",B1579&lt;45,"30-44",B1579&lt;60,"45-59",B1579&lt;75,"60-74",B1579&lt;=90,"75-90")</f>
        <v>45-59</v>
      </c>
      <c r="M1579" t="str">
        <f>IF(Table1[[#This Row],[length_of_stay_days]]&gt;7,"Yes","No")</f>
        <v>No</v>
      </c>
    </row>
    <row r="1580" spans="1:13" x14ac:dyDescent="0.3">
      <c r="A1580" t="s">
        <v>1979</v>
      </c>
      <c r="B1580">
        <v>36</v>
      </c>
      <c r="C1580" t="s">
        <v>20</v>
      </c>
      <c r="D1580" t="s">
        <v>28</v>
      </c>
      <c r="E1580" t="s">
        <v>14</v>
      </c>
      <c r="F1580" t="s">
        <v>348</v>
      </c>
      <c r="G1580" t="s">
        <v>56</v>
      </c>
      <c r="H1580">
        <v>6</v>
      </c>
      <c r="I1580" s="1">
        <v>5073.5600000000004</v>
      </c>
      <c r="J1580" t="s">
        <v>49</v>
      </c>
      <c r="K1580" t="s">
        <v>18</v>
      </c>
      <c r="L1580" t="str" cm="1">
        <f t="array" ref="L1580">_xlfn.IFS(B1580&lt;30,"18-29",B1580&lt;45,"30-44",B1580&lt;60,"45-59",B1580&lt;75,"60-74",B1580&lt;=90,"75-90")</f>
        <v>30-44</v>
      </c>
      <c r="M1580" t="str">
        <f>IF(Table1[[#This Row],[length_of_stay_days]]&gt;7,"Yes","No")</f>
        <v>No</v>
      </c>
    </row>
    <row r="1581" spans="1:13" x14ac:dyDescent="0.3">
      <c r="A1581" t="s">
        <v>1980</v>
      </c>
      <c r="B1581">
        <v>67</v>
      </c>
      <c r="C1581" t="s">
        <v>20</v>
      </c>
      <c r="D1581" t="s">
        <v>51</v>
      </c>
      <c r="E1581" t="s">
        <v>21</v>
      </c>
      <c r="F1581" t="s">
        <v>342</v>
      </c>
      <c r="G1581" t="s">
        <v>323</v>
      </c>
      <c r="H1581">
        <v>7</v>
      </c>
      <c r="I1581" s="1">
        <v>11652.35</v>
      </c>
      <c r="J1581" t="s">
        <v>49</v>
      </c>
      <c r="K1581" t="s">
        <v>18</v>
      </c>
      <c r="L1581" t="str" cm="1">
        <f t="array" ref="L1581">_xlfn.IFS(B1581&lt;30,"18-29",B1581&lt;45,"30-44",B1581&lt;60,"45-59",B1581&lt;75,"60-74",B1581&lt;=90,"75-90")</f>
        <v>60-74</v>
      </c>
      <c r="M1581" t="str">
        <f>IF(Table1[[#This Row],[length_of_stay_days]]&gt;7,"Yes","No")</f>
        <v>No</v>
      </c>
    </row>
    <row r="1582" spans="1:13" x14ac:dyDescent="0.3">
      <c r="A1582" t="s">
        <v>1981</v>
      </c>
      <c r="B1582">
        <v>46</v>
      </c>
      <c r="C1582" t="s">
        <v>20</v>
      </c>
      <c r="D1582" t="s">
        <v>51</v>
      </c>
      <c r="E1582" t="s">
        <v>14</v>
      </c>
      <c r="F1582" t="s">
        <v>433</v>
      </c>
      <c r="G1582" t="s">
        <v>434</v>
      </c>
      <c r="H1582">
        <v>9</v>
      </c>
      <c r="I1582" s="1">
        <v>13860.97</v>
      </c>
      <c r="J1582" t="s">
        <v>17</v>
      </c>
      <c r="K1582" t="s">
        <v>18</v>
      </c>
      <c r="L1582" t="str" cm="1">
        <f t="array" ref="L1582">_xlfn.IFS(B1582&lt;30,"18-29",B1582&lt;45,"30-44",B1582&lt;60,"45-59",B1582&lt;75,"60-74",B1582&lt;=90,"75-90")</f>
        <v>45-59</v>
      </c>
      <c r="M1582" t="str">
        <f>IF(Table1[[#This Row],[length_of_stay_days]]&gt;7,"Yes","No")</f>
        <v>Yes</v>
      </c>
    </row>
    <row r="1583" spans="1:13" x14ac:dyDescent="0.3">
      <c r="A1583" t="s">
        <v>1982</v>
      </c>
      <c r="B1583">
        <v>42</v>
      </c>
      <c r="C1583" t="s">
        <v>12</v>
      </c>
      <c r="D1583" t="s">
        <v>51</v>
      </c>
      <c r="E1583" t="s">
        <v>28</v>
      </c>
      <c r="F1583" t="s">
        <v>319</v>
      </c>
      <c r="G1583" t="s">
        <v>656</v>
      </c>
      <c r="H1583">
        <v>8</v>
      </c>
      <c r="I1583" s="1">
        <v>15664.3</v>
      </c>
      <c r="J1583" t="s">
        <v>17</v>
      </c>
      <c r="K1583" t="s">
        <v>44</v>
      </c>
      <c r="L1583" t="str" cm="1">
        <f t="array" ref="L1583">_xlfn.IFS(B1583&lt;30,"18-29",B1583&lt;45,"30-44",B1583&lt;60,"45-59",B1583&lt;75,"60-74",B1583&lt;=90,"75-90")</f>
        <v>30-44</v>
      </c>
      <c r="M1583" t="str">
        <f>IF(Table1[[#This Row],[length_of_stay_days]]&gt;7,"Yes","No")</f>
        <v>Yes</v>
      </c>
    </row>
    <row r="1584" spans="1:13" x14ac:dyDescent="0.3">
      <c r="A1584" t="s">
        <v>1983</v>
      </c>
      <c r="B1584">
        <v>18</v>
      </c>
      <c r="C1584" t="s">
        <v>20</v>
      </c>
      <c r="D1584" t="s">
        <v>28</v>
      </c>
      <c r="E1584" t="s">
        <v>28</v>
      </c>
      <c r="F1584" t="s">
        <v>319</v>
      </c>
      <c r="G1584" t="s">
        <v>648</v>
      </c>
      <c r="H1584">
        <v>6</v>
      </c>
      <c r="I1584" s="1">
        <v>8647.89</v>
      </c>
      <c r="J1584" t="s">
        <v>17</v>
      </c>
      <c r="K1584" t="s">
        <v>18</v>
      </c>
      <c r="L1584" t="str" cm="1">
        <f t="array" ref="L1584">_xlfn.IFS(B1584&lt;30,"18-29",B1584&lt;45,"30-44",B1584&lt;60,"45-59",B1584&lt;75,"60-74",B1584&lt;=90,"75-90")</f>
        <v>18-29</v>
      </c>
      <c r="M1584" t="str">
        <f>IF(Table1[[#This Row],[length_of_stay_days]]&gt;7,"Yes","No")</f>
        <v>No</v>
      </c>
    </row>
    <row r="1585" spans="1:13" x14ac:dyDescent="0.3">
      <c r="A1585" t="s">
        <v>1984</v>
      </c>
      <c r="B1585">
        <v>89</v>
      </c>
      <c r="C1585" t="s">
        <v>12</v>
      </c>
      <c r="D1585" t="s">
        <v>32</v>
      </c>
      <c r="E1585" t="s">
        <v>21</v>
      </c>
      <c r="F1585" t="s">
        <v>252</v>
      </c>
      <c r="G1585" t="s">
        <v>581</v>
      </c>
      <c r="H1585">
        <v>6</v>
      </c>
      <c r="I1585" s="1">
        <v>9843.83</v>
      </c>
      <c r="J1585" t="s">
        <v>17</v>
      </c>
      <c r="K1585" t="s">
        <v>18</v>
      </c>
      <c r="L1585" t="str" cm="1">
        <f t="array" ref="L1585">_xlfn.IFS(B1585&lt;30,"18-29",B1585&lt;45,"30-44",B1585&lt;60,"45-59",B1585&lt;75,"60-74",B1585&lt;=90,"75-90")</f>
        <v>75-90</v>
      </c>
      <c r="M1585" t="str">
        <f>IF(Table1[[#This Row],[length_of_stay_days]]&gt;7,"Yes","No")</f>
        <v>No</v>
      </c>
    </row>
    <row r="1586" spans="1:13" x14ac:dyDescent="0.3">
      <c r="A1586" t="s">
        <v>1985</v>
      </c>
      <c r="B1586">
        <v>27</v>
      </c>
      <c r="C1586" t="s">
        <v>12</v>
      </c>
      <c r="D1586" t="s">
        <v>13</v>
      </c>
      <c r="E1586" t="s">
        <v>28</v>
      </c>
      <c r="F1586" t="s">
        <v>797</v>
      </c>
      <c r="G1586" t="s">
        <v>323</v>
      </c>
      <c r="H1586">
        <v>5</v>
      </c>
      <c r="I1586" s="1">
        <v>9501.61</v>
      </c>
      <c r="J1586" t="s">
        <v>17</v>
      </c>
      <c r="K1586" t="s">
        <v>18</v>
      </c>
      <c r="L1586" t="str" cm="1">
        <f t="array" ref="L1586">_xlfn.IFS(B1586&lt;30,"18-29",B1586&lt;45,"30-44",B1586&lt;60,"45-59",B1586&lt;75,"60-74",B1586&lt;=90,"75-90")</f>
        <v>18-29</v>
      </c>
      <c r="M1586" t="str">
        <f>IF(Table1[[#This Row],[length_of_stay_days]]&gt;7,"Yes","No")</f>
        <v>No</v>
      </c>
    </row>
    <row r="1587" spans="1:13" x14ac:dyDescent="0.3">
      <c r="A1587" t="s">
        <v>1986</v>
      </c>
      <c r="B1587">
        <v>31</v>
      </c>
      <c r="C1587" t="s">
        <v>20</v>
      </c>
      <c r="D1587" t="s">
        <v>28</v>
      </c>
      <c r="E1587" t="s">
        <v>14</v>
      </c>
      <c r="F1587" t="s">
        <v>575</v>
      </c>
      <c r="G1587" t="s">
        <v>1207</v>
      </c>
      <c r="H1587">
        <v>1</v>
      </c>
      <c r="I1587" s="1">
        <v>3209.98</v>
      </c>
      <c r="J1587" t="s">
        <v>17</v>
      </c>
      <c r="K1587" t="s">
        <v>18</v>
      </c>
      <c r="L1587" t="str" cm="1">
        <f t="array" ref="L1587">_xlfn.IFS(B1587&lt;30,"18-29",B1587&lt;45,"30-44",B1587&lt;60,"45-59",B1587&lt;75,"60-74",B1587&lt;=90,"75-90")</f>
        <v>30-44</v>
      </c>
      <c r="M1587" t="str">
        <f>IF(Table1[[#This Row],[length_of_stay_days]]&gt;7,"Yes","No")</f>
        <v>No</v>
      </c>
    </row>
    <row r="1588" spans="1:13" x14ac:dyDescent="0.3">
      <c r="A1588" t="s">
        <v>1987</v>
      </c>
      <c r="B1588">
        <v>68</v>
      </c>
      <c r="C1588" t="s">
        <v>12</v>
      </c>
      <c r="D1588" t="s">
        <v>28</v>
      </c>
      <c r="E1588" t="s">
        <v>28</v>
      </c>
      <c r="F1588" t="s">
        <v>503</v>
      </c>
      <c r="G1588" t="s">
        <v>579</v>
      </c>
      <c r="H1588">
        <v>4</v>
      </c>
      <c r="I1588" s="1">
        <v>7863.79</v>
      </c>
      <c r="J1588" t="s">
        <v>17</v>
      </c>
      <c r="K1588" t="s">
        <v>18</v>
      </c>
      <c r="L1588" t="str" cm="1">
        <f t="array" ref="L1588">_xlfn.IFS(B1588&lt;30,"18-29",B1588&lt;45,"30-44",B1588&lt;60,"45-59",B1588&lt;75,"60-74",B1588&lt;=90,"75-90")</f>
        <v>60-74</v>
      </c>
      <c r="M1588" t="str">
        <f>IF(Table1[[#This Row],[length_of_stay_days]]&gt;7,"Yes","No")</f>
        <v>No</v>
      </c>
    </row>
    <row r="1589" spans="1:13" x14ac:dyDescent="0.3">
      <c r="A1589" t="s">
        <v>1988</v>
      </c>
      <c r="B1589">
        <v>86</v>
      </c>
      <c r="C1589" t="s">
        <v>20</v>
      </c>
      <c r="D1589" t="s">
        <v>32</v>
      </c>
      <c r="E1589" t="s">
        <v>28</v>
      </c>
      <c r="F1589" t="s">
        <v>36</v>
      </c>
      <c r="G1589" t="s">
        <v>554</v>
      </c>
      <c r="H1589">
        <v>6</v>
      </c>
      <c r="I1589" s="1">
        <v>12002.07</v>
      </c>
      <c r="J1589" t="s">
        <v>17</v>
      </c>
      <c r="K1589" t="s">
        <v>18</v>
      </c>
      <c r="L1589" t="str" cm="1">
        <f t="array" ref="L1589">_xlfn.IFS(B1589&lt;30,"18-29",B1589&lt;45,"30-44",B1589&lt;60,"45-59",B1589&lt;75,"60-74",B1589&lt;=90,"75-90")</f>
        <v>75-90</v>
      </c>
      <c r="M1589" t="str">
        <f>IF(Table1[[#This Row],[length_of_stay_days]]&gt;7,"Yes","No")</f>
        <v>No</v>
      </c>
    </row>
    <row r="1590" spans="1:13" x14ac:dyDescent="0.3">
      <c r="A1590" t="s">
        <v>1989</v>
      </c>
      <c r="B1590">
        <v>32</v>
      </c>
      <c r="C1590" t="s">
        <v>20</v>
      </c>
      <c r="D1590" t="s">
        <v>28</v>
      </c>
      <c r="E1590" t="s">
        <v>28</v>
      </c>
      <c r="F1590" t="s">
        <v>689</v>
      </c>
      <c r="G1590" t="s">
        <v>105</v>
      </c>
      <c r="H1590">
        <v>5</v>
      </c>
      <c r="I1590" s="1">
        <v>5967.42</v>
      </c>
      <c r="J1590" t="s">
        <v>17</v>
      </c>
      <c r="K1590" t="s">
        <v>18</v>
      </c>
      <c r="L1590" t="str" cm="1">
        <f t="array" ref="L1590">_xlfn.IFS(B1590&lt;30,"18-29",B1590&lt;45,"30-44",B1590&lt;60,"45-59",B1590&lt;75,"60-74",B1590&lt;=90,"75-90")</f>
        <v>30-44</v>
      </c>
      <c r="M1590" t="str">
        <f>IF(Table1[[#This Row],[length_of_stay_days]]&gt;7,"Yes","No")</f>
        <v>No</v>
      </c>
    </row>
    <row r="1591" spans="1:13" x14ac:dyDescent="0.3">
      <c r="A1591" t="s">
        <v>1990</v>
      </c>
      <c r="B1591">
        <v>73</v>
      </c>
      <c r="C1591" t="s">
        <v>12</v>
      </c>
      <c r="D1591" t="s">
        <v>28</v>
      </c>
      <c r="E1591" t="s">
        <v>14</v>
      </c>
      <c r="F1591" t="s">
        <v>315</v>
      </c>
      <c r="G1591" t="s">
        <v>371</v>
      </c>
      <c r="H1591">
        <v>2</v>
      </c>
      <c r="I1591" s="1">
        <v>3694.7</v>
      </c>
      <c r="J1591" t="s">
        <v>17</v>
      </c>
      <c r="K1591" t="s">
        <v>18</v>
      </c>
      <c r="L1591" t="str" cm="1">
        <f t="array" ref="L1591">_xlfn.IFS(B1591&lt;30,"18-29",B1591&lt;45,"30-44",B1591&lt;60,"45-59",B1591&lt;75,"60-74",B1591&lt;=90,"75-90")</f>
        <v>60-74</v>
      </c>
      <c r="M1591" t="str">
        <f>IF(Table1[[#This Row],[length_of_stay_days]]&gt;7,"Yes","No")</f>
        <v>No</v>
      </c>
    </row>
    <row r="1592" spans="1:13" x14ac:dyDescent="0.3">
      <c r="A1592" t="s">
        <v>1991</v>
      </c>
      <c r="B1592">
        <v>46</v>
      </c>
      <c r="C1592" t="s">
        <v>12</v>
      </c>
      <c r="D1592" t="s">
        <v>55</v>
      </c>
      <c r="E1592" t="s">
        <v>14</v>
      </c>
      <c r="F1592" t="s">
        <v>841</v>
      </c>
      <c r="G1592" t="s">
        <v>348</v>
      </c>
      <c r="H1592">
        <v>4</v>
      </c>
      <c r="I1592" s="1">
        <v>8822.26</v>
      </c>
      <c r="J1592" t="s">
        <v>17</v>
      </c>
      <c r="K1592" t="s">
        <v>18</v>
      </c>
      <c r="L1592" t="str" cm="1">
        <f t="array" ref="L1592">_xlfn.IFS(B1592&lt;30,"18-29",B1592&lt;45,"30-44",B1592&lt;60,"45-59",B1592&lt;75,"60-74",B1592&lt;=90,"75-90")</f>
        <v>45-59</v>
      </c>
      <c r="M1592" t="str">
        <f>IF(Table1[[#This Row],[length_of_stay_days]]&gt;7,"Yes","No")</f>
        <v>No</v>
      </c>
    </row>
    <row r="1593" spans="1:13" x14ac:dyDescent="0.3">
      <c r="A1593" t="s">
        <v>1992</v>
      </c>
      <c r="B1593">
        <v>73</v>
      </c>
      <c r="C1593" t="s">
        <v>20</v>
      </c>
      <c r="D1593" t="s">
        <v>28</v>
      </c>
      <c r="E1593" t="s">
        <v>28</v>
      </c>
      <c r="F1593" t="s">
        <v>298</v>
      </c>
      <c r="G1593" t="s">
        <v>309</v>
      </c>
      <c r="H1593">
        <v>5</v>
      </c>
      <c r="I1593" s="1">
        <v>6904.95</v>
      </c>
      <c r="J1593" t="s">
        <v>49</v>
      </c>
      <c r="K1593" t="s">
        <v>18</v>
      </c>
      <c r="L1593" t="str" cm="1">
        <f t="array" ref="L1593">_xlfn.IFS(B1593&lt;30,"18-29",B1593&lt;45,"30-44",B1593&lt;60,"45-59",B1593&lt;75,"60-74",B1593&lt;=90,"75-90")</f>
        <v>60-74</v>
      </c>
      <c r="M1593" t="str">
        <f>IF(Table1[[#This Row],[length_of_stay_days]]&gt;7,"Yes","No")</f>
        <v>No</v>
      </c>
    </row>
    <row r="1594" spans="1:13" x14ac:dyDescent="0.3">
      <c r="A1594" t="s">
        <v>1993</v>
      </c>
      <c r="B1594">
        <v>50</v>
      </c>
      <c r="C1594" t="s">
        <v>12</v>
      </c>
      <c r="D1594" t="s">
        <v>28</v>
      </c>
      <c r="E1594" t="s">
        <v>21</v>
      </c>
      <c r="F1594" t="s">
        <v>1229</v>
      </c>
      <c r="G1594" t="s">
        <v>346</v>
      </c>
      <c r="H1594">
        <v>7</v>
      </c>
      <c r="I1594" s="1">
        <v>5378.62</v>
      </c>
      <c r="J1594" t="s">
        <v>17</v>
      </c>
      <c r="K1594" t="s">
        <v>18</v>
      </c>
      <c r="L1594" t="str" cm="1">
        <f t="array" ref="L1594">_xlfn.IFS(B1594&lt;30,"18-29",B1594&lt;45,"30-44",B1594&lt;60,"45-59",B1594&lt;75,"60-74",B1594&lt;=90,"75-90")</f>
        <v>45-59</v>
      </c>
      <c r="M1594" t="str">
        <f>IF(Table1[[#This Row],[length_of_stay_days]]&gt;7,"Yes","No")</f>
        <v>No</v>
      </c>
    </row>
    <row r="1595" spans="1:13" x14ac:dyDescent="0.3">
      <c r="A1595" t="s">
        <v>1994</v>
      </c>
      <c r="B1595">
        <v>66</v>
      </c>
      <c r="C1595" t="s">
        <v>20</v>
      </c>
      <c r="D1595" t="s">
        <v>28</v>
      </c>
      <c r="E1595" t="s">
        <v>28</v>
      </c>
      <c r="F1595" t="s">
        <v>509</v>
      </c>
      <c r="G1595" t="s">
        <v>328</v>
      </c>
      <c r="H1595">
        <v>6</v>
      </c>
      <c r="I1595" s="1">
        <v>8591.52</v>
      </c>
      <c r="J1595" t="s">
        <v>17</v>
      </c>
      <c r="K1595" t="s">
        <v>18</v>
      </c>
      <c r="L1595" t="str" cm="1">
        <f t="array" ref="L1595">_xlfn.IFS(B1595&lt;30,"18-29",B1595&lt;45,"30-44",B1595&lt;60,"45-59",B1595&lt;75,"60-74",B1595&lt;=90,"75-90")</f>
        <v>60-74</v>
      </c>
      <c r="M1595" t="str">
        <f>IF(Table1[[#This Row],[length_of_stay_days]]&gt;7,"Yes","No")</f>
        <v>No</v>
      </c>
    </row>
    <row r="1596" spans="1:13" x14ac:dyDescent="0.3">
      <c r="A1596" t="s">
        <v>1995</v>
      </c>
      <c r="B1596">
        <v>28</v>
      </c>
      <c r="C1596" t="s">
        <v>20</v>
      </c>
      <c r="D1596" t="s">
        <v>32</v>
      </c>
      <c r="E1596" t="s">
        <v>21</v>
      </c>
      <c r="F1596" t="s">
        <v>151</v>
      </c>
      <c r="G1596" t="s">
        <v>124</v>
      </c>
      <c r="H1596">
        <v>9</v>
      </c>
      <c r="I1596" s="1">
        <v>14307</v>
      </c>
      <c r="J1596" t="s">
        <v>17</v>
      </c>
      <c r="K1596" t="s">
        <v>18</v>
      </c>
      <c r="L1596" t="str" cm="1">
        <f t="array" ref="L1596">_xlfn.IFS(B1596&lt;30,"18-29",B1596&lt;45,"30-44",B1596&lt;60,"45-59",B1596&lt;75,"60-74",B1596&lt;=90,"75-90")</f>
        <v>18-29</v>
      </c>
      <c r="M1596" t="str">
        <f>IF(Table1[[#This Row],[length_of_stay_days]]&gt;7,"Yes","No")</f>
        <v>Yes</v>
      </c>
    </row>
    <row r="1597" spans="1:13" x14ac:dyDescent="0.3">
      <c r="A1597" t="s">
        <v>1996</v>
      </c>
      <c r="B1597">
        <v>38</v>
      </c>
      <c r="C1597" t="s">
        <v>20</v>
      </c>
      <c r="D1597" t="s">
        <v>28</v>
      </c>
      <c r="E1597" t="s">
        <v>28</v>
      </c>
      <c r="F1597" t="s">
        <v>304</v>
      </c>
      <c r="G1597" t="s">
        <v>121</v>
      </c>
      <c r="H1597">
        <v>8</v>
      </c>
      <c r="I1597" s="1">
        <v>3193.03</v>
      </c>
      <c r="J1597" t="s">
        <v>17</v>
      </c>
      <c r="K1597" t="s">
        <v>18</v>
      </c>
      <c r="L1597" t="str" cm="1">
        <f t="array" ref="L1597">_xlfn.IFS(B1597&lt;30,"18-29",B1597&lt;45,"30-44",B1597&lt;60,"45-59",B1597&lt;75,"60-74",B1597&lt;=90,"75-90")</f>
        <v>30-44</v>
      </c>
      <c r="M1597" t="str">
        <f>IF(Table1[[#This Row],[length_of_stay_days]]&gt;7,"Yes","No")</f>
        <v>Yes</v>
      </c>
    </row>
    <row r="1598" spans="1:13" x14ac:dyDescent="0.3">
      <c r="A1598" t="s">
        <v>1997</v>
      </c>
      <c r="B1598">
        <v>89</v>
      </c>
      <c r="C1598" t="s">
        <v>12</v>
      </c>
      <c r="D1598" t="s">
        <v>28</v>
      </c>
      <c r="E1598" t="s">
        <v>14</v>
      </c>
      <c r="F1598" t="s">
        <v>226</v>
      </c>
      <c r="G1598" t="s">
        <v>144</v>
      </c>
      <c r="H1598">
        <v>4</v>
      </c>
      <c r="I1598" s="1">
        <v>6004.94</v>
      </c>
      <c r="J1598" t="s">
        <v>17</v>
      </c>
      <c r="K1598" t="s">
        <v>18</v>
      </c>
      <c r="L1598" t="str" cm="1">
        <f t="array" ref="L1598">_xlfn.IFS(B1598&lt;30,"18-29",B1598&lt;45,"30-44",B1598&lt;60,"45-59",B1598&lt;75,"60-74",B1598&lt;=90,"75-90")</f>
        <v>75-90</v>
      </c>
      <c r="M1598" t="str">
        <f>IF(Table1[[#This Row],[length_of_stay_days]]&gt;7,"Yes","No")</f>
        <v>No</v>
      </c>
    </row>
    <row r="1599" spans="1:13" x14ac:dyDescent="0.3">
      <c r="A1599" t="s">
        <v>1998</v>
      </c>
      <c r="B1599">
        <v>37</v>
      </c>
      <c r="C1599" t="s">
        <v>12</v>
      </c>
      <c r="D1599" t="s">
        <v>28</v>
      </c>
      <c r="E1599" t="s">
        <v>14</v>
      </c>
      <c r="F1599" t="s">
        <v>425</v>
      </c>
      <c r="G1599" t="s">
        <v>292</v>
      </c>
      <c r="H1599">
        <v>3</v>
      </c>
      <c r="I1599" s="1">
        <v>5432.26</v>
      </c>
      <c r="J1599" t="s">
        <v>17</v>
      </c>
      <c r="K1599" t="s">
        <v>18</v>
      </c>
      <c r="L1599" t="str" cm="1">
        <f t="array" ref="L1599">_xlfn.IFS(B1599&lt;30,"18-29",B1599&lt;45,"30-44",B1599&lt;60,"45-59",B1599&lt;75,"60-74",B1599&lt;=90,"75-90")</f>
        <v>30-44</v>
      </c>
      <c r="M1599" t="str">
        <f>IF(Table1[[#This Row],[length_of_stay_days]]&gt;7,"Yes","No")</f>
        <v>No</v>
      </c>
    </row>
    <row r="1600" spans="1:13" x14ac:dyDescent="0.3">
      <c r="A1600" t="s">
        <v>1999</v>
      </c>
      <c r="B1600">
        <v>26</v>
      </c>
      <c r="C1600" t="s">
        <v>12</v>
      </c>
      <c r="D1600" t="s">
        <v>51</v>
      </c>
      <c r="E1600" t="s">
        <v>14</v>
      </c>
      <c r="F1600" t="s">
        <v>48</v>
      </c>
      <c r="G1600" t="s">
        <v>493</v>
      </c>
      <c r="H1600">
        <v>5</v>
      </c>
      <c r="I1600" s="1">
        <v>10013.709999999999</v>
      </c>
      <c r="J1600" t="s">
        <v>17</v>
      </c>
      <c r="K1600" t="s">
        <v>18</v>
      </c>
      <c r="L1600" t="str" cm="1">
        <f t="array" ref="L1600">_xlfn.IFS(B1600&lt;30,"18-29",B1600&lt;45,"30-44",B1600&lt;60,"45-59",B1600&lt;75,"60-74",B1600&lt;=90,"75-90")</f>
        <v>18-29</v>
      </c>
      <c r="M1600" t="str">
        <f>IF(Table1[[#This Row],[length_of_stay_days]]&gt;7,"Yes","No")</f>
        <v>No</v>
      </c>
    </row>
    <row r="1601" spans="1:13" x14ac:dyDescent="0.3">
      <c r="A1601" t="s">
        <v>2000</v>
      </c>
      <c r="B1601">
        <v>89</v>
      </c>
      <c r="C1601" t="s">
        <v>12</v>
      </c>
      <c r="D1601" t="s">
        <v>28</v>
      </c>
      <c r="E1601" t="s">
        <v>21</v>
      </c>
      <c r="F1601" t="s">
        <v>296</v>
      </c>
      <c r="G1601" t="s">
        <v>791</v>
      </c>
      <c r="H1601">
        <v>2</v>
      </c>
      <c r="I1601" s="1">
        <v>4470.47</v>
      </c>
      <c r="J1601" t="s">
        <v>17</v>
      </c>
      <c r="K1601" t="s">
        <v>18</v>
      </c>
      <c r="L1601" t="str" cm="1">
        <f t="array" ref="L1601">_xlfn.IFS(B1601&lt;30,"18-29",B1601&lt;45,"30-44",B1601&lt;60,"45-59",B1601&lt;75,"60-74",B1601&lt;=90,"75-90")</f>
        <v>75-90</v>
      </c>
      <c r="M1601" t="str">
        <f>IF(Table1[[#This Row],[length_of_stay_days]]&gt;7,"Yes","No")</f>
        <v>No</v>
      </c>
    </row>
    <row r="1602" spans="1:13" x14ac:dyDescent="0.3">
      <c r="A1602" t="s">
        <v>2001</v>
      </c>
      <c r="B1602">
        <v>59</v>
      </c>
      <c r="C1602" t="s">
        <v>20</v>
      </c>
      <c r="D1602" t="s">
        <v>28</v>
      </c>
      <c r="E1602" t="s">
        <v>28</v>
      </c>
      <c r="F1602" t="s">
        <v>434</v>
      </c>
      <c r="G1602" t="s">
        <v>678</v>
      </c>
      <c r="H1602">
        <v>6</v>
      </c>
      <c r="I1602" s="1">
        <v>6637.53</v>
      </c>
      <c r="J1602" t="s">
        <v>17</v>
      </c>
      <c r="K1602" t="s">
        <v>18</v>
      </c>
      <c r="L1602" t="str" cm="1">
        <f t="array" ref="L1602">_xlfn.IFS(B1602&lt;30,"18-29",B1602&lt;45,"30-44",B1602&lt;60,"45-59",B1602&lt;75,"60-74",B1602&lt;=90,"75-90")</f>
        <v>45-59</v>
      </c>
      <c r="M1602" t="str">
        <f>IF(Table1[[#This Row],[length_of_stay_days]]&gt;7,"Yes","No")</f>
        <v>No</v>
      </c>
    </row>
    <row r="1603" spans="1:13" x14ac:dyDescent="0.3">
      <c r="A1603" t="s">
        <v>2002</v>
      </c>
      <c r="B1603">
        <v>40</v>
      </c>
      <c r="C1603" t="s">
        <v>12</v>
      </c>
      <c r="D1603" t="s">
        <v>28</v>
      </c>
      <c r="E1603" t="s">
        <v>14</v>
      </c>
      <c r="F1603" t="s">
        <v>43</v>
      </c>
      <c r="G1603" t="s">
        <v>430</v>
      </c>
      <c r="H1603">
        <v>5</v>
      </c>
      <c r="I1603" s="1">
        <v>7597.73</v>
      </c>
      <c r="J1603" t="s">
        <v>17</v>
      </c>
      <c r="K1603" t="s">
        <v>44</v>
      </c>
      <c r="L1603" t="str" cm="1">
        <f t="array" ref="L1603">_xlfn.IFS(B1603&lt;30,"18-29",B1603&lt;45,"30-44",B1603&lt;60,"45-59",B1603&lt;75,"60-74",B1603&lt;=90,"75-90")</f>
        <v>30-44</v>
      </c>
      <c r="M1603" t="str">
        <f>IF(Table1[[#This Row],[length_of_stay_days]]&gt;7,"Yes","No")</f>
        <v>No</v>
      </c>
    </row>
    <row r="1604" spans="1:13" x14ac:dyDescent="0.3">
      <c r="A1604" t="s">
        <v>2003</v>
      </c>
      <c r="B1604">
        <v>49</v>
      </c>
      <c r="C1604" t="s">
        <v>12</v>
      </c>
      <c r="D1604" t="s">
        <v>13</v>
      </c>
      <c r="E1604" t="s">
        <v>28</v>
      </c>
      <c r="F1604" t="s">
        <v>1054</v>
      </c>
      <c r="G1604" t="s">
        <v>596</v>
      </c>
      <c r="H1604">
        <v>3</v>
      </c>
      <c r="I1604" s="1">
        <v>4271.05</v>
      </c>
      <c r="J1604" t="s">
        <v>17</v>
      </c>
      <c r="K1604" t="s">
        <v>18</v>
      </c>
      <c r="L1604" t="str" cm="1">
        <f t="array" ref="L1604">_xlfn.IFS(B1604&lt;30,"18-29",B1604&lt;45,"30-44",B1604&lt;60,"45-59",B1604&lt;75,"60-74",B1604&lt;=90,"75-90")</f>
        <v>45-59</v>
      </c>
      <c r="M1604" t="str">
        <f>IF(Table1[[#This Row],[length_of_stay_days]]&gt;7,"Yes","No")</f>
        <v>No</v>
      </c>
    </row>
    <row r="1605" spans="1:13" x14ac:dyDescent="0.3">
      <c r="A1605" t="s">
        <v>2004</v>
      </c>
      <c r="B1605">
        <v>32</v>
      </c>
      <c r="C1605" t="s">
        <v>20</v>
      </c>
      <c r="D1605" t="s">
        <v>55</v>
      </c>
      <c r="E1605" t="s">
        <v>14</v>
      </c>
      <c r="F1605" t="s">
        <v>198</v>
      </c>
      <c r="G1605" t="s">
        <v>37</v>
      </c>
      <c r="H1605">
        <v>2</v>
      </c>
      <c r="I1605" s="1">
        <v>5748.83</v>
      </c>
      <c r="J1605" t="s">
        <v>17</v>
      </c>
      <c r="K1605" t="s">
        <v>223</v>
      </c>
      <c r="L1605" t="str" cm="1">
        <f t="array" ref="L1605">_xlfn.IFS(B1605&lt;30,"18-29",B1605&lt;45,"30-44",B1605&lt;60,"45-59",B1605&lt;75,"60-74",B1605&lt;=90,"75-90")</f>
        <v>30-44</v>
      </c>
      <c r="M1605" t="str">
        <f>IF(Table1[[#This Row],[length_of_stay_days]]&gt;7,"Yes","No")</f>
        <v>No</v>
      </c>
    </row>
    <row r="1606" spans="1:13" x14ac:dyDescent="0.3">
      <c r="A1606" t="s">
        <v>2005</v>
      </c>
      <c r="B1606">
        <v>55</v>
      </c>
      <c r="C1606" t="s">
        <v>20</v>
      </c>
      <c r="D1606" t="s">
        <v>28</v>
      </c>
      <c r="E1606" t="s">
        <v>14</v>
      </c>
      <c r="F1606" t="s">
        <v>283</v>
      </c>
      <c r="G1606" t="s">
        <v>268</v>
      </c>
      <c r="H1606">
        <v>6</v>
      </c>
      <c r="I1606" s="1">
        <v>7737.17</v>
      </c>
      <c r="J1606" t="s">
        <v>17</v>
      </c>
      <c r="K1606" t="s">
        <v>18</v>
      </c>
      <c r="L1606" t="str" cm="1">
        <f t="array" ref="L1606">_xlfn.IFS(B1606&lt;30,"18-29",B1606&lt;45,"30-44",B1606&lt;60,"45-59",B1606&lt;75,"60-74",B1606&lt;=90,"75-90")</f>
        <v>45-59</v>
      </c>
      <c r="M1606" t="str">
        <f>IF(Table1[[#This Row],[length_of_stay_days]]&gt;7,"Yes","No")</f>
        <v>No</v>
      </c>
    </row>
    <row r="1607" spans="1:13" x14ac:dyDescent="0.3">
      <c r="A1607" t="s">
        <v>2006</v>
      </c>
      <c r="B1607">
        <v>41</v>
      </c>
      <c r="C1607" t="s">
        <v>20</v>
      </c>
      <c r="D1607" t="s">
        <v>51</v>
      </c>
      <c r="E1607" t="s">
        <v>28</v>
      </c>
      <c r="F1607" t="s">
        <v>208</v>
      </c>
      <c r="G1607" t="s">
        <v>108</v>
      </c>
      <c r="H1607">
        <v>10</v>
      </c>
      <c r="I1607" s="1">
        <v>13970.81</v>
      </c>
      <c r="J1607" t="s">
        <v>17</v>
      </c>
      <c r="K1607" t="s">
        <v>18</v>
      </c>
      <c r="L1607" t="str" cm="1">
        <f t="array" ref="L1607">_xlfn.IFS(B1607&lt;30,"18-29",B1607&lt;45,"30-44",B1607&lt;60,"45-59",B1607&lt;75,"60-74",B1607&lt;=90,"75-90")</f>
        <v>30-44</v>
      </c>
      <c r="M1607" t="str">
        <f>IF(Table1[[#This Row],[length_of_stay_days]]&gt;7,"Yes","No")</f>
        <v>Yes</v>
      </c>
    </row>
    <row r="1608" spans="1:13" x14ac:dyDescent="0.3">
      <c r="A1608" t="s">
        <v>2007</v>
      </c>
      <c r="B1608">
        <v>46</v>
      </c>
      <c r="C1608" t="s">
        <v>12</v>
      </c>
      <c r="D1608" t="s">
        <v>28</v>
      </c>
      <c r="E1608" t="s">
        <v>14</v>
      </c>
      <c r="F1608" t="s">
        <v>180</v>
      </c>
      <c r="G1608" t="s">
        <v>497</v>
      </c>
      <c r="H1608">
        <v>3</v>
      </c>
      <c r="I1608" s="1">
        <v>4446.25</v>
      </c>
      <c r="J1608" t="s">
        <v>17</v>
      </c>
      <c r="K1608" t="s">
        <v>18</v>
      </c>
      <c r="L1608" t="str" cm="1">
        <f t="array" ref="L1608">_xlfn.IFS(B1608&lt;30,"18-29",B1608&lt;45,"30-44",B1608&lt;60,"45-59",B1608&lt;75,"60-74",B1608&lt;=90,"75-90")</f>
        <v>45-59</v>
      </c>
      <c r="M1608" t="str">
        <f>IF(Table1[[#This Row],[length_of_stay_days]]&gt;7,"Yes","No")</f>
        <v>No</v>
      </c>
    </row>
    <row r="1609" spans="1:13" x14ac:dyDescent="0.3">
      <c r="A1609" t="s">
        <v>2008</v>
      </c>
      <c r="B1609">
        <v>39</v>
      </c>
      <c r="C1609" t="s">
        <v>12</v>
      </c>
      <c r="D1609" t="s">
        <v>32</v>
      </c>
      <c r="E1609" t="s">
        <v>28</v>
      </c>
      <c r="F1609" t="s">
        <v>591</v>
      </c>
      <c r="G1609" t="s">
        <v>285</v>
      </c>
      <c r="H1609">
        <v>5</v>
      </c>
      <c r="I1609" s="1">
        <v>11731.48</v>
      </c>
      <c r="J1609" t="s">
        <v>17</v>
      </c>
      <c r="K1609" t="s">
        <v>18</v>
      </c>
      <c r="L1609" t="str" cm="1">
        <f t="array" ref="L1609">_xlfn.IFS(B1609&lt;30,"18-29",B1609&lt;45,"30-44",B1609&lt;60,"45-59",B1609&lt;75,"60-74",B1609&lt;=90,"75-90")</f>
        <v>30-44</v>
      </c>
      <c r="M1609" t="str">
        <f>IF(Table1[[#This Row],[length_of_stay_days]]&gt;7,"Yes","No")</f>
        <v>No</v>
      </c>
    </row>
    <row r="1610" spans="1:13" x14ac:dyDescent="0.3">
      <c r="A1610" t="s">
        <v>2009</v>
      </c>
      <c r="B1610">
        <v>31</v>
      </c>
      <c r="C1610" t="s">
        <v>20</v>
      </c>
      <c r="D1610" t="s">
        <v>51</v>
      </c>
      <c r="E1610" t="s">
        <v>28</v>
      </c>
      <c r="F1610" t="s">
        <v>656</v>
      </c>
      <c r="G1610" t="s">
        <v>252</v>
      </c>
      <c r="H1610">
        <v>10</v>
      </c>
      <c r="I1610" s="1">
        <v>11501.6</v>
      </c>
      <c r="J1610" t="s">
        <v>49</v>
      </c>
      <c r="K1610" t="s">
        <v>18</v>
      </c>
      <c r="L1610" t="str" cm="1">
        <f t="array" ref="L1610">_xlfn.IFS(B1610&lt;30,"18-29",B1610&lt;45,"30-44",B1610&lt;60,"45-59",B1610&lt;75,"60-74",B1610&lt;=90,"75-90")</f>
        <v>30-44</v>
      </c>
      <c r="M1610" t="str">
        <f>IF(Table1[[#This Row],[length_of_stay_days]]&gt;7,"Yes","No")</f>
        <v>Yes</v>
      </c>
    </row>
    <row r="1611" spans="1:13" x14ac:dyDescent="0.3">
      <c r="A1611" t="s">
        <v>2010</v>
      </c>
      <c r="B1611">
        <v>55</v>
      </c>
      <c r="C1611" t="s">
        <v>12</v>
      </c>
      <c r="D1611" t="s">
        <v>28</v>
      </c>
      <c r="E1611" t="s">
        <v>28</v>
      </c>
      <c r="F1611" t="s">
        <v>264</v>
      </c>
      <c r="G1611" t="s">
        <v>133</v>
      </c>
      <c r="H1611">
        <v>2</v>
      </c>
      <c r="I1611" s="1">
        <v>2418.71</v>
      </c>
      <c r="J1611" t="s">
        <v>17</v>
      </c>
      <c r="K1611" t="s">
        <v>18</v>
      </c>
      <c r="L1611" t="str" cm="1">
        <f t="array" ref="L1611">_xlfn.IFS(B1611&lt;30,"18-29",B1611&lt;45,"30-44",B1611&lt;60,"45-59",B1611&lt;75,"60-74",B1611&lt;=90,"75-90")</f>
        <v>45-59</v>
      </c>
      <c r="M1611" t="str">
        <f>IF(Table1[[#This Row],[length_of_stay_days]]&gt;7,"Yes","No")</f>
        <v>No</v>
      </c>
    </row>
    <row r="1612" spans="1:13" x14ac:dyDescent="0.3">
      <c r="A1612" t="s">
        <v>2011</v>
      </c>
      <c r="B1612">
        <v>34</v>
      </c>
      <c r="C1612" t="s">
        <v>12</v>
      </c>
      <c r="D1612" t="s">
        <v>13</v>
      </c>
      <c r="E1612" t="s">
        <v>28</v>
      </c>
      <c r="F1612" t="s">
        <v>402</v>
      </c>
      <c r="G1612" t="s">
        <v>415</v>
      </c>
      <c r="H1612">
        <v>3</v>
      </c>
      <c r="I1612" s="1">
        <v>4241.1400000000003</v>
      </c>
      <c r="J1612" t="s">
        <v>17</v>
      </c>
      <c r="K1612" t="s">
        <v>18</v>
      </c>
      <c r="L1612" t="str" cm="1">
        <f t="array" ref="L1612">_xlfn.IFS(B1612&lt;30,"18-29",B1612&lt;45,"30-44",B1612&lt;60,"45-59",B1612&lt;75,"60-74",B1612&lt;=90,"75-90")</f>
        <v>30-44</v>
      </c>
      <c r="M1612" t="str">
        <f>IF(Table1[[#This Row],[length_of_stay_days]]&gt;7,"Yes","No")</f>
        <v>No</v>
      </c>
    </row>
    <row r="1613" spans="1:13" x14ac:dyDescent="0.3">
      <c r="A1613" t="s">
        <v>2012</v>
      </c>
      <c r="B1613">
        <v>60</v>
      </c>
      <c r="C1613" t="s">
        <v>20</v>
      </c>
      <c r="D1613" t="s">
        <v>13</v>
      </c>
      <c r="E1613" t="s">
        <v>28</v>
      </c>
      <c r="F1613" t="s">
        <v>481</v>
      </c>
      <c r="G1613" t="s">
        <v>67</v>
      </c>
      <c r="H1613">
        <v>3</v>
      </c>
      <c r="I1613" s="1">
        <v>3725.18</v>
      </c>
      <c r="J1613" t="s">
        <v>17</v>
      </c>
      <c r="K1613" t="s">
        <v>18</v>
      </c>
      <c r="L1613" t="str" cm="1">
        <f t="array" ref="L1613">_xlfn.IFS(B1613&lt;30,"18-29",B1613&lt;45,"30-44",B1613&lt;60,"45-59",B1613&lt;75,"60-74",B1613&lt;=90,"75-90")</f>
        <v>60-74</v>
      </c>
      <c r="M1613" t="str">
        <f>IF(Table1[[#This Row],[length_of_stay_days]]&gt;7,"Yes","No")</f>
        <v>No</v>
      </c>
    </row>
    <row r="1614" spans="1:13" x14ac:dyDescent="0.3">
      <c r="A1614" t="s">
        <v>2013</v>
      </c>
      <c r="B1614">
        <v>61</v>
      </c>
      <c r="C1614" t="s">
        <v>20</v>
      </c>
      <c r="D1614" t="s">
        <v>32</v>
      </c>
      <c r="E1614" t="s">
        <v>14</v>
      </c>
      <c r="F1614" t="s">
        <v>276</v>
      </c>
      <c r="G1614" t="s">
        <v>221</v>
      </c>
      <c r="H1614">
        <v>4</v>
      </c>
      <c r="I1614" s="1">
        <v>11177.81</v>
      </c>
      <c r="J1614" t="s">
        <v>17</v>
      </c>
      <c r="K1614" t="s">
        <v>18</v>
      </c>
      <c r="L1614" t="str" cm="1">
        <f t="array" ref="L1614">_xlfn.IFS(B1614&lt;30,"18-29",B1614&lt;45,"30-44",B1614&lt;60,"45-59",B1614&lt;75,"60-74",B1614&lt;=90,"75-90")</f>
        <v>60-74</v>
      </c>
      <c r="M1614" t="str">
        <f>IF(Table1[[#This Row],[length_of_stay_days]]&gt;7,"Yes","No")</f>
        <v>No</v>
      </c>
    </row>
    <row r="1615" spans="1:13" x14ac:dyDescent="0.3">
      <c r="A1615" t="s">
        <v>2014</v>
      </c>
      <c r="B1615">
        <v>19</v>
      </c>
      <c r="C1615" t="s">
        <v>20</v>
      </c>
      <c r="D1615" t="s">
        <v>51</v>
      </c>
      <c r="E1615" t="s">
        <v>21</v>
      </c>
      <c r="F1615" t="s">
        <v>1207</v>
      </c>
      <c r="G1615" t="s">
        <v>241</v>
      </c>
      <c r="H1615">
        <v>6</v>
      </c>
      <c r="I1615" s="1">
        <v>10051.91</v>
      </c>
      <c r="J1615" t="s">
        <v>49</v>
      </c>
      <c r="K1615" t="s">
        <v>18</v>
      </c>
      <c r="L1615" t="str" cm="1">
        <f t="array" ref="L1615">_xlfn.IFS(B1615&lt;30,"18-29",B1615&lt;45,"30-44",B1615&lt;60,"45-59",B1615&lt;75,"60-74",B1615&lt;=90,"75-90")</f>
        <v>18-29</v>
      </c>
      <c r="M1615" t="str">
        <f>IF(Table1[[#This Row],[length_of_stay_days]]&gt;7,"Yes","No")</f>
        <v>No</v>
      </c>
    </row>
    <row r="1616" spans="1:13" x14ac:dyDescent="0.3">
      <c r="A1616" t="s">
        <v>2015</v>
      </c>
      <c r="B1616">
        <v>35</v>
      </c>
      <c r="C1616" t="s">
        <v>12</v>
      </c>
      <c r="D1616" t="s">
        <v>13</v>
      </c>
      <c r="E1616" t="s">
        <v>28</v>
      </c>
      <c r="F1616" t="s">
        <v>797</v>
      </c>
      <c r="G1616" t="s">
        <v>322</v>
      </c>
      <c r="H1616">
        <v>4</v>
      </c>
      <c r="I1616" s="1">
        <v>7010.44</v>
      </c>
      <c r="J1616" t="s">
        <v>17</v>
      </c>
      <c r="K1616" t="s">
        <v>18</v>
      </c>
      <c r="L1616" t="str" cm="1">
        <f t="array" ref="L1616">_xlfn.IFS(B1616&lt;30,"18-29",B1616&lt;45,"30-44",B1616&lt;60,"45-59",B1616&lt;75,"60-74",B1616&lt;=90,"75-90")</f>
        <v>30-44</v>
      </c>
      <c r="M1616" t="str">
        <f>IF(Table1[[#This Row],[length_of_stay_days]]&gt;7,"Yes","No")</f>
        <v>No</v>
      </c>
    </row>
    <row r="1617" spans="1:13" x14ac:dyDescent="0.3">
      <c r="A1617" t="s">
        <v>2016</v>
      </c>
      <c r="B1617">
        <v>88</v>
      </c>
      <c r="C1617" t="s">
        <v>20</v>
      </c>
      <c r="D1617" t="s">
        <v>13</v>
      </c>
      <c r="E1617" t="s">
        <v>28</v>
      </c>
      <c r="F1617" t="s">
        <v>208</v>
      </c>
      <c r="G1617" t="s">
        <v>25</v>
      </c>
      <c r="H1617">
        <v>5</v>
      </c>
      <c r="I1617" s="1">
        <v>5957.39</v>
      </c>
      <c r="J1617" t="s">
        <v>17</v>
      </c>
      <c r="K1617" t="s">
        <v>18</v>
      </c>
      <c r="L1617" t="str" cm="1">
        <f t="array" ref="L1617">_xlfn.IFS(B1617&lt;30,"18-29",B1617&lt;45,"30-44",B1617&lt;60,"45-59",B1617&lt;75,"60-74",B1617&lt;=90,"75-90")</f>
        <v>75-90</v>
      </c>
      <c r="M1617" t="str">
        <f>IF(Table1[[#This Row],[length_of_stay_days]]&gt;7,"Yes","No")</f>
        <v>No</v>
      </c>
    </row>
    <row r="1618" spans="1:13" x14ac:dyDescent="0.3">
      <c r="A1618" t="s">
        <v>2017</v>
      </c>
      <c r="B1618">
        <v>57</v>
      </c>
      <c r="C1618" t="s">
        <v>20</v>
      </c>
      <c r="D1618" t="s">
        <v>13</v>
      </c>
      <c r="E1618" t="s">
        <v>14</v>
      </c>
      <c r="F1618" t="s">
        <v>537</v>
      </c>
      <c r="G1618" t="s">
        <v>286</v>
      </c>
      <c r="H1618">
        <v>3</v>
      </c>
      <c r="I1618" s="1">
        <v>4450.34</v>
      </c>
      <c r="J1618" t="s">
        <v>17</v>
      </c>
      <c r="K1618" t="s">
        <v>18</v>
      </c>
      <c r="L1618" t="str" cm="1">
        <f t="array" ref="L1618">_xlfn.IFS(B1618&lt;30,"18-29",B1618&lt;45,"30-44",B1618&lt;60,"45-59",B1618&lt;75,"60-74",B1618&lt;=90,"75-90")</f>
        <v>45-59</v>
      </c>
      <c r="M1618" t="str">
        <f>IF(Table1[[#This Row],[length_of_stay_days]]&gt;7,"Yes","No")</f>
        <v>No</v>
      </c>
    </row>
    <row r="1619" spans="1:13" x14ac:dyDescent="0.3">
      <c r="A1619" t="s">
        <v>2018</v>
      </c>
      <c r="B1619">
        <v>89</v>
      </c>
      <c r="C1619" t="s">
        <v>12</v>
      </c>
      <c r="D1619" t="s">
        <v>32</v>
      </c>
      <c r="E1619" t="s">
        <v>14</v>
      </c>
      <c r="F1619" t="s">
        <v>137</v>
      </c>
      <c r="H1619">
        <v>4</v>
      </c>
      <c r="I1619" s="1">
        <v>9235.14</v>
      </c>
      <c r="J1619" t="s">
        <v>49</v>
      </c>
      <c r="K1619" t="s">
        <v>18</v>
      </c>
      <c r="L1619" t="str" cm="1">
        <f t="array" ref="L1619">_xlfn.IFS(B1619&lt;30,"18-29",B1619&lt;45,"30-44",B1619&lt;60,"45-59",B1619&lt;75,"60-74",B1619&lt;=90,"75-90")</f>
        <v>75-90</v>
      </c>
      <c r="M1619" t="str">
        <f>IF(Table1[[#This Row],[length_of_stay_days]]&gt;7,"Yes","No")</f>
        <v>No</v>
      </c>
    </row>
    <row r="1620" spans="1:13" x14ac:dyDescent="0.3">
      <c r="A1620" t="s">
        <v>2019</v>
      </c>
      <c r="B1620">
        <v>59</v>
      </c>
      <c r="C1620" t="s">
        <v>12</v>
      </c>
      <c r="D1620" t="s">
        <v>32</v>
      </c>
      <c r="E1620" t="s">
        <v>28</v>
      </c>
      <c r="F1620" t="s">
        <v>15</v>
      </c>
      <c r="G1620" t="s">
        <v>246</v>
      </c>
      <c r="H1620">
        <v>4</v>
      </c>
      <c r="I1620" s="1">
        <v>8494.19</v>
      </c>
      <c r="J1620" t="s">
        <v>17</v>
      </c>
      <c r="K1620" t="s">
        <v>44</v>
      </c>
      <c r="L1620" t="str" cm="1">
        <f t="array" ref="L1620">_xlfn.IFS(B1620&lt;30,"18-29",B1620&lt;45,"30-44",B1620&lt;60,"45-59",B1620&lt;75,"60-74",B1620&lt;=90,"75-90")</f>
        <v>45-59</v>
      </c>
      <c r="M1620" t="str">
        <f>IF(Table1[[#This Row],[length_of_stay_days]]&gt;7,"Yes","No")</f>
        <v>No</v>
      </c>
    </row>
    <row r="1621" spans="1:13" x14ac:dyDescent="0.3">
      <c r="A1621" t="s">
        <v>2020</v>
      </c>
      <c r="B1621">
        <v>74</v>
      </c>
      <c r="C1621" t="s">
        <v>70</v>
      </c>
      <c r="D1621" t="s">
        <v>51</v>
      </c>
      <c r="E1621" t="s">
        <v>28</v>
      </c>
      <c r="F1621" t="s">
        <v>559</v>
      </c>
      <c r="G1621" t="s">
        <v>146</v>
      </c>
      <c r="H1621">
        <v>10</v>
      </c>
      <c r="I1621" s="1">
        <v>13253.24</v>
      </c>
      <c r="J1621" t="s">
        <v>49</v>
      </c>
      <c r="K1621" t="s">
        <v>18</v>
      </c>
      <c r="L1621" t="str" cm="1">
        <f t="array" ref="L1621">_xlfn.IFS(B1621&lt;30,"18-29",B1621&lt;45,"30-44",B1621&lt;60,"45-59",B1621&lt;75,"60-74",B1621&lt;=90,"75-90")</f>
        <v>60-74</v>
      </c>
      <c r="M1621" t="str">
        <f>IF(Table1[[#This Row],[length_of_stay_days]]&gt;7,"Yes","No")</f>
        <v>Yes</v>
      </c>
    </row>
    <row r="1622" spans="1:13" x14ac:dyDescent="0.3">
      <c r="A1622" t="s">
        <v>2021</v>
      </c>
      <c r="B1622">
        <v>29</v>
      </c>
      <c r="C1622" t="s">
        <v>20</v>
      </c>
      <c r="D1622" t="s">
        <v>13</v>
      </c>
      <c r="E1622" t="s">
        <v>28</v>
      </c>
      <c r="F1622" t="s">
        <v>304</v>
      </c>
      <c r="G1622" t="s">
        <v>565</v>
      </c>
      <c r="H1622">
        <v>3</v>
      </c>
      <c r="I1622" s="1">
        <v>4625.95</v>
      </c>
      <c r="J1622" t="s">
        <v>17</v>
      </c>
      <c r="K1622" t="s">
        <v>18</v>
      </c>
      <c r="L1622" t="str" cm="1">
        <f t="array" ref="L1622">_xlfn.IFS(B1622&lt;30,"18-29",B1622&lt;45,"30-44",B1622&lt;60,"45-59",B1622&lt;75,"60-74",B1622&lt;=90,"75-90")</f>
        <v>18-29</v>
      </c>
      <c r="M1622" t="str">
        <f>IF(Table1[[#This Row],[length_of_stay_days]]&gt;7,"Yes","No")</f>
        <v>No</v>
      </c>
    </row>
    <row r="1623" spans="1:13" x14ac:dyDescent="0.3">
      <c r="A1623" t="s">
        <v>2022</v>
      </c>
      <c r="B1623">
        <v>47</v>
      </c>
      <c r="C1623" t="s">
        <v>20</v>
      </c>
      <c r="D1623" t="s">
        <v>46</v>
      </c>
      <c r="E1623" t="s">
        <v>21</v>
      </c>
      <c r="F1623" t="s">
        <v>83</v>
      </c>
      <c r="G1623" t="s">
        <v>165</v>
      </c>
      <c r="H1623">
        <v>5</v>
      </c>
      <c r="I1623" s="1">
        <v>12852.22</v>
      </c>
      <c r="J1623" t="s">
        <v>17</v>
      </c>
      <c r="K1623" t="s">
        <v>18</v>
      </c>
      <c r="L1623" t="str" cm="1">
        <f t="array" ref="L1623">_xlfn.IFS(B1623&lt;30,"18-29",B1623&lt;45,"30-44",B1623&lt;60,"45-59",B1623&lt;75,"60-74",B1623&lt;=90,"75-90")</f>
        <v>45-59</v>
      </c>
      <c r="M1623" t="str">
        <f>IF(Table1[[#This Row],[length_of_stay_days]]&gt;7,"Yes","No")</f>
        <v>No</v>
      </c>
    </row>
    <row r="1624" spans="1:13" x14ac:dyDescent="0.3">
      <c r="A1624" t="s">
        <v>2023</v>
      </c>
      <c r="B1624">
        <v>34</v>
      </c>
      <c r="C1624" t="s">
        <v>12</v>
      </c>
      <c r="D1624" t="s">
        <v>28</v>
      </c>
      <c r="E1624" t="s">
        <v>14</v>
      </c>
      <c r="F1624" t="s">
        <v>724</v>
      </c>
      <c r="G1624" t="s">
        <v>317</v>
      </c>
      <c r="H1624">
        <v>6</v>
      </c>
      <c r="I1624" s="1">
        <v>5862.41</v>
      </c>
      <c r="J1624" t="s">
        <v>17</v>
      </c>
      <c r="K1624" t="s">
        <v>18</v>
      </c>
      <c r="L1624" t="str" cm="1">
        <f t="array" ref="L1624">_xlfn.IFS(B1624&lt;30,"18-29",B1624&lt;45,"30-44",B1624&lt;60,"45-59",B1624&lt;75,"60-74",B1624&lt;=90,"75-90")</f>
        <v>30-44</v>
      </c>
      <c r="M1624" t="str">
        <f>IF(Table1[[#This Row],[length_of_stay_days]]&gt;7,"Yes","No")</f>
        <v>No</v>
      </c>
    </row>
    <row r="1625" spans="1:13" x14ac:dyDescent="0.3">
      <c r="A1625" t="s">
        <v>2024</v>
      </c>
      <c r="B1625">
        <v>73</v>
      </c>
      <c r="C1625" t="s">
        <v>20</v>
      </c>
      <c r="D1625" t="s">
        <v>28</v>
      </c>
      <c r="E1625" t="s">
        <v>21</v>
      </c>
      <c r="F1625" t="s">
        <v>469</v>
      </c>
      <c r="G1625" t="s">
        <v>166</v>
      </c>
      <c r="H1625">
        <v>2</v>
      </c>
      <c r="I1625" s="1">
        <v>3186.84</v>
      </c>
      <c r="J1625" t="s">
        <v>17</v>
      </c>
      <c r="K1625" t="s">
        <v>18</v>
      </c>
      <c r="L1625" t="str" cm="1">
        <f t="array" ref="L1625">_xlfn.IFS(B1625&lt;30,"18-29",B1625&lt;45,"30-44",B1625&lt;60,"45-59",B1625&lt;75,"60-74",B1625&lt;=90,"75-90")</f>
        <v>60-74</v>
      </c>
      <c r="M1625" t="str">
        <f>IF(Table1[[#This Row],[length_of_stay_days]]&gt;7,"Yes","No")</f>
        <v>No</v>
      </c>
    </row>
    <row r="1626" spans="1:13" x14ac:dyDescent="0.3">
      <c r="A1626" t="s">
        <v>2025</v>
      </c>
      <c r="B1626">
        <v>23</v>
      </c>
      <c r="C1626" t="s">
        <v>12</v>
      </c>
      <c r="D1626" t="s">
        <v>46</v>
      </c>
      <c r="E1626" t="s">
        <v>14</v>
      </c>
      <c r="F1626" t="s">
        <v>554</v>
      </c>
      <c r="G1626" t="s">
        <v>434</v>
      </c>
      <c r="H1626">
        <v>6</v>
      </c>
      <c r="I1626" s="1">
        <v>14378.87</v>
      </c>
      <c r="J1626" t="s">
        <v>17</v>
      </c>
      <c r="K1626" t="s">
        <v>18</v>
      </c>
      <c r="L1626" t="str" cm="1">
        <f t="array" ref="L1626">_xlfn.IFS(B1626&lt;30,"18-29",B1626&lt;45,"30-44",B1626&lt;60,"45-59",B1626&lt;75,"60-74",B1626&lt;=90,"75-90")</f>
        <v>18-29</v>
      </c>
      <c r="M1626" t="str">
        <f>IF(Table1[[#This Row],[length_of_stay_days]]&gt;7,"Yes","No")</f>
        <v>No</v>
      </c>
    </row>
    <row r="1627" spans="1:13" x14ac:dyDescent="0.3">
      <c r="A1627" t="s">
        <v>2026</v>
      </c>
      <c r="B1627">
        <v>64</v>
      </c>
      <c r="C1627" t="s">
        <v>12</v>
      </c>
      <c r="D1627" t="s">
        <v>32</v>
      </c>
      <c r="E1627" t="s">
        <v>14</v>
      </c>
      <c r="F1627" t="s">
        <v>787</v>
      </c>
      <c r="G1627" t="s">
        <v>78</v>
      </c>
      <c r="H1627">
        <v>5</v>
      </c>
      <c r="I1627" s="1">
        <v>8011.42</v>
      </c>
      <c r="J1627" t="s">
        <v>17</v>
      </c>
      <c r="K1627" t="s">
        <v>18</v>
      </c>
      <c r="L1627" t="str" cm="1">
        <f t="array" ref="L1627">_xlfn.IFS(B1627&lt;30,"18-29",B1627&lt;45,"30-44",B1627&lt;60,"45-59",B1627&lt;75,"60-74",B1627&lt;=90,"75-90")</f>
        <v>60-74</v>
      </c>
      <c r="M1627" t="str">
        <f>IF(Table1[[#This Row],[length_of_stay_days]]&gt;7,"Yes","No")</f>
        <v>No</v>
      </c>
    </row>
    <row r="1628" spans="1:13" x14ac:dyDescent="0.3">
      <c r="A1628" t="s">
        <v>2027</v>
      </c>
      <c r="B1628">
        <v>32</v>
      </c>
      <c r="C1628" t="s">
        <v>20</v>
      </c>
      <c r="D1628" t="s">
        <v>51</v>
      </c>
      <c r="E1628" t="s">
        <v>21</v>
      </c>
      <c r="F1628" t="s">
        <v>217</v>
      </c>
      <c r="G1628" t="s">
        <v>399</v>
      </c>
      <c r="H1628">
        <v>6</v>
      </c>
      <c r="I1628" s="1">
        <v>10825.31</v>
      </c>
      <c r="J1628" t="s">
        <v>49</v>
      </c>
      <c r="K1628" t="s">
        <v>18</v>
      </c>
      <c r="L1628" t="str" cm="1">
        <f t="array" ref="L1628">_xlfn.IFS(B1628&lt;30,"18-29",B1628&lt;45,"30-44",B1628&lt;60,"45-59",B1628&lt;75,"60-74",B1628&lt;=90,"75-90")</f>
        <v>30-44</v>
      </c>
      <c r="M1628" t="str">
        <f>IF(Table1[[#This Row],[length_of_stay_days]]&gt;7,"Yes","No")</f>
        <v>No</v>
      </c>
    </row>
    <row r="1629" spans="1:13" x14ac:dyDescent="0.3">
      <c r="A1629" t="s">
        <v>2028</v>
      </c>
      <c r="B1629">
        <v>69</v>
      </c>
      <c r="C1629" t="s">
        <v>20</v>
      </c>
      <c r="D1629" t="s">
        <v>28</v>
      </c>
      <c r="E1629" t="s">
        <v>14</v>
      </c>
      <c r="F1629" t="s">
        <v>928</v>
      </c>
      <c r="G1629" t="s">
        <v>724</v>
      </c>
      <c r="H1629">
        <v>4</v>
      </c>
      <c r="I1629" s="1">
        <v>5944.19</v>
      </c>
      <c r="J1629" t="s">
        <v>17</v>
      </c>
      <c r="K1629" t="s">
        <v>18</v>
      </c>
      <c r="L1629" t="str" cm="1">
        <f t="array" ref="L1629">_xlfn.IFS(B1629&lt;30,"18-29",B1629&lt;45,"30-44",B1629&lt;60,"45-59",B1629&lt;75,"60-74",B1629&lt;=90,"75-90")</f>
        <v>60-74</v>
      </c>
      <c r="M1629" t="str">
        <f>IF(Table1[[#This Row],[length_of_stay_days]]&gt;7,"Yes","No")</f>
        <v>No</v>
      </c>
    </row>
    <row r="1630" spans="1:13" x14ac:dyDescent="0.3">
      <c r="A1630" t="s">
        <v>2029</v>
      </c>
      <c r="B1630">
        <v>55</v>
      </c>
      <c r="C1630" t="s">
        <v>20</v>
      </c>
      <c r="D1630" t="s">
        <v>13</v>
      </c>
      <c r="E1630" t="s">
        <v>21</v>
      </c>
      <c r="F1630" t="s">
        <v>245</v>
      </c>
      <c r="G1630" t="s">
        <v>609</v>
      </c>
      <c r="H1630">
        <v>6</v>
      </c>
      <c r="I1630" s="1">
        <v>6362.06</v>
      </c>
      <c r="J1630" t="s">
        <v>17</v>
      </c>
      <c r="K1630" t="s">
        <v>18</v>
      </c>
      <c r="L1630" t="str" cm="1">
        <f t="array" ref="L1630">_xlfn.IFS(B1630&lt;30,"18-29",B1630&lt;45,"30-44",B1630&lt;60,"45-59",B1630&lt;75,"60-74",B1630&lt;=90,"75-90")</f>
        <v>45-59</v>
      </c>
      <c r="M1630" t="str">
        <f>IF(Table1[[#This Row],[length_of_stay_days]]&gt;7,"Yes","No")</f>
        <v>No</v>
      </c>
    </row>
    <row r="1631" spans="1:13" x14ac:dyDescent="0.3">
      <c r="A1631" t="s">
        <v>2030</v>
      </c>
      <c r="B1631">
        <v>89</v>
      </c>
      <c r="C1631" t="s">
        <v>12</v>
      </c>
      <c r="D1631" t="s">
        <v>28</v>
      </c>
      <c r="E1631" t="s">
        <v>14</v>
      </c>
      <c r="F1631" t="s">
        <v>151</v>
      </c>
      <c r="G1631" t="s">
        <v>112</v>
      </c>
      <c r="H1631">
        <v>5</v>
      </c>
      <c r="I1631" s="1">
        <v>4381.41</v>
      </c>
      <c r="J1631" t="s">
        <v>17</v>
      </c>
      <c r="K1631" t="s">
        <v>18</v>
      </c>
      <c r="L1631" t="str" cm="1">
        <f t="array" ref="L1631">_xlfn.IFS(B1631&lt;30,"18-29",B1631&lt;45,"30-44",B1631&lt;60,"45-59",B1631&lt;75,"60-74",B1631&lt;=90,"75-90")</f>
        <v>75-90</v>
      </c>
      <c r="M1631" t="str">
        <f>IF(Table1[[#This Row],[length_of_stay_days]]&gt;7,"Yes","No")</f>
        <v>No</v>
      </c>
    </row>
    <row r="1632" spans="1:13" x14ac:dyDescent="0.3">
      <c r="A1632" t="s">
        <v>2031</v>
      </c>
      <c r="B1632">
        <v>77</v>
      </c>
      <c r="C1632" t="s">
        <v>12</v>
      </c>
      <c r="D1632" t="s">
        <v>13</v>
      </c>
      <c r="E1632" t="s">
        <v>28</v>
      </c>
      <c r="F1632" t="s">
        <v>62</v>
      </c>
      <c r="G1632" t="s">
        <v>472</v>
      </c>
      <c r="H1632">
        <v>8</v>
      </c>
      <c r="I1632" s="1">
        <v>9511.68</v>
      </c>
      <c r="J1632" t="s">
        <v>49</v>
      </c>
      <c r="K1632" t="s">
        <v>18</v>
      </c>
      <c r="L1632" t="str" cm="1">
        <f t="array" ref="L1632">_xlfn.IFS(B1632&lt;30,"18-29",B1632&lt;45,"30-44",B1632&lt;60,"45-59",B1632&lt;75,"60-74",B1632&lt;=90,"75-90")</f>
        <v>75-90</v>
      </c>
      <c r="M1632" t="str">
        <f>IF(Table1[[#This Row],[length_of_stay_days]]&gt;7,"Yes","No")</f>
        <v>Yes</v>
      </c>
    </row>
    <row r="1633" spans="1:13" x14ac:dyDescent="0.3">
      <c r="A1633" t="s">
        <v>2032</v>
      </c>
      <c r="B1633">
        <v>66</v>
      </c>
      <c r="C1633" t="s">
        <v>20</v>
      </c>
      <c r="D1633" t="s">
        <v>13</v>
      </c>
      <c r="E1633" t="s">
        <v>21</v>
      </c>
      <c r="F1633" t="s">
        <v>532</v>
      </c>
      <c r="G1633" t="s">
        <v>1229</v>
      </c>
      <c r="H1633">
        <v>4</v>
      </c>
      <c r="I1633" s="1">
        <v>4493.8500000000004</v>
      </c>
      <c r="J1633" t="s">
        <v>17</v>
      </c>
      <c r="K1633" t="s">
        <v>18</v>
      </c>
      <c r="L1633" t="str" cm="1">
        <f t="array" ref="L1633">_xlfn.IFS(B1633&lt;30,"18-29",B1633&lt;45,"30-44",B1633&lt;60,"45-59",B1633&lt;75,"60-74",B1633&lt;=90,"75-90")</f>
        <v>60-74</v>
      </c>
      <c r="M1633" t="str">
        <f>IF(Table1[[#This Row],[length_of_stay_days]]&gt;7,"Yes","No")</f>
        <v>No</v>
      </c>
    </row>
    <row r="1634" spans="1:13" x14ac:dyDescent="0.3">
      <c r="A1634" t="s">
        <v>2033</v>
      </c>
      <c r="B1634">
        <v>58</v>
      </c>
      <c r="C1634" t="s">
        <v>12</v>
      </c>
      <c r="D1634" t="s">
        <v>28</v>
      </c>
      <c r="E1634" t="s">
        <v>14</v>
      </c>
      <c r="F1634" t="s">
        <v>293</v>
      </c>
      <c r="G1634" t="s">
        <v>180</v>
      </c>
      <c r="H1634">
        <v>4</v>
      </c>
      <c r="I1634" s="1">
        <v>5954.28</v>
      </c>
      <c r="J1634" t="s">
        <v>17</v>
      </c>
      <c r="K1634" t="s">
        <v>18</v>
      </c>
      <c r="L1634" t="str" cm="1">
        <f t="array" ref="L1634">_xlfn.IFS(B1634&lt;30,"18-29",B1634&lt;45,"30-44",B1634&lt;60,"45-59",B1634&lt;75,"60-74",B1634&lt;=90,"75-90")</f>
        <v>45-59</v>
      </c>
      <c r="M1634" t="str">
        <f>IF(Table1[[#This Row],[length_of_stay_days]]&gt;7,"Yes","No")</f>
        <v>No</v>
      </c>
    </row>
    <row r="1635" spans="1:13" x14ac:dyDescent="0.3">
      <c r="A1635" t="s">
        <v>2034</v>
      </c>
      <c r="B1635">
        <v>82</v>
      </c>
      <c r="C1635" t="s">
        <v>20</v>
      </c>
      <c r="D1635" t="s">
        <v>32</v>
      </c>
      <c r="E1635" t="s">
        <v>28</v>
      </c>
      <c r="F1635" t="s">
        <v>656</v>
      </c>
      <c r="G1635" t="s">
        <v>98</v>
      </c>
      <c r="H1635">
        <v>8</v>
      </c>
      <c r="I1635" s="1">
        <v>11147.58</v>
      </c>
      <c r="J1635" t="s">
        <v>17</v>
      </c>
      <c r="K1635" t="s">
        <v>18</v>
      </c>
      <c r="L1635" t="str" cm="1">
        <f t="array" ref="L1635">_xlfn.IFS(B1635&lt;30,"18-29",B1635&lt;45,"30-44",B1635&lt;60,"45-59",B1635&lt;75,"60-74",B1635&lt;=90,"75-90")</f>
        <v>75-90</v>
      </c>
      <c r="M1635" t="str">
        <f>IF(Table1[[#This Row],[length_of_stay_days]]&gt;7,"Yes","No")</f>
        <v>Yes</v>
      </c>
    </row>
    <row r="1636" spans="1:13" x14ac:dyDescent="0.3">
      <c r="A1636" t="s">
        <v>2035</v>
      </c>
      <c r="B1636">
        <v>71</v>
      </c>
      <c r="C1636" t="s">
        <v>20</v>
      </c>
      <c r="D1636" t="s">
        <v>32</v>
      </c>
      <c r="E1636" t="s">
        <v>21</v>
      </c>
      <c r="F1636" t="s">
        <v>554</v>
      </c>
      <c r="G1636" t="s">
        <v>620</v>
      </c>
      <c r="H1636">
        <v>5</v>
      </c>
      <c r="I1636" s="1">
        <v>11488.04</v>
      </c>
      <c r="J1636" t="s">
        <v>49</v>
      </c>
      <c r="K1636" t="s">
        <v>18</v>
      </c>
      <c r="L1636" t="str" cm="1">
        <f t="array" ref="L1636">_xlfn.IFS(B1636&lt;30,"18-29",B1636&lt;45,"30-44",B1636&lt;60,"45-59",B1636&lt;75,"60-74",B1636&lt;=90,"75-90")</f>
        <v>60-74</v>
      </c>
      <c r="M1636" t="str">
        <f>IF(Table1[[#This Row],[length_of_stay_days]]&gt;7,"Yes","No")</f>
        <v>No</v>
      </c>
    </row>
    <row r="1637" spans="1:13" x14ac:dyDescent="0.3">
      <c r="A1637" t="s">
        <v>2036</v>
      </c>
      <c r="B1637">
        <v>52</v>
      </c>
      <c r="C1637" t="s">
        <v>20</v>
      </c>
      <c r="D1637" t="s">
        <v>46</v>
      </c>
      <c r="E1637" t="s">
        <v>14</v>
      </c>
      <c r="F1637" t="s">
        <v>30</v>
      </c>
      <c r="G1637" t="s">
        <v>37</v>
      </c>
      <c r="H1637">
        <v>6</v>
      </c>
      <c r="I1637" s="1">
        <v>12642.2</v>
      </c>
      <c r="J1637" t="s">
        <v>49</v>
      </c>
      <c r="K1637" t="s">
        <v>44</v>
      </c>
      <c r="L1637" t="str" cm="1">
        <f t="array" ref="L1637">_xlfn.IFS(B1637&lt;30,"18-29",B1637&lt;45,"30-44",B1637&lt;60,"45-59",B1637&lt;75,"60-74",B1637&lt;=90,"75-90")</f>
        <v>45-59</v>
      </c>
      <c r="M1637" t="str">
        <f>IF(Table1[[#This Row],[length_of_stay_days]]&gt;7,"Yes","No")</f>
        <v>No</v>
      </c>
    </row>
    <row r="1638" spans="1:13" x14ac:dyDescent="0.3">
      <c r="A1638" t="s">
        <v>2037</v>
      </c>
      <c r="B1638">
        <v>48</v>
      </c>
      <c r="C1638" t="s">
        <v>12</v>
      </c>
      <c r="D1638" t="s">
        <v>51</v>
      </c>
      <c r="E1638" t="s">
        <v>28</v>
      </c>
      <c r="F1638" t="s">
        <v>270</v>
      </c>
      <c r="G1638" t="s">
        <v>433</v>
      </c>
      <c r="H1638">
        <v>8</v>
      </c>
      <c r="I1638" s="1">
        <v>13298.66</v>
      </c>
      <c r="J1638" t="s">
        <v>49</v>
      </c>
      <c r="K1638" t="s">
        <v>18</v>
      </c>
      <c r="L1638" t="str" cm="1">
        <f t="array" ref="L1638">_xlfn.IFS(B1638&lt;30,"18-29",B1638&lt;45,"30-44",B1638&lt;60,"45-59",B1638&lt;75,"60-74",B1638&lt;=90,"75-90")</f>
        <v>45-59</v>
      </c>
      <c r="M1638" t="str">
        <f>IF(Table1[[#This Row],[length_of_stay_days]]&gt;7,"Yes","No")</f>
        <v>Yes</v>
      </c>
    </row>
    <row r="1639" spans="1:13" x14ac:dyDescent="0.3">
      <c r="A1639" t="s">
        <v>2038</v>
      </c>
      <c r="B1639">
        <v>33</v>
      </c>
      <c r="C1639" t="s">
        <v>12</v>
      </c>
      <c r="D1639" t="s">
        <v>28</v>
      </c>
      <c r="E1639" t="s">
        <v>14</v>
      </c>
      <c r="F1639" t="s">
        <v>210</v>
      </c>
      <c r="G1639" t="s">
        <v>346</v>
      </c>
      <c r="H1639">
        <v>2</v>
      </c>
      <c r="I1639" s="1">
        <v>6105.06</v>
      </c>
      <c r="J1639" t="s">
        <v>17</v>
      </c>
      <c r="K1639" t="s">
        <v>18</v>
      </c>
      <c r="L1639" t="str" cm="1">
        <f t="array" ref="L1639">_xlfn.IFS(B1639&lt;30,"18-29",B1639&lt;45,"30-44",B1639&lt;60,"45-59",B1639&lt;75,"60-74",B1639&lt;=90,"75-90")</f>
        <v>30-44</v>
      </c>
      <c r="M1639" t="str">
        <f>IF(Table1[[#This Row],[length_of_stay_days]]&gt;7,"Yes","No")</f>
        <v>No</v>
      </c>
    </row>
    <row r="1640" spans="1:13" x14ac:dyDescent="0.3">
      <c r="A1640" t="s">
        <v>2039</v>
      </c>
      <c r="B1640">
        <v>18</v>
      </c>
      <c r="C1640" t="s">
        <v>12</v>
      </c>
      <c r="D1640" t="s">
        <v>32</v>
      </c>
      <c r="E1640" t="s">
        <v>28</v>
      </c>
      <c r="F1640" t="s">
        <v>807</v>
      </c>
      <c r="G1640" t="s">
        <v>306</v>
      </c>
      <c r="H1640">
        <v>11</v>
      </c>
      <c r="I1640" s="1">
        <v>13958.04</v>
      </c>
      <c r="J1640" t="s">
        <v>17</v>
      </c>
      <c r="K1640" t="s">
        <v>18</v>
      </c>
      <c r="L1640" t="str" cm="1">
        <f t="array" ref="L1640">_xlfn.IFS(B1640&lt;30,"18-29",B1640&lt;45,"30-44",B1640&lt;60,"45-59",B1640&lt;75,"60-74",B1640&lt;=90,"75-90")</f>
        <v>18-29</v>
      </c>
      <c r="M1640" t="str">
        <f>IF(Table1[[#This Row],[length_of_stay_days]]&gt;7,"Yes","No")</f>
        <v>Yes</v>
      </c>
    </row>
    <row r="1641" spans="1:13" x14ac:dyDescent="0.3">
      <c r="A1641" t="s">
        <v>2040</v>
      </c>
      <c r="B1641">
        <v>66</v>
      </c>
      <c r="C1641" t="s">
        <v>12</v>
      </c>
      <c r="D1641" t="s">
        <v>32</v>
      </c>
      <c r="E1641" t="s">
        <v>28</v>
      </c>
      <c r="F1641" t="s">
        <v>235</v>
      </c>
      <c r="G1641" t="s">
        <v>646</v>
      </c>
      <c r="H1641">
        <v>6</v>
      </c>
      <c r="I1641" s="1">
        <v>10830.76</v>
      </c>
      <c r="J1641" t="s">
        <v>17</v>
      </c>
      <c r="K1641" t="s">
        <v>18</v>
      </c>
      <c r="L1641" t="str" cm="1">
        <f t="array" ref="L1641">_xlfn.IFS(B1641&lt;30,"18-29",B1641&lt;45,"30-44",B1641&lt;60,"45-59",B1641&lt;75,"60-74",B1641&lt;=90,"75-90")</f>
        <v>60-74</v>
      </c>
      <c r="M1641" t="str">
        <f>IF(Table1[[#This Row],[length_of_stay_days]]&gt;7,"Yes","No")</f>
        <v>No</v>
      </c>
    </row>
    <row r="1642" spans="1:13" x14ac:dyDescent="0.3">
      <c r="A1642" t="s">
        <v>2041</v>
      </c>
      <c r="B1642">
        <v>29</v>
      </c>
      <c r="C1642" t="s">
        <v>12</v>
      </c>
      <c r="D1642" t="s">
        <v>55</v>
      </c>
      <c r="E1642" t="s">
        <v>21</v>
      </c>
      <c r="F1642" t="s">
        <v>118</v>
      </c>
      <c r="G1642" t="s">
        <v>609</v>
      </c>
      <c r="H1642">
        <v>8</v>
      </c>
      <c r="I1642" s="1">
        <v>12440.07</v>
      </c>
      <c r="J1642" t="s">
        <v>17</v>
      </c>
      <c r="K1642" t="s">
        <v>223</v>
      </c>
      <c r="L1642" t="str" cm="1">
        <f t="array" ref="L1642">_xlfn.IFS(B1642&lt;30,"18-29",B1642&lt;45,"30-44",B1642&lt;60,"45-59",B1642&lt;75,"60-74",B1642&lt;=90,"75-90")</f>
        <v>18-29</v>
      </c>
      <c r="M1642" t="str">
        <f>IF(Table1[[#This Row],[length_of_stay_days]]&gt;7,"Yes","No")</f>
        <v>Yes</v>
      </c>
    </row>
    <row r="1643" spans="1:13" x14ac:dyDescent="0.3">
      <c r="A1643" t="s">
        <v>2042</v>
      </c>
      <c r="B1643">
        <v>83</v>
      </c>
      <c r="C1643" t="s">
        <v>20</v>
      </c>
      <c r="D1643" t="s">
        <v>32</v>
      </c>
      <c r="E1643" t="s">
        <v>21</v>
      </c>
      <c r="F1643" t="s">
        <v>246</v>
      </c>
      <c r="G1643" t="s">
        <v>320</v>
      </c>
      <c r="H1643">
        <v>6</v>
      </c>
      <c r="I1643" s="1">
        <v>10008.950000000001</v>
      </c>
      <c r="J1643" t="s">
        <v>49</v>
      </c>
      <c r="K1643" t="s">
        <v>18</v>
      </c>
      <c r="L1643" t="str" cm="1">
        <f t="array" ref="L1643">_xlfn.IFS(B1643&lt;30,"18-29",B1643&lt;45,"30-44",B1643&lt;60,"45-59",B1643&lt;75,"60-74",B1643&lt;=90,"75-90")</f>
        <v>75-90</v>
      </c>
      <c r="M1643" t="str">
        <f>IF(Table1[[#This Row],[length_of_stay_days]]&gt;7,"Yes","No")</f>
        <v>No</v>
      </c>
    </row>
    <row r="1644" spans="1:13" x14ac:dyDescent="0.3">
      <c r="A1644" t="s">
        <v>2043</v>
      </c>
      <c r="B1644">
        <v>57</v>
      </c>
      <c r="C1644" t="s">
        <v>12</v>
      </c>
      <c r="D1644" t="s">
        <v>46</v>
      </c>
      <c r="E1644" t="s">
        <v>28</v>
      </c>
      <c r="F1644" t="s">
        <v>179</v>
      </c>
      <c r="G1644" t="s">
        <v>966</v>
      </c>
      <c r="H1644">
        <v>8</v>
      </c>
      <c r="I1644" s="1">
        <v>14695.89</v>
      </c>
      <c r="J1644" t="s">
        <v>17</v>
      </c>
      <c r="K1644" t="s">
        <v>18</v>
      </c>
      <c r="L1644" t="str" cm="1">
        <f t="array" ref="L1644">_xlfn.IFS(B1644&lt;30,"18-29",B1644&lt;45,"30-44",B1644&lt;60,"45-59",B1644&lt;75,"60-74",B1644&lt;=90,"75-90")</f>
        <v>45-59</v>
      </c>
      <c r="M1644" t="str">
        <f>IF(Table1[[#This Row],[length_of_stay_days]]&gt;7,"Yes","No")</f>
        <v>Yes</v>
      </c>
    </row>
    <row r="1645" spans="1:13" x14ac:dyDescent="0.3">
      <c r="A1645" t="s">
        <v>2044</v>
      </c>
      <c r="B1645">
        <v>63</v>
      </c>
      <c r="C1645" t="s">
        <v>12</v>
      </c>
      <c r="D1645" t="s">
        <v>32</v>
      </c>
      <c r="E1645" t="s">
        <v>21</v>
      </c>
      <c r="F1645" t="s">
        <v>71</v>
      </c>
      <c r="G1645" t="s">
        <v>360</v>
      </c>
      <c r="H1645">
        <v>6</v>
      </c>
      <c r="I1645" s="1">
        <v>12216.11</v>
      </c>
      <c r="J1645" t="s">
        <v>17</v>
      </c>
      <c r="K1645" t="s">
        <v>18</v>
      </c>
      <c r="L1645" t="str" cm="1">
        <f t="array" ref="L1645">_xlfn.IFS(B1645&lt;30,"18-29",B1645&lt;45,"30-44",B1645&lt;60,"45-59",B1645&lt;75,"60-74",B1645&lt;=90,"75-90")</f>
        <v>60-74</v>
      </c>
      <c r="M1645" t="str">
        <f>IF(Table1[[#This Row],[length_of_stay_days]]&gt;7,"Yes","No")</f>
        <v>No</v>
      </c>
    </row>
    <row r="1646" spans="1:13" x14ac:dyDescent="0.3">
      <c r="A1646" t="s">
        <v>2045</v>
      </c>
      <c r="B1646">
        <v>29</v>
      </c>
      <c r="C1646" t="s">
        <v>12</v>
      </c>
      <c r="D1646" t="s">
        <v>51</v>
      </c>
      <c r="E1646" t="s">
        <v>28</v>
      </c>
      <c r="F1646" t="s">
        <v>266</v>
      </c>
      <c r="G1646" t="s">
        <v>40</v>
      </c>
      <c r="H1646">
        <v>7</v>
      </c>
      <c r="I1646" s="1">
        <v>12821.32</v>
      </c>
      <c r="J1646" t="s">
        <v>17</v>
      </c>
      <c r="K1646" t="s">
        <v>18</v>
      </c>
      <c r="L1646" t="str" cm="1">
        <f t="array" ref="L1646">_xlfn.IFS(B1646&lt;30,"18-29",B1646&lt;45,"30-44",B1646&lt;60,"45-59",B1646&lt;75,"60-74",B1646&lt;=90,"75-90")</f>
        <v>18-29</v>
      </c>
      <c r="M1646" t="str">
        <f>IF(Table1[[#This Row],[length_of_stay_days]]&gt;7,"Yes","No")</f>
        <v>No</v>
      </c>
    </row>
    <row r="1647" spans="1:13" x14ac:dyDescent="0.3">
      <c r="A1647" t="s">
        <v>2046</v>
      </c>
      <c r="B1647">
        <v>61</v>
      </c>
      <c r="C1647" t="s">
        <v>20</v>
      </c>
      <c r="D1647" t="s">
        <v>32</v>
      </c>
      <c r="E1647" t="s">
        <v>21</v>
      </c>
      <c r="F1647" t="s">
        <v>425</v>
      </c>
      <c r="G1647" t="s">
        <v>512</v>
      </c>
      <c r="H1647">
        <v>8</v>
      </c>
      <c r="I1647" s="1">
        <v>11975.04</v>
      </c>
      <c r="J1647" t="s">
        <v>17</v>
      </c>
      <c r="K1647" t="s">
        <v>18</v>
      </c>
      <c r="L1647" t="str" cm="1">
        <f t="array" ref="L1647">_xlfn.IFS(B1647&lt;30,"18-29",B1647&lt;45,"30-44",B1647&lt;60,"45-59",B1647&lt;75,"60-74",B1647&lt;=90,"75-90")</f>
        <v>60-74</v>
      </c>
      <c r="M1647" t="str">
        <f>IF(Table1[[#This Row],[length_of_stay_days]]&gt;7,"Yes","No")</f>
        <v>Yes</v>
      </c>
    </row>
    <row r="1648" spans="1:13" x14ac:dyDescent="0.3">
      <c r="A1648" t="s">
        <v>2047</v>
      </c>
      <c r="B1648">
        <v>81</v>
      </c>
      <c r="C1648" t="s">
        <v>12</v>
      </c>
      <c r="D1648" t="s">
        <v>13</v>
      </c>
      <c r="E1648" t="s">
        <v>28</v>
      </c>
      <c r="F1648" t="s">
        <v>157</v>
      </c>
      <c r="G1648" t="s">
        <v>346</v>
      </c>
      <c r="H1648">
        <v>10</v>
      </c>
      <c r="I1648" s="1">
        <v>11287.91</v>
      </c>
      <c r="J1648" t="s">
        <v>49</v>
      </c>
      <c r="K1648" t="s">
        <v>18</v>
      </c>
      <c r="L1648" t="str" cm="1">
        <f t="array" ref="L1648">_xlfn.IFS(B1648&lt;30,"18-29",B1648&lt;45,"30-44",B1648&lt;60,"45-59",B1648&lt;75,"60-74",B1648&lt;=90,"75-90")</f>
        <v>75-90</v>
      </c>
      <c r="M1648" t="str">
        <f>IF(Table1[[#This Row],[length_of_stay_days]]&gt;7,"Yes","No")</f>
        <v>Yes</v>
      </c>
    </row>
    <row r="1649" spans="1:13" x14ac:dyDescent="0.3">
      <c r="A1649" t="s">
        <v>2048</v>
      </c>
      <c r="B1649">
        <v>45</v>
      </c>
      <c r="C1649" t="s">
        <v>12</v>
      </c>
      <c r="D1649" t="s">
        <v>28</v>
      </c>
      <c r="E1649" t="s">
        <v>28</v>
      </c>
      <c r="F1649" t="s">
        <v>72</v>
      </c>
      <c r="G1649" t="s">
        <v>363</v>
      </c>
      <c r="H1649">
        <v>6</v>
      </c>
      <c r="I1649" s="1">
        <v>7775.86</v>
      </c>
      <c r="J1649" t="s">
        <v>17</v>
      </c>
      <c r="K1649" t="s">
        <v>18</v>
      </c>
      <c r="L1649" t="str" cm="1">
        <f t="array" ref="L1649">_xlfn.IFS(B1649&lt;30,"18-29",B1649&lt;45,"30-44",B1649&lt;60,"45-59",B1649&lt;75,"60-74",B1649&lt;=90,"75-90")</f>
        <v>45-59</v>
      </c>
      <c r="M1649" t="str">
        <f>IF(Table1[[#This Row],[length_of_stay_days]]&gt;7,"Yes","No")</f>
        <v>No</v>
      </c>
    </row>
    <row r="1650" spans="1:13" x14ac:dyDescent="0.3">
      <c r="A1650" t="s">
        <v>2049</v>
      </c>
      <c r="B1650">
        <v>24</v>
      </c>
      <c r="C1650" t="s">
        <v>12</v>
      </c>
      <c r="D1650" t="s">
        <v>13</v>
      </c>
      <c r="E1650" t="s">
        <v>28</v>
      </c>
      <c r="F1650" t="s">
        <v>319</v>
      </c>
      <c r="G1650" t="s">
        <v>311</v>
      </c>
      <c r="H1650">
        <v>2</v>
      </c>
      <c r="I1650" s="1">
        <v>2065.5</v>
      </c>
      <c r="J1650" t="s">
        <v>17</v>
      </c>
      <c r="K1650" t="s">
        <v>18</v>
      </c>
      <c r="L1650" t="str" cm="1">
        <f t="array" ref="L1650">_xlfn.IFS(B1650&lt;30,"18-29",B1650&lt;45,"30-44",B1650&lt;60,"45-59",B1650&lt;75,"60-74",B1650&lt;=90,"75-90")</f>
        <v>18-29</v>
      </c>
      <c r="M1650" t="str">
        <f>IF(Table1[[#This Row],[length_of_stay_days]]&gt;7,"Yes","No")</f>
        <v>No</v>
      </c>
    </row>
    <row r="1651" spans="1:13" x14ac:dyDescent="0.3">
      <c r="A1651" t="s">
        <v>2050</v>
      </c>
      <c r="B1651">
        <v>65</v>
      </c>
      <c r="C1651" t="s">
        <v>12</v>
      </c>
      <c r="D1651" t="s">
        <v>46</v>
      </c>
      <c r="E1651" t="s">
        <v>28</v>
      </c>
      <c r="F1651" t="s">
        <v>201</v>
      </c>
      <c r="G1651" t="s">
        <v>1229</v>
      </c>
      <c r="H1651">
        <v>9</v>
      </c>
      <c r="I1651" s="1">
        <v>16976.88</v>
      </c>
      <c r="J1651" t="s">
        <v>49</v>
      </c>
      <c r="K1651" t="s">
        <v>18</v>
      </c>
      <c r="L1651" t="str" cm="1">
        <f t="array" ref="L1651">_xlfn.IFS(B1651&lt;30,"18-29",B1651&lt;45,"30-44",B1651&lt;60,"45-59",B1651&lt;75,"60-74",B1651&lt;=90,"75-90")</f>
        <v>60-74</v>
      </c>
      <c r="M1651" t="str">
        <f>IF(Table1[[#This Row],[length_of_stay_days]]&gt;7,"Yes","No")</f>
        <v>Yes</v>
      </c>
    </row>
    <row r="1652" spans="1:13" x14ac:dyDescent="0.3">
      <c r="A1652" t="s">
        <v>2051</v>
      </c>
      <c r="B1652">
        <v>38</v>
      </c>
      <c r="C1652" t="s">
        <v>12</v>
      </c>
      <c r="D1652" t="s">
        <v>55</v>
      </c>
      <c r="E1652" t="s">
        <v>21</v>
      </c>
      <c r="F1652" t="s">
        <v>327</v>
      </c>
      <c r="G1652" t="s">
        <v>111</v>
      </c>
      <c r="H1652">
        <v>3</v>
      </c>
      <c r="I1652" s="1">
        <v>7434.01</v>
      </c>
      <c r="J1652" t="s">
        <v>49</v>
      </c>
      <c r="K1652" t="s">
        <v>18</v>
      </c>
      <c r="L1652" t="str" cm="1">
        <f t="array" ref="L1652">_xlfn.IFS(B1652&lt;30,"18-29",B1652&lt;45,"30-44",B1652&lt;60,"45-59",B1652&lt;75,"60-74",B1652&lt;=90,"75-90")</f>
        <v>30-44</v>
      </c>
      <c r="M1652" t="str">
        <f>IF(Table1[[#This Row],[length_of_stay_days]]&gt;7,"Yes","No")</f>
        <v>No</v>
      </c>
    </row>
    <row r="1653" spans="1:13" x14ac:dyDescent="0.3">
      <c r="A1653" t="s">
        <v>2052</v>
      </c>
      <c r="B1653">
        <v>56</v>
      </c>
      <c r="C1653" t="s">
        <v>12</v>
      </c>
      <c r="D1653" t="s">
        <v>13</v>
      </c>
      <c r="E1653" t="s">
        <v>21</v>
      </c>
      <c r="F1653" t="s">
        <v>48</v>
      </c>
      <c r="G1653" t="s">
        <v>388</v>
      </c>
      <c r="H1653">
        <v>3</v>
      </c>
      <c r="I1653" s="1">
        <v>7025.98</v>
      </c>
      <c r="J1653" t="s">
        <v>17</v>
      </c>
      <c r="K1653" t="s">
        <v>18</v>
      </c>
      <c r="L1653" t="str" cm="1">
        <f t="array" ref="L1653">_xlfn.IFS(B1653&lt;30,"18-29",B1653&lt;45,"30-44",B1653&lt;60,"45-59",B1653&lt;75,"60-74",B1653&lt;=90,"75-90")</f>
        <v>45-59</v>
      </c>
      <c r="M1653" t="str">
        <f>IF(Table1[[#This Row],[length_of_stay_days]]&gt;7,"Yes","No")</f>
        <v>No</v>
      </c>
    </row>
    <row r="1654" spans="1:13" x14ac:dyDescent="0.3">
      <c r="A1654" t="s">
        <v>2053</v>
      </c>
      <c r="B1654">
        <v>68</v>
      </c>
      <c r="C1654" t="s">
        <v>12</v>
      </c>
      <c r="D1654" t="s">
        <v>55</v>
      </c>
      <c r="E1654" t="s">
        <v>14</v>
      </c>
      <c r="F1654" t="s">
        <v>165</v>
      </c>
      <c r="G1654" t="s">
        <v>551</v>
      </c>
      <c r="H1654">
        <v>7</v>
      </c>
      <c r="I1654" s="1">
        <v>9950.16</v>
      </c>
      <c r="J1654" t="s">
        <v>17</v>
      </c>
      <c r="K1654" t="s">
        <v>44</v>
      </c>
      <c r="L1654" t="str" cm="1">
        <f t="array" ref="L1654">_xlfn.IFS(B1654&lt;30,"18-29",B1654&lt;45,"30-44",B1654&lt;60,"45-59",B1654&lt;75,"60-74",B1654&lt;=90,"75-90")</f>
        <v>60-74</v>
      </c>
      <c r="M1654" t="str">
        <f>IF(Table1[[#This Row],[length_of_stay_days]]&gt;7,"Yes","No")</f>
        <v>No</v>
      </c>
    </row>
    <row r="1655" spans="1:13" x14ac:dyDescent="0.3">
      <c r="A1655" t="s">
        <v>2054</v>
      </c>
      <c r="B1655">
        <v>19</v>
      </c>
      <c r="C1655" t="s">
        <v>12</v>
      </c>
      <c r="D1655" t="s">
        <v>51</v>
      </c>
      <c r="E1655" t="s">
        <v>21</v>
      </c>
      <c r="F1655" t="s">
        <v>271</v>
      </c>
      <c r="G1655" t="s">
        <v>658</v>
      </c>
      <c r="H1655">
        <v>8</v>
      </c>
      <c r="I1655" s="1">
        <v>12703.22</v>
      </c>
      <c r="J1655" t="s">
        <v>17</v>
      </c>
      <c r="K1655" t="s">
        <v>223</v>
      </c>
      <c r="L1655" t="str" cm="1">
        <f t="array" ref="L1655">_xlfn.IFS(B1655&lt;30,"18-29",B1655&lt;45,"30-44",B1655&lt;60,"45-59",B1655&lt;75,"60-74",B1655&lt;=90,"75-90")</f>
        <v>18-29</v>
      </c>
      <c r="M1655" t="str">
        <f>IF(Table1[[#This Row],[length_of_stay_days]]&gt;7,"Yes","No")</f>
        <v>Yes</v>
      </c>
    </row>
    <row r="1656" spans="1:13" x14ac:dyDescent="0.3">
      <c r="A1656" t="s">
        <v>2055</v>
      </c>
      <c r="B1656">
        <v>83</v>
      </c>
      <c r="C1656" t="s">
        <v>20</v>
      </c>
      <c r="D1656" t="s">
        <v>13</v>
      </c>
      <c r="E1656" t="s">
        <v>14</v>
      </c>
      <c r="F1656" t="s">
        <v>132</v>
      </c>
      <c r="G1656" t="s">
        <v>217</v>
      </c>
      <c r="H1656">
        <v>2</v>
      </c>
      <c r="I1656" s="1">
        <v>4519.5</v>
      </c>
      <c r="J1656" t="s">
        <v>49</v>
      </c>
      <c r="K1656" t="s">
        <v>18</v>
      </c>
      <c r="L1656" t="str" cm="1">
        <f t="array" ref="L1656">_xlfn.IFS(B1656&lt;30,"18-29",B1656&lt;45,"30-44",B1656&lt;60,"45-59",B1656&lt;75,"60-74",B1656&lt;=90,"75-90")</f>
        <v>75-90</v>
      </c>
      <c r="M1656" t="str">
        <f>IF(Table1[[#This Row],[length_of_stay_days]]&gt;7,"Yes","No")</f>
        <v>No</v>
      </c>
    </row>
    <row r="1657" spans="1:13" x14ac:dyDescent="0.3">
      <c r="A1657" t="s">
        <v>2056</v>
      </c>
      <c r="B1657">
        <v>82</v>
      </c>
      <c r="C1657" t="s">
        <v>12</v>
      </c>
      <c r="D1657" t="s">
        <v>55</v>
      </c>
      <c r="E1657" t="s">
        <v>28</v>
      </c>
      <c r="F1657" t="s">
        <v>588</v>
      </c>
      <c r="G1657" t="s">
        <v>293</v>
      </c>
      <c r="H1657">
        <v>8</v>
      </c>
      <c r="I1657" s="1">
        <v>12014.76</v>
      </c>
      <c r="J1657" t="s">
        <v>17</v>
      </c>
      <c r="K1657" t="s">
        <v>18</v>
      </c>
      <c r="L1657" t="str" cm="1">
        <f t="array" ref="L1657">_xlfn.IFS(B1657&lt;30,"18-29",B1657&lt;45,"30-44",B1657&lt;60,"45-59",B1657&lt;75,"60-74",B1657&lt;=90,"75-90")</f>
        <v>75-90</v>
      </c>
      <c r="M1657" t="str">
        <f>IF(Table1[[#This Row],[length_of_stay_days]]&gt;7,"Yes","No")</f>
        <v>Yes</v>
      </c>
    </row>
    <row r="1658" spans="1:13" x14ac:dyDescent="0.3">
      <c r="A1658" t="s">
        <v>2057</v>
      </c>
      <c r="B1658">
        <v>48</v>
      </c>
      <c r="C1658" t="s">
        <v>20</v>
      </c>
      <c r="D1658" t="s">
        <v>51</v>
      </c>
      <c r="E1658" t="s">
        <v>28</v>
      </c>
      <c r="F1658" t="s">
        <v>493</v>
      </c>
      <c r="G1658" t="s">
        <v>342</v>
      </c>
      <c r="H1658">
        <v>7</v>
      </c>
      <c r="I1658" s="1">
        <v>12471.18</v>
      </c>
      <c r="J1658" t="s">
        <v>17</v>
      </c>
      <c r="K1658" t="s">
        <v>18</v>
      </c>
      <c r="L1658" t="str" cm="1">
        <f t="array" ref="L1658">_xlfn.IFS(B1658&lt;30,"18-29",B1658&lt;45,"30-44",B1658&lt;60,"45-59",B1658&lt;75,"60-74",B1658&lt;=90,"75-90")</f>
        <v>45-59</v>
      </c>
      <c r="M1658" t="str">
        <f>IF(Table1[[#This Row],[length_of_stay_days]]&gt;7,"Yes","No")</f>
        <v>No</v>
      </c>
    </row>
    <row r="1659" spans="1:13" x14ac:dyDescent="0.3">
      <c r="A1659" t="s">
        <v>2058</v>
      </c>
      <c r="B1659">
        <v>51</v>
      </c>
      <c r="C1659" t="s">
        <v>20</v>
      </c>
      <c r="D1659" t="s">
        <v>28</v>
      </c>
      <c r="E1659" t="s">
        <v>28</v>
      </c>
      <c r="F1659" t="s">
        <v>526</v>
      </c>
      <c r="G1659" t="s">
        <v>520</v>
      </c>
      <c r="H1659">
        <v>2</v>
      </c>
      <c r="I1659" s="1">
        <v>4268.2299999999996</v>
      </c>
      <c r="J1659" t="s">
        <v>17</v>
      </c>
      <c r="K1659" t="s">
        <v>18</v>
      </c>
      <c r="L1659" t="str" cm="1">
        <f t="array" ref="L1659">_xlfn.IFS(B1659&lt;30,"18-29",B1659&lt;45,"30-44",B1659&lt;60,"45-59",B1659&lt;75,"60-74",B1659&lt;=90,"75-90")</f>
        <v>45-59</v>
      </c>
      <c r="M1659" t="str">
        <f>IF(Table1[[#This Row],[length_of_stay_days]]&gt;7,"Yes","No")</f>
        <v>No</v>
      </c>
    </row>
    <row r="1660" spans="1:13" x14ac:dyDescent="0.3">
      <c r="A1660" t="s">
        <v>2059</v>
      </c>
      <c r="B1660">
        <v>88</v>
      </c>
      <c r="C1660" t="s">
        <v>20</v>
      </c>
      <c r="D1660" t="s">
        <v>13</v>
      </c>
      <c r="E1660" t="s">
        <v>28</v>
      </c>
      <c r="F1660" t="s">
        <v>309</v>
      </c>
      <c r="G1660" t="s">
        <v>273</v>
      </c>
      <c r="H1660">
        <v>4</v>
      </c>
      <c r="I1660" s="1">
        <v>7494.29</v>
      </c>
      <c r="J1660" t="s">
        <v>17</v>
      </c>
      <c r="K1660" t="s">
        <v>44</v>
      </c>
      <c r="L1660" t="str" cm="1">
        <f t="array" ref="L1660">_xlfn.IFS(B1660&lt;30,"18-29",B1660&lt;45,"30-44",B1660&lt;60,"45-59",B1660&lt;75,"60-74",B1660&lt;=90,"75-90")</f>
        <v>75-90</v>
      </c>
      <c r="M1660" t="str">
        <f>IF(Table1[[#This Row],[length_of_stay_days]]&gt;7,"Yes","No")</f>
        <v>No</v>
      </c>
    </row>
    <row r="1661" spans="1:13" x14ac:dyDescent="0.3">
      <c r="A1661" t="s">
        <v>2060</v>
      </c>
      <c r="B1661">
        <v>43</v>
      </c>
      <c r="C1661" t="s">
        <v>20</v>
      </c>
      <c r="D1661" t="s">
        <v>55</v>
      </c>
      <c r="E1661" t="s">
        <v>14</v>
      </c>
      <c r="F1661" t="s">
        <v>371</v>
      </c>
      <c r="G1661" t="s">
        <v>372</v>
      </c>
      <c r="H1661">
        <v>5</v>
      </c>
      <c r="I1661" s="1">
        <v>7629.33</v>
      </c>
      <c r="J1661" t="s">
        <v>17</v>
      </c>
      <c r="K1661" t="s">
        <v>18</v>
      </c>
      <c r="L1661" t="str" cm="1">
        <f t="array" ref="L1661">_xlfn.IFS(B1661&lt;30,"18-29",B1661&lt;45,"30-44",B1661&lt;60,"45-59",B1661&lt;75,"60-74",B1661&lt;=90,"75-90")</f>
        <v>30-44</v>
      </c>
      <c r="M1661" t="str">
        <f>IF(Table1[[#This Row],[length_of_stay_days]]&gt;7,"Yes","No")</f>
        <v>No</v>
      </c>
    </row>
    <row r="1662" spans="1:13" x14ac:dyDescent="0.3">
      <c r="A1662" t="s">
        <v>2061</v>
      </c>
      <c r="B1662">
        <v>48</v>
      </c>
      <c r="C1662" t="s">
        <v>20</v>
      </c>
      <c r="D1662" t="s">
        <v>32</v>
      </c>
      <c r="E1662" t="s">
        <v>21</v>
      </c>
      <c r="F1662" t="s">
        <v>849</v>
      </c>
      <c r="G1662" t="s">
        <v>895</v>
      </c>
      <c r="H1662">
        <v>8</v>
      </c>
      <c r="I1662" s="1">
        <v>12264.82</v>
      </c>
      <c r="J1662" t="s">
        <v>49</v>
      </c>
      <c r="K1662" t="s">
        <v>18</v>
      </c>
      <c r="L1662" t="str" cm="1">
        <f t="array" ref="L1662">_xlfn.IFS(B1662&lt;30,"18-29",B1662&lt;45,"30-44",B1662&lt;60,"45-59",B1662&lt;75,"60-74",B1662&lt;=90,"75-90")</f>
        <v>45-59</v>
      </c>
      <c r="M1662" t="str">
        <f>IF(Table1[[#This Row],[length_of_stay_days]]&gt;7,"Yes","No")</f>
        <v>Yes</v>
      </c>
    </row>
    <row r="1663" spans="1:13" x14ac:dyDescent="0.3">
      <c r="A1663" t="s">
        <v>2062</v>
      </c>
      <c r="B1663">
        <v>48</v>
      </c>
      <c r="C1663" t="s">
        <v>12</v>
      </c>
      <c r="D1663" t="s">
        <v>55</v>
      </c>
      <c r="E1663" t="s">
        <v>28</v>
      </c>
      <c r="F1663" t="s">
        <v>433</v>
      </c>
      <c r="G1663" t="s">
        <v>116</v>
      </c>
      <c r="H1663">
        <v>4</v>
      </c>
      <c r="I1663" s="1">
        <v>8490.85</v>
      </c>
      <c r="J1663" t="s">
        <v>17</v>
      </c>
      <c r="K1663" t="s">
        <v>18</v>
      </c>
      <c r="L1663" t="str" cm="1">
        <f t="array" ref="L1663">_xlfn.IFS(B1663&lt;30,"18-29",B1663&lt;45,"30-44",B1663&lt;60,"45-59",B1663&lt;75,"60-74",B1663&lt;=90,"75-90")</f>
        <v>45-59</v>
      </c>
      <c r="M1663" t="str">
        <f>IF(Table1[[#This Row],[length_of_stay_days]]&gt;7,"Yes","No")</f>
        <v>No</v>
      </c>
    </row>
    <row r="1664" spans="1:13" x14ac:dyDescent="0.3">
      <c r="A1664" t="s">
        <v>2063</v>
      </c>
      <c r="B1664">
        <v>84</v>
      </c>
      <c r="C1664" t="s">
        <v>12</v>
      </c>
      <c r="D1664" t="s">
        <v>32</v>
      </c>
      <c r="E1664" t="s">
        <v>28</v>
      </c>
      <c r="F1664" t="s">
        <v>25</v>
      </c>
      <c r="G1664" t="s">
        <v>228</v>
      </c>
      <c r="H1664">
        <v>8</v>
      </c>
      <c r="I1664" s="1">
        <v>10266.200000000001</v>
      </c>
      <c r="J1664" t="s">
        <v>17</v>
      </c>
      <c r="K1664" t="s">
        <v>18</v>
      </c>
      <c r="L1664" t="str" cm="1">
        <f t="array" ref="L1664">_xlfn.IFS(B1664&lt;30,"18-29",B1664&lt;45,"30-44",B1664&lt;60,"45-59",B1664&lt;75,"60-74",B1664&lt;=90,"75-90")</f>
        <v>75-90</v>
      </c>
      <c r="M1664" t="str">
        <f>IF(Table1[[#This Row],[length_of_stay_days]]&gt;7,"Yes","No")</f>
        <v>Yes</v>
      </c>
    </row>
    <row r="1665" spans="1:13" x14ac:dyDescent="0.3">
      <c r="A1665" t="s">
        <v>2064</v>
      </c>
      <c r="B1665">
        <v>78</v>
      </c>
      <c r="C1665" t="s">
        <v>20</v>
      </c>
      <c r="D1665" t="s">
        <v>28</v>
      </c>
      <c r="E1665" t="s">
        <v>14</v>
      </c>
      <c r="F1665" t="s">
        <v>229</v>
      </c>
      <c r="G1665" t="s">
        <v>243</v>
      </c>
      <c r="H1665">
        <v>4</v>
      </c>
      <c r="I1665" s="1">
        <v>7209.6</v>
      </c>
      <c r="J1665" t="s">
        <v>17</v>
      </c>
      <c r="K1665" t="s">
        <v>18</v>
      </c>
      <c r="L1665" t="str" cm="1">
        <f t="array" ref="L1665">_xlfn.IFS(B1665&lt;30,"18-29",B1665&lt;45,"30-44",B1665&lt;60,"45-59",B1665&lt;75,"60-74",B1665&lt;=90,"75-90")</f>
        <v>75-90</v>
      </c>
      <c r="M1665" t="str">
        <f>IF(Table1[[#This Row],[length_of_stay_days]]&gt;7,"Yes","No")</f>
        <v>No</v>
      </c>
    </row>
    <row r="1666" spans="1:13" x14ac:dyDescent="0.3">
      <c r="A1666" t="s">
        <v>2065</v>
      </c>
      <c r="B1666">
        <v>72</v>
      </c>
      <c r="C1666" t="s">
        <v>20</v>
      </c>
      <c r="D1666" t="s">
        <v>32</v>
      </c>
      <c r="E1666" t="s">
        <v>28</v>
      </c>
      <c r="F1666" t="s">
        <v>263</v>
      </c>
      <c r="G1666" t="s">
        <v>327</v>
      </c>
      <c r="H1666">
        <v>9</v>
      </c>
      <c r="I1666" s="1">
        <v>14258.73</v>
      </c>
      <c r="J1666" t="s">
        <v>17</v>
      </c>
      <c r="K1666" t="s">
        <v>18</v>
      </c>
      <c r="L1666" t="str" cm="1">
        <f t="array" ref="L1666">_xlfn.IFS(B1666&lt;30,"18-29",B1666&lt;45,"30-44",B1666&lt;60,"45-59",B1666&lt;75,"60-74",B1666&lt;=90,"75-90")</f>
        <v>60-74</v>
      </c>
      <c r="M1666" t="str">
        <f>IF(Table1[[#This Row],[length_of_stay_days]]&gt;7,"Yes","No")</f>
        <v>Yes</v>
      </c>
    </row>
    <row r="1667" spans="1:13" x14ac:dyDescent="0.3">
      <c r="A1667" t="s">
        <v>2066</v>
      </c>
      <c r="B1667">
        <v>21</v>
      </c>
      <c r="C1667" t="s">
        <v>12</v>
      </c>
      <c r="D1667" t="s">
        <v>13</v>
      </c>
      <c r="E1667" t="s">
        <v>28</v>
      </c>
      <c r="F1667" t="s">
        <v>184</v>
      </c>
      <c r="G1667" t="s">
        <v>53</v>
      </c>
      <c r="H1667">
        <v>4</v>
      </c>
      <c r="I1667" s="1">
        <v>5236.05</v>
      </c>
      <c r="J1667" t="s">
        <v>17</v>
      </c>
      <c r="K1667" t="s">
        <v>18</v>
      </c>
      <c r="L1667" t="str" cm="1">
        <f t="array" ref="L1667">_xlfn.IFS(B1667&lt;30,"18-29",B1667&lt;45,"30-44",B1667&lt;60,"45-59",B1667&lt;75,"60-74",B1667&lt;=90,"75-90")</f>
        <v>18-29</v>
      </c>
      <c r="M1667" t="str">
        <f>IF(Table1[[#This Row],[length_of_stay_days]]&gt;7,"Yes","No")</f>
        <v>No</v>
      </c>
    </row>
    <row r="1668" spans="1:13" x14ac:dyDescent="0.3">
      <c r="A1668" t="s">
        <v>2067</v>
      </c>
      <c r="B1668">
        <v>38</v>
      </c>
      <c r="C1668" t="s">
        <v>20</v>
      </c>
      <c r="D1668" t="s">
        <v>51</v>
      </c>
      <c r="E1668" t="s">
        <v>21</v>
      </c>
      <c r="F1668" t="s">
        <v>246</v>
      </c>
      <c r="G1668" t="s">
        <v>312</v>
      </c>
      <c r="H1668">
        <v>9</v>
      </c>
      <c r="I1668" s="1">
        <v>17048.419999999998</v>
      </c>
      <c r="J1668" t="s">
        <v>17</v>
      </c>
      <c r="K1668" t="s">
        <v>18</v>
      </c>
      <c r="L1668" t="str" cm="1">
        <f t="array" ref="L1668">_xlfn.IFS(B1668&lt;30,"18-29",B1668&lt;45,"30-44",B1668&lt;60,"45-59",B1668&lt;75,"60-74",B1668&lt;=90,"75-90")</f>
        <v>30-44</v>
      </c>
      <c r="M1668" t="str">
        <f>IF(Table1[[#This Row],[length_of_stay_days]]&gt;7,"Yes","No")</f>
        <v>Yes</v>
      </c>
    </row>
    <row r="1669" spans="1:13" x14ac:dyDescent="0.3">
      <c r="A1669" t="s">
        <v>2068</v>
      </c>
      <c r="B1669">
        <v>71</v>
      </c>
      <c r="C1669" t="s">
        <v>20</v>
      </c>
      <c r="D1669" t="s">
        <v>28</v>
      </c>
      <c r="E1669" t="s">
        <v>28</v>
      </c>
      <c r="F1669" t="s">
        <v>53</v>
      </c>
      <c r="G1669" t="s">
        <v>837</v>
      </c>
      <c r="H1669">
        <v>3</v>
      </c>
      <c r="I1669" s="1">
        <v>7049.93</v>
      </c>
      <c r="J1669" t="s">
        <v>17</v>
      </c>
      <c r="K1669" t="s">
        <v>18</v>
      </c>
      <c r="L1669" t="str" cm="1">
        <f t="array" ref="L1669">_xlfn.IFS(B1669&lt;30,"18-29",B1669&lt;45,"30-44",B1669&lt;60,"45-59",B1669&lt;75,"60-74",B1669&lt;=90,"75-90")</f>
        <v>60-74</v>
      </c>
      <c r="M1669" t="str">
        <f>IF(Table1[[#This Row],[length_of_stay_days]]&gt;7,"Yes","No")</f>
        <v>No</v>
      </c>
    </row>
    <row r="1670" spans="1:13" x14ac:dyDescent="0.3">
      <c r="A1670" t="s">
        <v>2069</v>
      </c>
      <c r="B1670">
        <v>33</v>
      </c>
      <c r="C1670" t="s">
        <v>20</v>
      </c>
      <c r="D1670" t="s">
        <v>51</v>
      </c>
      <c r="E1670" t="s">
        <v>28</v>
      </c>
      <c r="F1670" t="s">
        <v>158</v>
      </c>
      <c r="G1670" t="s">
        <v>210</v>
      </c>
      <c r="H1670">
        <v>2</v>
      </c>
      <c r="I1670" s="1">
        <v>8167.8</v>
      </c>
      <c r="J1670" t="s">
        <v>17</v>
      </c>
      <c r="K1670" t="s">
        <v>18</v>
      </c>
      <c r="L1670" t="str" cm="1">
        <f t="array" ref="L1670">_xlfn.IFS(B1670&lt;30,"18-29",B1670&lt;45,"30-44",B1670&lt;60,"45-59",B1670&lt;75,"60-74",B1670&lt;=90,"75-90")</f>
        <v>30-44</v>
      </c>
      <c r="M1670" t="str">
        <f>IF(Table1[[#This Row],[length_of_stay_days]]&gt;7,"Yes","No")</f>
        <v>No</v>
      </c>
    </row>
    <row r="1671" spans="1:13" x14ac:dyDescent="0.3">
      <c r="A1671" t="s">
        <v>2070</v>
      </c>
      <c r="B1671">
        <v>74</v>
      </c>
      <c r="C1671" t="s">
        <v>12</v>
      </c>
      <c r="D1671" t="s">
        <v>46</v>
      </c>
      <c r="E1671" t="s">
        <v>14</v>
      </c>
      <c r="F1671" t="s">
        <v>130</v>
      </c>
      <c r="G1671" t="s">
        <v>36</v>
      </c>
      <c r="H1671">
        <v>9</v>
      </c>
      <c r="I1671" s="1">
        <v>13758.73</v>
      </c>
      <c r="J1671" t="s">
        <v>17</v>
      </c>
      <c r="K1671" t="s">
        <v>18</v>
      </c>
      <c r="L1671" t="str" cm="1">
        <f t="array" ref="L1671">_xlfn.IFS(B1671&lt;30,"18-29",B1671&lt;45,"30-44",B1671&lt;60,"45-59",B1671&lt;75,"60-74",B1671&lt;=90,"75-90")</f>
        <v>60-74</v>
      </c>
      <c r="M1671" t="str">
        <f>IF(Table1[[#This Row],[length_of_stay_days]]&gt;7,"Yes","No")</f>
        <v>Yes</v>
      </c>
    </row>
    <row r="1672" spans="1:13" x14ac:dyDescent="0.3">
      <c r="A1672" t="s">
        <v>2071</v>
      </c>
      <c r="B1672">
        <v>81</v>
      </c>
      <c r="C1672" t="s">
        <v>20</v>
      </c>
      <c r="D1672" t="s">
        <v>51</v>
      </c>
      <c r="E1672" t="s">
        <v>14</v>
      </c>
      <c r="F1672" t="s">
        <v>547</v>
      </c>
      <c r="G1672" t="s">
        <v>71</v>
      </c>
      <c r="H1672">
        <v>5</v>
      </c>
      <c r="I1672" s="1">
        <v>9584.4500000000007</v>
      </c>
      <c r="J1672" t="s">
        <v>17</v>
      </c>
      <c r="K1672" t="s">
        <v>44</v>
      </c>
      <c r="L1672" t="str" cm="1">
        <f t="array" ref="L1672">_xlfn.IFS(B1672&lt;30,"18-29",B1672&lt;45,"30-44",B1672&lt;60,"45-59",B1672&lt;75,"60-74",B1672&lt;=90,"75-90")</f>
        <v>75-90</v>
      </c>
      <c r="M1672" t="str">
        <f>IF(Table1[[#This Row],[length_of_stay_days]]&gt;7,"Yes","No")</f>
        <v>No</v>
      </c>
    </row>
    <row r="1673" spans="1:13" x14ac:dyDescent="0.3">
      <c r="A1673" t="s">
        <v>2072</v>
      </c>
      <c r="B1673">
        <v>70</v>
      </c>
      <c r="C1673" t="s">
        <v>20</v>
      </c>
      <c r="D1673" t="s">
        <v>32</v>
      </c>
      <c r="E1673" t="s">
        <v>28</v>
      </c>
      <c r="F1673" t="s">
        <v>360</v>
      </c>
      <c r="G1673" t="s">
        <v>730</v>
      </c>
      <c r="H1673">
        <v>10</v>
      </c>
      <c r="I1673" s="1">
        <v>12448.39</v>
      </c>
      <c r="J1673" t="s">
        <v>49</v>
      </c>
      <c r="K1673" t="s">
        <v>18</v>
      </c>
      <c r="L1673" t="str" cm="1">
        <f t="array" ref="L1673">_xlfn.IFS(B1673&lt;30,"18-29",B1673&lt;45,"30-44",B1673&lt;60,"45-59",B1673&lt;75,"60-74",B1673&lt;=90,"75-90")</f>
        <v>60-74</v>
      </c>
      <c r="M1673" t="str">
        <f>IF(Table1[[#This Row],[length_of_stay_days]]&gt;7,"Yes","No")</f>
        <v>Yes</v>
      </c>
    </row>
    <row r="1674" spans="1:13" x14ac:dyDescent="0.3">
      <c r="A1674" t="s">
        <v>2073</v>
      </c>
      <c r="B1674">
        <v>43</v>
      </c>
      <c r="C1674" t="s">
        <v>20</v>
      </c>
      <c r="D1674" t="s">
        <v>28</v>
      </c>
      <c r="E1674" t="s">
        <v>21</v>
      </c>
      <c r="F1674" t="s">
        <v>25</v>
      </c>
      <c r="G1674" t="s">
        <v>591</v>
      </c>
      <c r="H1674">
        <v>2</v>
      </c>
      <c r="I1674" s="1">
        <v>6155.72</v>
      </c>
      <c r="J1674" t="s">
        <v>17</v>
      </c>
      <c r="K1674" t="s">
        <v>18</v>
      </c>
      <c r="L1674" t="str" cm="1">
        <f t="array" ref="L1674">_xlfn.IFS(B1674&lt;30,"18-29",B1674&lt;45,"30-44",B1674&lt;60,"45-59",B1674&lt;75,"60-74",B1674&lt;=90,"75-90")</f>
        <v>30-44</v>
      </c>
      <c r="M1674" t="str">
        <f>IF(Table1[[#This Row],[length_of_stay_days]]&gt;7,"Yes","No")</f>
        <v>No</v>
      </c>
    </row>
    <row r="1675" spans="1:13" x14ac:dyDescent="0.3">
      <c r="A1675" t="s">
        <v>2074</v>
      </c>
      <c r="B1675">
        <v>84</v>
      </c>
      <c r="C1675" t="s">
        <v>70</v>
      </c>
      <c r="D1675" t="s">
        <v>28</v>
      </c>
      <c r="E1675" t="s">
        <v>28</v>
      </c>
      <c r="F1675" t="s">
        <v>234</v>
      </c>
      <c r="G1675" t="s">
        <v>574</v>
      </c>
      <c r="H1675">
        <v>10</v>
      </c>
      <c r="I1675" s="1">
        <v>10343.98</v>
      </c>
      <c r="J1675" t="s">
        <v>49</v>
      </c>
      <c r="K1675" t="s">
        <v>18</v>
      </c>
      <c r="L1675" t="str" cm="1">
        <f t="array" ref="L1675">_xlfn.IFS(B1675&lt;30,"18-29",B1675&lt;45,"30-44",B1675&lt;60,"45-59",B1675&lt;75,"60-74",B1675&lt;=90,"75-90")</f>
        <v>75-90</v>
      </c>
      <c r="M1675" t="str">
        <f>IF(Table1[[#This Row],[length_of_stay_days]]&gt;7,"Yes","No")</f>
        <v>Yes</v>
      </c>
    </row>
    <row r="1676" spans="1:13" x14ac:dyDescent="0.3">
      <c r="A1676" t="s">
        <v>2075</v>
      </c>
      <c r="B1676">
        <v>85</v>
      </c>
      <c r="C1676" t="s">
        <v>12</v>
      </c>
      <c r="D1676" t="s">
        <v>28</v>
      </c>
      <c r="E1676" t="s">
        <v>28</v>
      </c>
      <c r="F1676" t="s">
        <v>554</v>
      </c>
      <c r="G1676" t="s">
        <v>71</v>
      </c>
      <c r="H1676">
        <v>9</v>
      </c>
      <c r="I1676" s="1">
        <v>9678.64</v>
      </c>
      <c r="J1676" t="s">
        <v>17</v>
      </c>
      <c r="K1676" t="s">
        <v>18</v>
      </c>
      <c r="L1676" t="str" cm="1">
        <f t="array" ref="L1676">_xlfn.IFS(B1676&lt;30,"18-29",B1676&lt;45,"30-44",B1676&lt;60,"45-59",B1676&lt;75,"60-74",B1676&lt;=90,"75-90")</f>
        <v>75-90</v>
      </c>
      <c r="M1676" t="str">
        <f>IF(Table1[[#This Row],[length_of_stay_days]]&gt;7,"Yes","No")</f>
        <v>Yes</v>
      </c>
    </row>
    <row r="1677" spans="1:13" x14ac:dyDescent="0.3">
      <c r="A1677" t="s">
        <v>2076</v>
      </c>
      <c r="B1677">
        <v>70</v>
      </c>
      <c r="C1677" t="s">
        <v>20</v>
      </c>
      <c r="D1677" t="s">
        <v>13</v>
      </c>
      <c r="E1677" t="s">
        <v>14</v>
      </c>
      <c r="F1677" t="s">
        <v>367</v>
      </c>
      <c r="G1677" t="s">
        <v>384</v>
      </c>
      <c r="H1677">
        <v>7</v>
      </c>
      <c r="I1677" s="1">
        <v>7717.9</v>
      </c>
      <c r="J1677" t="s">
        <v>17</v>
      </c>
      <c r="K1677" t="s">
        <v>18</v>
      </c>
      <c r="L1677" t="str" cm="1">
        <f t="array" ref="L1677">_xlfn.IFS(B1677&lt;30,"18-29",B1677&lt;45,"30-44",B1677&lt;60,"45-59",B1677&lt;75,"60-74",B1677&lt;=90,"75-90")</f>
        <v>60-74</v>
      </c>
      <c r="M1677" t="str">
        <f>IF(Table1[[#This Row],[length_of_stay_days]]&gt;7,"Yes","No")</f>
        <v>No</v>
      </c>
    </row>
    <row r="1678" spans="1:13" x14ac:dyDescent="0.3">
      <c r="A1678" t="s">
        <v>2077</v>
      </c>
      <c r="B1678">
        <v>66</v>
      </c>
      <c r="C1678" t="s">
        <v>20</v>
      </c>
      <c r="D1678" t="s">
        <v>13</v>
      </c>
      <c r="E1678" t="s">
        <v>14</v>
      </c>
      <c r="F1678" t="s">
        <v>449</v>
      </c>
      <c r="G1678" t="s">
        <v>517</v>
      </c>
      <c r="H1678">
        <v>5</v>
      </c>
      <c r="I1678" s="1">
        <v>7643.82</v>
      </c>
      <c r="J1678" t="s">
        <v>17</v>
      </c>
      <c r="K1678" t="s">
        <v>18</v>
      </c>
      <c r="L1678" t="str" cm="1">
        <f t="array" ref="L1678">_xlfn.IFS(B1678&lt;30,"18-29",B1678&lt;45,"30-44",B1678&lt;60,"45-59",B1678&lt;75,"60-74",B1678&lt;=90,"75-90")</f>
        <v>60-74</v>
      </c>
      <c r="M1678" t="str">
        <f>IF(Table1[[#This Row],[length_of_stay_days]]&gt;7,"Yes","No")</f>
        <v>No</v>
      </c>
    </row>
    <row r="1679" spans="1:13" x14ac:dyDescent="0.3">
      <c r="A1679" t="s">
        <v>2078</v>
      </c>
      <c r="B1679">
        <v>50</v>
      </c>
      <c r="C1679" t="s">
        <v>12</v>
      </c>
      <c r="D1679" t="s">
        <v>51</v>
      </c>
      <c r="E1679" t="s">
        <v>28</v>
      </c>
      <c r="F1679" t="s">
        <v>648</v>
      </c>
      <c r="G1679" t="s">
        <v>98</v>
      </c>
      <c r="H1679">
        <v>10</v>
      </c>
      <c r="I1679" s="1">
        <v>13110.13</v>
      </c>
      <c r="J1679" t="s">
        <v>17</v>
      </c>
      <c r="K1679" t="s">
        <v>18</v>
      </c>
      <c r="L1679" t="str" cm="1">
        <f t="array" ref="L1679">_xlfn.IFS(B1679&lt;30,"18-29",B1679&lt;45,"30-44",B1679&lt;60,"45-59",B1679&lt;75,"60-74",B1679&lt;=90,"75-90")</f>
        <v>45-59</v>
      </c>
      <c r="M1679" t="str">
        <f>IF(Table1[[#This Row],[length_of_stay_days]]&gt;7,"Yes","No")</f>
        <v>Yes</v>
      </c>
    </row>
    <row r="1680" spans="1:13" x14ac:dyDescent="0.3">
      <c r="A1680" t="s">
        <v>2079</v>
      </c>
      <c r="B1680">
        <v>23</v>
      </c>
      <c r="C1680" t="s">
        <v>20</v>
      </c>
      <c r="D1680" t="s">
        <v>51</v>
      </c>
      <c r="E1680" t="s">
        <v>28</v>
      </c>
      <c r="F1680" t="s">
        <v>620</v>
      </c>
      <c r="G1680" t="s">
        <v>712</v>
      </c>
      <c r="H1680">
        <v>8</v>
      </c>
      <c r="I1680" s="1">
        <v>12826.73</v>
      </c>
      <c r="J1680" t="s">
        <v>17</v>
      </c>
      <c r="K1680" t="s">
        <v>18</v>
      </c>
      <c r="L1680" t="str" cm="1">
        <f t="array" ref="L1680">_xlfn.IFS(B1680&lt;30,"18-29",B1680&lt;45,"30-44",B1680&lt;60,"45-59",B1680&lt;75,"60-74",B1680&lt;=90,"75-90")</f>
        <v>18-29</v>
      </c>
      <c r="M1680" t="str">
        <f>IF(Table1[[#This Row],[length_of_stay_days]]&gt;7,"Yes","No")</f>
        <v>Yes</v>
      </c>
    </row>
    <row r="1681" spans="1:13" x14ac:dyDescent="0.3">
      <c r="A1681" t="s">
        <v>2080</v>
      </c>
      <c r="B1681">
        <v>24</v>
      </c>
      <c r="C1681" t="s">
        <v>12</v>
      </c>
      <c r="D1681" t="s">
        <v>46</v>
      </c>
      <c r="E1681" t="s">
        <v>28</v>
      </c>
      <c r="F1681" t="s">
        <v>620</v>
      </c>
      <c r="H1681">
        <v>3</v>
      </c>
      <c r="I1681" s="1">
        <v>11547.84</v>
      </c>
      <c r="J1681" t="s">
        <v>17</v>
      </c>
      <c r="K1681" t="s">
        <v>18</v>
      </c>
      <c r="L1681" t="str" cm="1">
        <f t="array" ref="L1681">_xlfn.IFS(B1681&lt;30,"18-29",B1681&lt;45,"30-44",B1681&lt;60,"45-59",B1681&lt;75,"60-74",B1681&lt;=90,"75-90")</f>
        <v>18-29</v>
      </c>
      <c r="M1681" t="str">
        <f>IF(Table1[[#This Row],[length_of_stay_days]]&gt;7,"Yes","No")</f>
        <v>No</v>
      </c>
    </row>
    <row r="1682" spans="1:13" x14ac:dyDescent="0.3">
      <c r="A1682" t="s">
        <v>2081</v>
      </c>
      <c r="B1682">
        <v>61</v>
      </c>
      <c r="C1682" t="s">
        <v>20</v>
      </c>
      <c r="D1682" t="s">
        <v>13</v>
      </c>
      <c r="E1682" t="s">
        <v>28</v>
      </c>
      <c r="F1682" t="s">
        <v>413</v>
      </c>
      <c r="G1682" t="s">
        <v>339</v>
      </c>
      <c r="H1682">
        <v>7</v>
      </c>
      <c r="I1682" s="1">
        <v>11673.73</v>
      </c>
      <c r="J1682" t="s">
        <v>17</v>
      </c>
      <c r="K1682" t="s">
        <v>18</v>
      </c>
      <c r="L1682" t="str" cm="1">
        <f t="array" ref="L1682">_xlfn.IFS(B1682&lt;30,"18-29",B1682&lt;45,"30-44",B1682&lt;60,"45-59",B1682&lt;75,"60-74",B1682&lt;=90,"75-90")</f>
        <v>60-74</v>
      </c>
      <c r="M1682" t="str">
        <f>IF(Table1[[#This Row],[length_of_stay_days]]&gt;7,"Yes","No")</f>
        <v>No</v>
      </c>
    </row>
    <row r="1683" spans="1:13" x14ac:dyDescent="0.3">
      <c r="A1683" t="s">
        <v>2082</v>
      </c>
      <c r="B1683">
        <v>20</v>
      </c>
      <c r="C1683" t="s">
        <v>20</v>
      </c>
      <c r="D1683" t="s">
        <v>28</v>
      </c>
      <c r="E1683" t="s">
        <v>14</v>
      </c>
      <c r="F1683" t="s">
        <v>137</v>
      </c>
      <c r="G1683" t="s">
        <v>138</v>
      </c>
      <c r="H1683">
        <v>2</v>
      </c>
      <c r="I1683" s="1">
        <v>1333.05</v>
      </c>
      <c r="J1683" t="s">
        <v>17</v>
      </c>
      <c r="K1683" t="s">
        <v>18</v>
      </c>
      <c r="L1683" t="str" cm="1">
        <f t="array" ref="L1683">_xlfn.IFS(B1683&lt;30,"18-29",B1683&lt;45,"30-44",B1683&lt;60,"45-59",B1683&lt;75,"60-74",B1683&lt;=90,"75-90")</f>
        <v>18-29</v>
      </c>
      <c r="M1683" t="str">
        <f>IF(Table1[[#This Row],[length_of_stay_days]]&gt;7,"Yes","No")</f>
        <v>No</v>
      </c>
    </row>
    <row r="1684" spans="1:13" x14ac:dyDescent="0.3">
      <c r="A1684" t="s">
        <v>2083</v>
      </c>
      <c r="B1684">
        <v>43</v>
      </c>
      <c r="C1684" t="s">
        <v>12</v>
      </c>
      <c r="D1684" t="s">
        <v>28</v>
      </c>
      <c r="E1684" t="s">
        <v>21</v>
      </c>
      <c r="F1684" t="s">
        <v>499</v>
      </c>
      <c r="G1684" t="s">
        <v>68</v>
      </c>
      <c r="H1684">
        <v>4</v>
      </c>
      <c r="I1684" s="1">
        <v>5200.87</v>
      </c>
      <c r="J1684" t="s">
        <v>17</v>
      </c>
      <c r="K1684" t="s">
        <v>18</v>
      </c>
      <c r="L1684" t="str" cm="1">
        <f t="array" ref="L1684">_xlfn.IFS(B1684&lt;30,"18-29",B1684&lt;45,"30-44",B1684&lt;60,"45-59",B1684&lt;75,"60-74",B1684&lt;=90,"75-90")</f>
        <v>30-44</v>
      </c>
      <c r="M1684" t="str">
        <f>IF(Table1[[#This Row],[length_of_stay_days]]&gt;7,"Yes","No")</f>
        <v>No</v>
      </c>
    </row>
    <row r="1685" spans="1:13" x14ac:dyDescent="0.3">
      <c r="A1685" t="s">
        <v>2084</v>
      </c>
      <c r="B1685">
        <v>62</v>
      </c>
      <c r="C1685" t="s">
        <v>20</v>
      </c>
      <c r="D1685" t="s">
        <v>13</v>
      </c>
      <c r="E1685" t="s">
        <v>14</v>
      </c>
      <c r="F1685" t="s">
        <v>61</v>
      </c>
      <c r="G1685" t="s">
        <v>337</v>
      </c>
      <c r="H1685">
        <v>4</v>
      </c>
      <c r="I1685" s="1">
        <v>5664.77</v>
      </c>
      <c r="J1685" t="s">
        <v>17</v>
      </c>
      <c r="K1685" t="s">
        <v>18</v>
      </c>
      <c r="L1685" t="str" cm="1">
        <f t="array" ref="L1685">_xlfn.IFS(B1685&lt;30,"18-29",B1685&lt;45,"30-44",B1685&lt;60,"45-59",B1685&lt;75,"60-74",B1685&lt;=90,"75-90")</f>
        <v>60-74</v>
      </c>
      <c r="M1685" t="str">
        <f>IF(Table1[[#This Row],[length_of_stay_days]]&gt;7,"Yes","No")</f>
        <v>No</v>
      </c>
    </row>
    <row r="1686" spans="1:13" x14ac:dyDescent="0.3">
      <c r="A1686" t="s">
        <v>2085</v>
      </c>
      <c r="B1686">
        <v>63</v>
      </c>
      <c r="C1686" t="s">
        <v>12</v>
      </c>
      <c r="D1686" t="s">
        <v>28</v>
      </c>
      <c r="E1686" t="s">
        <v>21</v>
      </c>
      <c r="F1686" t="s">
        <v>497</v>
      </c>
      <c r="G1686" t="s">
        <v>689</v>
      </c>
      <c r="H1686">
        <v>3</v>
      </c>
      <c r="I1686" s="1">
        <v>4049.84</v>
      </c>
      <c r="J1686" t="s">
        <v>17</v>
      </c>
      <c r="K1686" t="s">
        <v>18</v>
      </c>
      <c r="L1686" t="str" cm="1">
        <f t="array" ref="L1686">_xlfn.IFS(B1686&lt;30,"18-29",B1686&lt;45,"30-44",B1686&lt;60,"45-59",B1686&lt;75,"60-74",B1686&lt;=90,"75-90")</f>
        <v>60-74</v>
      </c>
      <c r="M1686" t="str">
        <f>IF(Table1[[#This Row],[length_of_stay_days]]&gt;7,"Yes","No")</f>
        <v>No</v>
      </c>
    </row>
    <row r="1687" spans="1:13" x14ac:dyDescent="0.3">
      <c r="A1687" t="s">
        <v>2086</v>
      </c>
      <c r="B1687">
        <v>62</v>
      </c>
      <c r="C1687" t="s">
        <v>20</v>
      </c>
      <c r="D1687" t="s">
        <v>55</v>
      </c>
      <c r="E1687" t="s">
        <v>28</v>
      </c>
      <c r="F1687" t="s">
        <v>472</v>
      </c>
      <c r="G1687" t="s">
        <v>1018</v>
      </c>
      <c r="H1687">
        <v>7</v>
      </c>
      <c r="I1687" s="1">
        <v>12091.28</v>
      </c>
      <c r="J1687" t="s">
        <v>17</v>
      </c>
      <c r="K1687" t="s">
        <v>18</v>
      </c>
      <c r="L1687" t="str" cm="1">
        <f t="array" ref="L1687">_xlfn.IFS(B1687&lt;30,"18-29",B1687&lt;45,"30-44",B1687&lt;60,"45-59",B1687&lt;75,"60-74",B1687&lt;=90,"75-90")</f>
        <v>60-74</v>
      </c>
      <c r="M1687" t="str">
        <f>IF(Table1[[#This Row],[length_of_stay_days]]&gt;7,"Yes","No")</f>
        <v>No</v>
      </c>
    </row>
    <row r="1688" spans="1:13" x14ac:dyDescent="0.3">
      <c r="A1688" t="s">
        <v>2087</v>
      </c>
      <c r="B1688">
        <v>29</v>
      </c>
      <c r="C1688" t="s">
        <v>20</v>
      </c>
      <c r="D1688" t="s">
        <v>13</v>
      </c>
      <c r="E1688" t="s">
        <v>14</v>
      </c>
      <c r="F1688" t="s">
        <v>312</v>
      </c>
      <c r="G1688" t="s">
        <v>250</v>
      </c>
      <c r="H1688">
        <v>2</v>
      </c>
      <c r="I1688" s="1">
        <v>3774.62</v>
      </c>
      <c r="J1688" t="s">
        <v>17</v>
      </c>
      <c r="K1688" t="s">
        <v>18</v>
      </c>
      <c r="L1688" t="str" cm="1">
        <f t="array" ref="L1688">_xlfn.IFS(B1688&lt;30,"18-29",B1688&lt;45,"30-44",B1688&lt;60,"45-59",B1688&lt;75,"60-74",B1688&lt;=90,"75-90")</f>
        <v>18-29</v>
      </c>
      <c r="M1688" t="str">
        <f>IF(Table1[[#This Row],[length_of_stay_days]]&gt;7,"Yes","No")</f>
        <v>No</v>
      </c>
    </row>
    <row r="1689" spans="1:13" x14ac:dyDescent="0.3">
      <c r="A1689" t="s">
        <v>2088</v>
      </c>
      <c r="B1689">
        <v>22</v>
      </c>
      <c r="C1689" t="s">
        <v>20</v>
      </c>
      <c r="D1689" t="s">
        <v>13</v>
      </c>
      <c r="E1689" t="s">
        <v>28</v>
      </c>
      <c r="F1689" t="s">
        <v>180</v>
      </c>
      <c r="G1689" t="s">
        <v>339</v>
      </c>
      <c r="H1689">
        <v>4</v>
      </c>
      <c r="I1689" s="1">
        <v>7021.03</v>
      </c>
      <c r="J1689" t="s">
        <v>17</v>
      </c>
      <c r="K1689" t="s">
        <v>18</v>
      </c>
      <c r="L1689" t="str" cm="1">
        <f t="array" ref="L1689">_xlfn.IFS(B1689&lt;30,"18-29",B1689&lt;45,"30-44",B1689&lt;60,"45-59",B1689&lt;75,"60-74",B1689&lt;=90,"75-90")</f>
        <v>18-29</v>
      </c>
      <c r="M1689" t="str">
        <f>IF(Table1[[#This Row],[length_of_stay_days]]&gt;7,"Yes","No")</f>
        <v>No</v>
      </c>
    </row>
    <row r="1690" spans="1:13" x14ac:dyDescent="0.3">
      <c r="A1690" t="s">
        <v>2089</v>
      </c>
      <c r="B1690">
        <v>75</v>
      </c>
      <c r="C1690" t="s">
        <v>20</v>
      </c>
      <c r="D1690" t="s">
        <v>13</v>
      </c>
      <c r="E1690" t="s">
        <v>28</v>
      </c>
      <c r="F1690" t="s">
        <v>214</v>
      </c>
      <c r="G1690" t="s">
        <v>250</v>
      </c>
      <c r="H1690">
        <v>6</v>
      </c>
      <c r="I1690" s="1">
        <v>7227.61</v>
      </c>
      <c r="J1690" t="s">
        <v>17</v>
      </c>
      <c r="K1690" t="s">
        <v>18</v>
      </c>
      <c r="L1690" t="str" cm="1">
        <f t="array" ref="L1690">_xlfn.IFS(B1690&lt;30,"18-29",B1690&lt;45,"30-44",B1690&lt;60,"45-59",B1690&lt;75,"60-74",B1690&lt;=90,"75-90")</f>
        <v>75-90</v>
      </c>
      <c r="M1690" t="str">
        <f>IF(Table1[[#This Row],[length_of_stay_days]]&gt;7,"Yes","No")</f>
        <v>No</v>
      </c>
    </row>
    <row r="1691" spans="1:13" x14ac:dyDescent="0.3">
      <c r="A1691" t="s">
        <v>2090</v>
      </c>
      <c r="B1691">
        <v>78</v>
      </c>
      <c r="C1691" t="s">
        <v>12</v>
      </c>
      <c r="D1691" t="s">
        <v>32</v>
      </c>
      <c r="E1691" t="s">
        <v>28</v>
      </c>
      <c r="F1691" t="s">
        <v>74</v>
      </c>
      <c r="G1691" t="s">
        <v>676</v>
      </c>
      <c r="H1691">
        <v>3</v>
      </c>
      <c r="I1691" s="1">
        <v>8419.61</v>
      </c>
      <c r="J1691" t="s">
        <v>17</v>
      </c>
      <c r="K1691" t="s">
        <v>18</v>
      </c>
      <c r="L1691" t="str" cm="1">
        <f t="array" ref="L1691">_xlfn.IFS(B1691&lt;30,"18-29",B1691&lt;45,"30-44",B1691&lt;60,"45-59",B1691&lt;75,"60-74",B1691&lt;=90,"75-90")</f>
        <v>75-90</v>
      </c>
      <c r="M1691" t="str">
        <f>IF(Table1[[#This Row],[length_of_stay_days]]&gt;7,"Yes","No")</f>
        <v>No</v>
      </c>
    </row>
    <row r="1692" spans="1:13" x14ac:dyDescent="0.3">
      <c r="A1692" t="s">
        <v>2091</v>
      </c>
      <c r="B1692">
        <v>81</v>
      </c>
      <c r="C1692" t="s">
        <v>70</v>
      </c>
      <c r="D1692" t="s">
        <v>28</v>
      </c>
      <c r="E1692" t="s">
        <v>28</v>
      </c>
      <c r="F1692" t="s">
        <v>465</v>
      </c>
      <c r="G1692" t="s">
        <v>67</v>
      </c>
      <c r="H1692">
        <v>8</v>
      </c>
      <c r="I1692" s="1">
        <v>6516.93</v>
      </c>
      <c r="J1692" t="s">
        <v>17</v>
      </c>
      <c r="K1692" t="s">
        <v>18</v>
      </c>
      <c r="L1692" t="str" cm="1">
        <f t="array" ref="L1692">_xlfn.IFS(B1692&lt;30,"18-29",B1692&lt;45,"30-44",B1692&lt;60,"45-59",B1692&lt;75,"60-74",B1692&lt;=90,"75-90")</f>
        <v>75-90</v>
      </c>
      <c r="M1692" t="str">
        <f>IF(Table1[[#This Row],[length_of_stay_days]]&gt;7,"Yes","No")</f>
        <v>Yes</v>
      </c>
    </row>
    <row r="1693" spans="1:13" x14ac:dyDescent="0.3">
      <c r="A1693" t="s">
        <v>2092</v>
      </c>
      <c r="B1693">
        <v>24</v>
      </c>
      <c r="C1693" t="s">
        <v>20</v>
      </c>
      <c r="D1693" t="s">
        <v>28</v>
      </c>
      <c r="E1693" t="s">
        <v>28</v>
      </c>
      <c r="F1693" t="s">
        <v>620</v>
      </c>
      <c r="G1693" t="s">
        <v>71</v>
      </c>
      <c r="H1693">
        <v>4</v>
      </c>
      <c r="I1693" s="1">
        <v>5361.31</v>
      </c>
      <c r="J1693" t="s">
        <v>17</v>
      </c>
      <c r="K1693" t="s">
        <v>18</v>
      </c>
      <c r="L1693" t="str" cm="1">
        <f t="array" ref="L1693">_xlfn.IFS(B1693&lt;30,"18-29",B1693&lt;45,"30-44",B1693&lt;60,"45-59",B1693&lt;75,"60-74",B1693&lt;=90,"75-90")</f>
        <v>18-29</v>
      </c>
      <c r="M1693" t="str">
        <f>IF(Table1[[#This Row],[length_of_stay_days]]&gt;7,"Yes","No")</f>
        <v>No</v>
      </c>
    </row>
    <row r="1694" spans="1:13" x14ac:dyDescent="0.3">
      <c r="A1694" t="s">
        <v>2093</v>
      </c>
      <c r="B1694">
        <v>87</v>
      </c>
      <c r="C1694" t="s">
        <v>20</v>
      </c>
      <c r="D1694" t="s">
        <v>51</v>
      </c>
      <c r="E1694" t="s">
        <v>28</v>
      </c>
      <c r="F1694" t="s">
        <v>34</v>
      </c>
      <c r="G1694" t="s">
        <v>292</v>
      </c>
      <c r="H1694">
        <v>8</v>
      </c>
      <c r="I1694" s="1">
        <v>15699.59</v>
      </c>
      <c r="J1694" t="s">
        <v>17</v>
      </c>
      <c r="K1694" t="s">
        <v>18</v>
      </c>
      <c r="L1694" t="str" cm="1">
        <f t="array" ref="L1694">_xlfn.IFS(B1694&lt;30,"18-29",B1694&lt;45,"30-44",B1694&lt;60,"45-59",B1694&lt;75,"60-74",B1694&lt;=90,"75-90")</f>
        <v>75-90</v>
      </c>
      <c r="M1694" t="str">
        <f>IF(Table1[[#This Row],[length_of_stay_days]]&gt;7,"Yes","No")</f>
        <v>Yes</v>
      </c>
    </row>
    <row r="1695" spans="1:13" x14ac:dyDescent="0.3">
      <c r="A1695" t="s">
        <v>2094</v>
      </c>
      <c r="B1695">
        <v>65</v>
      </c>
      <c r="C1695" t="s">
        <v>12</v>
      </c>
      <c r="D1695" t="s">
        <v>55</v>
      </c>
      <c r="E1695" t="s">
        <v>28</v>
      </c>
      <c r="F1695" t="s">
        <v>1018</v>
      </c>
      <c r="G1695" t="s">
        <v>410</v>
      </c>
      <c r="H1695">
        <v>4</v>
      </c>
      <c r="I1695" s="1">
        <v>7817.35</v>
      </c>
      <c r="J1695" t="s">
        <v>49</v>
      </c>
      <c r="K1695" t="s">
        <v>223</v>
      </c>
      <c r="L1695" t="str" cm="1">
        <f t="array" ref="L1695">_xlfn.IFS(B1695&lt;30,"18-29",B1695&lt;45,"30-44",B1695&lt;60,"45-59",B1695&lt;75,"60-74",B1695&lt;=90,"75-90")</f>
        <v>60-74</v>
      </c>
      <c r="M1695" t="str">
        <f>IF(Table1[[#This Row],[length_of_stay_days]]&gt;7,"Yes","No")</f>
        <v>No</v>
      </c>
    </row>
    <row r="1696" spans="1:13" x14ac:dyDescent="0.3">
      <c r="A1696" t="s">
        <v>2095</v>
      </c>
      <c r="B1696">
        <v>48</v>
      </c>
      <c r="C1696" t="s">
        <v>12</v>
      </c>
      <c r="D1696" t="s">
        <v>28</v>
      </c>
      <c r="E1696" t="s">
        <v>21</v>
      </c>
      <c r="F1696" t="s">
        <v>537</v>
      </c>
      <c r="G1696" t="s">
        <v>256</v>
      </c>
      <c r="H1696">
        <v>4</v>
      </c>
      <c r="I1696" s="1">
        <v>3527.31</v>
      </c>
      <c r="J1696" t="s">
        <v>17</v>
      </c>
      <c r="K1696" t="s">
        <v>18</v>
      </c>
      <c r="L1696" t="str" cm="1">
        <f t="array" ref="L1696">_xlfn.IFS(B1696&lt;30,"18-29",B1696&lt;45,"30-44",B1696&lt;60,"45-59",B1696&lt;75,"60-74",B1696&lt;=90,"75-90")</f>
        <v>45-59</v>
      </c>
      <c r="M1696" t="str">
        <f>IF(Table1[[#This Row],[length_of_stay_days]]&gt;7,"Yes","No")</f>
        <v>No</v>
      </c>
    </row>
    <row r="1697" spans="1:13" x14ac:dyDescent="0.3">
      <c r="A1697" t="s">
        <v>2096</v>
      </c>
      <c r="B1697">
        <v>25</v>
      </c>
      <c r="C1697" t="s">
        <v>20</v>
      </c>
      <c r="D1697" t="s">
        <v>55</v>
      </c>
      <c r="E1697" t="s">
        <v>28</v>
      </c>
      <c r="F1697" t="s">
        <v>928</v>
      </c>
      <c r="G1697" t="s">
        <v>724</v>
      </c>
      <c r="H1697">
        <v>4</v>
      </c>
      <c r="I1697" s="1">
        <v>10811.79</v>
      </c>
      <c r="J1697" t="s">
        <v>17</v>
      </c>
      <c r="K1697" t="s">
        <v>18</v>
      </c>
      <c r="L1697" t="str" cm="1">
        <f t="array" ref="L1697">_xlfn.IFS(B1697&lt;30,"18-29",B1697&lt;45,"30-44",B1697&lt;60,"45-59",B1697&lt;75,"60-74",B1697&lt;=90,"75-90")</f>
        <v>18-29</v>
      </c>
      <c r="M1697" t="str">
        <f>IF(Table1[[#This Row],[length_of_stay_days]]&gt;7,"Yes","No")</f>
        <v>No</v>
      </c>
    </row>
    <row r="1698" spans="1:13" x14ac:dyDescent="0.3">
      <c r="A1698" t="s">
        <v>2097</v>
      </c>
      <c r="B1698">
        <v>26</v>
      </c>
      <c r="C1698" t="s">
        <v>70</v>
      </c>
      <c r="D1698" t="s">
        <v>28</v>
      </c>
      <c r="E1698" t="s">
        <v>28</v>
      </c>
      <c r="F1698" t="s">
        <v>179</v>
      </c>
      <c r="G1698" t="s">
        <v>413</v>
      </c>
      <c r="H1698">
        <v>4</v>
      </c>
      <c r="I1698" s="1">
        <v>5905.42</v>
      </c>
      <c r="J1698" t="s">
        <v>17</v>
      </c>
      <c r="K1698" t="s">
        <v>18</v>
      </c>
      <c r="L1698" t="str" cm="1">
        <f t="array" ref="L1698">_xlfn.IFS(B1698&lt;30,"18-29",B1698&lt;45,"30-44",B1698&lt;60,"45-59",B1698&lt;75,"60-74",B1698&lt;=90,"75-90")</f>
        <v>18-29</v>
      </c>
      <c r="M1698" t="str">
        <f>IF(Table1[[#This Row],[length_of_stay_days]]&gt;7,"Yes","No")</f>
        <v>No</v>
      </c>
    </row>
    <row r="1699" spans="1:13" x14ac:dyDescent="0.3">
      <c r="A1699" t="s">
        <v>2098</v>
      </c>
      <c r="B1699">
        <v>50</v>
      </c>
      <c r="C1699" t="s">
        <v>12</v>
      </c>
      <c r="D1699" t="s">
        <v>13</v>
      </c>
      <c r="E1699" t="s">
        <v>28</v>
      </c>
      <c r="F1699" t="s">
        <v>520</v>
      </c>
      <c r="G1699" t="s">
        <v>165</v>
      </c>
      <c r="H1699">
        <v>6</v>
      </c>
      <c r="I1699" s="1">
        <v>7447.44</v>
      </c>
      <c r="J1699" t="s">
        <v>17</v>
      </c>
      <c r="K1699" t="s">
        <v>18</v>
      </c>
      <c r="L1699" t="str" cm="1">
        <f t="array" ref="L1699">_xlfn.IFS(B1699&lt;30,"18-29",B1699&lt;45,"30-44",B1699&lt;60,"45-59",B1699&lt;75,"60-74",B1699&lt;=90,"75-90")</f>
        <v>45-59</v>
      </c>
      <c r="M1699" t="str">
        <f>IF(Table1[[#This Row],[length_of_stay_days]]&gt;7,"Yes","No")</f>
        <v>No</v>
      </c>
    </row>
    <row r="1700" spans="1:13" x14ac:dyDescent="0.3">
      <c r="A1700" t="s">
        <v>2099</v>
      </c>
      <c r="B1700">
        <v>45</v>
      </c>
      <c r="C1700" t="s">
        <v>20</v>
      </c>
      <c r="D1700" t="s">
        <v>28</v>
      </c>
      <c r="E1700" t="s">
        <v>28</v>
      </c>
      <c r="F1700" t="s">
        <v>440</v>
      </c>
      <c r="H1700">
        <v>3</v>
      </c>
      <c r="I1700" s="1">
        <v>2913.24</v>
      </c>
      <c r="J1700" t="s">
        <v>17</v>
      </c>
      <c r="K1700" t="s">
        <v>18</v>
      </c>
      <c r="L1700" t="str" cm="1">
        <f t="array" ref="L1700">_xlfn.IFS(B1700&lt;30,"18-29",B1700&lt;45,"30-44",B1700&lt;60,"45-59",B1700&lt;75,"60-74",B1700&lt;=90,"75-90")</f>
        <v>45-59</v>
      </c>
      <c r="M1700" t="str">
        <f>IF(Table1[[#This Row],[length_of_stay_days]]&gt;7,"Yes","No")</f>
        <v>No</v>
      </c>
    </row>
    <row r="1701" spans="1:13" x14ac:dyDescent="0.3">
      <c r="A1701" t="s">
        <v>2100</v>
      </c>
      <c r="B1701">
        <v>54</v>
      </c>
      <c r="C1701" t="s">
        <v>20</v>
      </c>
      <c r="D1701" t="s">
        <v>13</v>
      </c>
      <c r="E1701" t="s">
        <v>14</v>
      </c>
      <c r="F1701" t="s">
        <v>762</v>
      </c>
      <c r="G1701" t="s">
        <v>617</v>
      </c>
      <c r="H1701">
        <v>5</v>
      </c>
      <c r="I1701" s="1">
        <v>6476.94</v>
      </c>
      <c r="J1701" t="s">
        <v>17</v>
      </c>
      <c r="K1701" t="s">
        <v>18</v>
      </c>
      <c r="L1701" t="str" cm="1">
        <f t="array" ref="L1701">_xlfn.IFS(B1701&lt;30,"18-29",B1701&lt;45,"30-44",B1701&lt;60,"45-59",B1701&lt;75,"60-74",B1701&lt;=90,"75-90")</f>
        <v>45-59</v>
      </c>
      <c r="M1701" t="str">
        <f>IF(Table1[[#This Row],[length_of_stay_days]]&gt;7,"Yes","No")</f>
        <v>No</v>
      </c>
    </row>
    <row r="1702" spans="1:13" x14ac:dyDescent="0.3">
      <c r="A1702" t="s">
        <v>2101</v>
      </c>
      <c r="B1702">
        <v>33</v>
      </c>
      <c r="C1702" t="s">
        <v>70</v>
      </c>
      <c r="D1702" t="s">
        <v>13</v>
      </c>
      <c r="E1702" t="s">
        <v>28</v>
      </c>
      <c r="F1702" t="s">
        <v>422</v>
      </c>
      <c r="G1702" t="s">
        <v>208</v>
      </c>
      <c r="H1702">
        <v>4</v>
      </c>
      <c r="I1702" s="1">
        <v>7376.34</v>
      </c>
      <c r="J1702" t="s">
        <v>17</v>
      </c>
      <c r="K1702" t="s">
        <v>18</v>
      </c>
      <c r="L1702" t="str" cm="1">
        <f t="array" ref="L1702">_xlfn.IFS(B1702&lt;30,"18-29",B1702&lt;45,"30-44",B1702&lt;60,"45-59",B1702&lt;75,"60-74",B1702&lt;=90,"75-90")</f>
        <v>30-44</v>
      </c>
      <c r="M1702" t="str">
        <f>IF(Table1[[#This Row],[length_of_stay_days]]&gt;7,"Yes","No")</f>
        <v>No</v>
      </c>
    </row>
    <row r="1703" spans="1:13" x14ac:dyDescent="0.3">
      <c r="A1703" t="s">
        <v>2102</v>
      </c>
      <c r="B1703">
        <v>32</v>
      </c>
      <c r="C1703" t="s">
        <v>20</v>
      </c>
      <c r="D1703" t="s">
        <v>55</v>
      </c>
      <c r="E1703" t="s">
        <v>21</v>
      </c>
      <c r="F1703" t="s">
        <v>320</v>
      </c>
      <c r="G1703" t="s">
        <v>453</v>
      </c>
      <c r="H1703">
        <v>6</v>
      </c>
      <c r="I1703" s="1">
        <v>12774.38</v>
      </c>
      <c r="J1703" t="s">
        <v>49</v>
      </c>
      <c r="K1703" t="s">
        <v>18</v>
      </c>
      <c r="L1703" t="str" cm="1">
        <f t="array" ref="L1703">_xlfn.IFS(B1703&lt;30,"18-29",B1703&lt;45,"30-44",B1703&lt;60,"45-59",B1703&lt;75,"60-74",B1703&lt;=90,"75-90")</f>
        <v>30-44</v>
      </c>
      <c r="M1703" t="str">
        <f>IF(Table1[[#This Row],[length_of_stay_days]]&gt;7,"Yes","No")</f>
        <v>No</v>
      </c>
    </row>
    <row r="1704" spans="1:13" x14ac:dyDescent="0.3">
      <c r="A1704" t="s">
        <v>2103</v>
      </c>
      <c r="B1704">
        <v>80</v>
      </c>
      <c r="C1704" t="s">
        <v>12</v>
      </c>
      <c r="D1704" t="s">
        <v>51</v>
      </c>
      <c r="E1704" t="s">
        <v>21</v>
      </c>
      <c r="F1704" t="s">
        <v>154</v>
      </c>
      <c r="G1704" t="s">
        <v>330</v>
      </c>
      <c r="H1704">
        <v>9</v>
      </c>
      <c r="I1704" s="1">
        <v>15087.38</v>
      </c>
      <c r="J1704" t="s">
        <v>49</v>
      </c>
      <c r="K1704" t="s">
        <v>18</v>
      </c>
      <c r="L1704" t="str" cm="1">
        <f t="array" ref="L1704">_xlfn.IFS(B1704&lt;30,"18-29",B1704&lt;45,"30-44",B1704&lt;60,"45-59",B1704&lt;75,"60-74",B1704&lt;=90,"75-90")</f>
        <v>75-90</v>
      </c>
      <c r="M1704" t="str">
        <f>IF(Table1[[#This Row],[length_of_stay_days]]&gt;7,"Yes","No")</f>
        <v>Yes</v>
      </c>
    </row>
    <row r="1705" spans="1:13" x14ac:dyDescent="0.3">
      <c r="A1705" t="s">
        <v>2104</v>
      </c>
      <c r="B1705">
        <v>79</v>
      </c>
      <c r="C1705" t="s">
        <v>20</v>
      </c>
      <c r="D1705" t="s">
        <v>55</v>
      </c>
      <c r="E1705" t="s">
        <v>28</v>
      </c>
      <c r="F1705" t="s">
        <v>86</v>
      </c>
      <c r="G1705" t="s">
        <v>783</v>
      </c>
      <c r="H1705">
        <v>5</v>
      </c>
      <c r="I1705" s="1">
        <v>9464.3799999999992</v>
      </c>
      <c r="J1705" t="s">
        <v>17</v>
      </c>
      <c r="K1705" t="s">
        <v>18</v>
      </c>
      <c r="L1705" t="str" cm="1">
        <f t="array" ref="L1705">_xlfn.IFS(B1705&lt;30,"18-29",B1705&lt;45,"30-44",B1705&lt;60,"45-59",B1705&lt;75,"60-74",B1705&lt;=90,"75-90")</f>
        <v>75-90</v>
      </c>
      <c r="M1705" t="str">
        <f>IF(Table1[[#This Row],[length_of_stay_days]]&gt;7,"Yes","No")</f>
        <v>No</v>
      </c>
    </row>
    <row r="1706" spans="1:13" x14ac:dyDescent="0.3">
      <c r="A1706" t="s">
        <v>2105</v>
      </c>
      <c r="B1706">
        <v>76</v>
      </c>
      <c r="C1706" t="s">
        <v>12</v>
      </c>
      <c r="D1706" t="s">
        <v>51</v>
      </c>
      <c r="E1706" t="s">
        <v>14</v>
      </c>
      <c r="F1706" t="s">
        <v>186</v>
      </c>
      <c r="G1706" t="s">
        <v>255</v>
      </c>
      <c r="H1706">
        <v>7</v>
      </c>
      <c r="I1706" s="1">
        <v>11970.43</v>
      </c>
      <c r="J1706" t="s">
        <v>17</v>
      </c>
      <c r="K1706" t="s">
        <v>18</v>
      </c>
      <c r="L1706" t="str" cm="1">
        <f t="array" ref="L1706">_xlfn.IFS(B1706&lt;30,"18-29",B1706&lt;45,"30-44",B1706&lt;60,"45-59",B1706&lt;75,"60-74",B1706&lt;=90,"75-90")</f>
        <v>75-90</v>
      </c>
      <c r="M1706" t="str">
        <f>IF(Table1[[#This Row],[length_of_stay_days]]&gt;7,"Yes","No")</f>
        <v>No</v>
      </c>
    </row>
    <row r="1707" spans="1:13" x14ac:dyDescent="0.3">
      <c r="A1707" t="s">
        <v>2106</v>
      </c>
      <c r="B1707">
        <v>20</v>
      </c>
      <c r="C1707" t="s">
        <v>12</v>
      </c>
      <c r="D1707" t="s">
        <v>13</v>
      </c>
      <c r="E1707" t="s">
        <v>28</v>
      </c>
      <c r="F1707" t="s">
        <v>285</v>
      </c>
      <c r="G1707" t="s">
        <v>516</v>
      </c>
      <c r="H1707">
        <v>6</v>
      </c>
      <c r="I1707" s="1">
        <v>10018.379999999999</v>
      </c>
      <c r="J1707" t="s">
        <v>17</v>
      </c>
      <c r="K1707" t="s">
        <v>18</v>
      </c>
      <c r="L1707" t="str" cm="1">
        <f t="array" ref="L1707">_xlfn.IFS(B1707&lt;30,"18-29",B1707&lt;45,"30-44",B1707&lt;60,"45-59",B1707&lt;75,"60-74",B1707&lt;=90,"75-90")</f>
        <v>18-29</v>
      </c>
      <c r="M1707" t="str">
        <f>IF(Table1[[#This Row],[length_of_stay_days]]&gt;7,"Yes","No")</f>
        <v>No</v>
      </c>
    </row>
    <row r="1708" spans="1:13" x14ac:dyDescent="0.3">
      <c r="A1708" t="s">
        <v>2107</v>
      </c>
      <c r="B1708">
        <v>46</v>
      </c>
      <c r="C1708" t="s">
        <v>20</v>
      </c>
      <c r="D1708" t="s">
        <v>13</v>
      </c>
      <c r="E1708" t="s">
        <v>28</v>
      </c>
      <c r="F1708" t="s">
        <v>427</v>
      </c>
      <c r="G1708" t="s">
        <v>456</v>
      </c>
      <c r="H1708">
        <v>1</v>
      </c>
      <c r="I1708" s="1">
        <v>4440.78</v>
      </c>
      <c r="J1708" t="s">
        <v>17</v>
      </c>
      <c r="K1708" t="s">
        <v>18</v>
      </c>
      <c r="L1708" t="str" cm="1">
        <f t="array" ref="L1708">_xlfn.IFS(B1708&lt;30,"18-29",B1708&lt;45,"30-44",B1708&lt;60,"45-59",B1708&lt;75,"60-74",B1708&lt;=90,"75-90")</f>
        <v>45-59</v>
      </c>
      <c r="M1708" t="str">
        <f>IF(Table1[[#This Row],[length_of_stay_days]]&gt;7,"Yes","No")</f>
        <v>No</v>
      </c>
    </row>
    <row r="1709" spans="1:13" x14ac:dyDescent="0.3">
      <c r="A1709" t="s">
        <v>2108</v>
      </c>
      <c r="B1709">
        <v>28</v>
      </c>
      <c r="C1709" t="s">
        <v>12</v>
      </c>
      <c r="D1709" t="s">
        <v>28</v>
      </c>
      <c r="E1709" t="s">
        <v>14</v>
      </c>
      <c r="F1709" t="s">
        <v>276</v>
      </c>
      <c r="G1709" t="s">
        <v>221</v>
      </c>
      <c r="H1709">
        <v>4</v>
      </c>
      <c r="I1709" s="1">
        <v>4904.59</v>
      </c>
      <c r="J1709" t="s">
        <v>49</v>
      </c>
      <c r="K1709" t="s">
        <v>18</v>
      </c>
      <c r="L1709" t="str" cm="1">
        <f t="array" ref="L1709">_xlfn.IFS(B1709&lt;30,"18-29",B1709&lt;45,"30-44",B1709&lt;60,"45-59",B1709&lt;75,"60-74",B1709&lt;=90,"75-90")</f>
        <v>18-29</v>
      </c>
      <c r="M1709" t="str">
        <f>IF(Table1[[#This Row],[length_of_stay_days]]&gt;7,"Yes","No")</f>
        <v>No</v>
      </c>
    </row>
    <row r="1710" spans="1:13" x14ac:dyDescent="0.3">
      <c r="A1710" t="s">
        <v>2109</v>
      </c>
      <c r="B1710">
        <v>74</v>
      </c>
      <c r="C1710" t="s">
        <v>20</v>
      </c>
      <c r="D1710" t="s">
        <v>46</v>
      </c>
      <c r="E1710" t="s">
        <v>28</v>
      </c>
      <c r="F1710" t="s">
        <v>1338</v>
      </c>
      <c r="G1710" t="s">
        <v>644</v>
      </c>
      <c r="H1710">
        <v>8</v>
      </c>
      <c r="I1710" s="1">
        <v>14108.95</v>
      </c>
      <c r="J1710" t="s">
        <v>17</v>
      </c>
      <c r="K1710" t="s">
        <v>18</v>
      </c>
      <c r="L1710" t="str" cm="1">
        <f t="array" ref="L1710">_xlfn.IFS(B1710&lt;30,"18-29",B1710&lt;45,"30-44",B1710&lt;60,"45-59",B1710&lt;75,"60-74",B1710&lt;=90,"75-90")</f>
        <v>60-74</v>
      </c>
      <c r="M1710" t="str">
        <f>IF(Table1[[#This Row],[length_of_stay_days]]&gt;7,"Yes","No")</f>
        <v>Yes</v>
      </c>
    </row>
    <row r="1711" spans="1:13" x14ac:dyDescent="0.3">
      <c r="A1711" t="s">
        <v>2110</v>
      </c>
      <c r="B1711">
        <v>41</v>
      </c>
      <c r="C1711" t="s">
        <v>12</v>
      </c>
      <c r="D1711" t="s">
        <v>46</v>
      </c>
      <c r="E1711" t="s">
        <v>14</v>
      </c>
      <c r="F1711" t="s">
        <v>323</v>
      </c>
      <c r="G1711" t="s">
        <v>232</v>
      </c>
      <c r="H1711">
        <v>1</v>
      </c>
      <c r="I1711" s="1">
        <v>12146.11</v>
      </c>
      <c r="J1711" t="s">
        <v>17</v>
      </c>
      <c r="K1711" t="s">
        <v>18</v>
      </c>
      <c r="L1711" t="str" cm="1">
        <f t="array" ref="L1711">_xlfn.IFS(B1711&lt;30,"18-29",B1711&lt;45,"30-44",B1711&lt;60,"45-59",B1711&lt;75,"60-74",B1711&lt;=90,"75-90")</f>
        <v>30-44</v>
      </c>
      <c r="M1711" t="str">
        <f>IF(Table1[[#This Row],[length_of_stay_days]]&gt;7,"Yes","No")</f>
        <v>No</v>
      </c>
    </row>
    <row r="1712" spans="1:13" x14ac:dyDescent="0.3">
      <c r="A1712" t="s">
        <v>2111</v>
      </c>
      <c r="B1712">
        <v>86</v>
      </c>
      <c r="C1712" t="s">
        <v>12</v>
      </c>
      <c r="D1712" t="s">
        <v>32</v>
      </c>
      <c r="E1712" t="s">
        <v>28</v>
      </c>
      <c r="F1712" t="s">
        <v>443</v>
      </c>
      <c r="G1712" t="s">
        <v>1229</v>
      </c>
      <c r="H1712">
        <v>10</v>
      </c>
      <c r="I1712" s="1">
        <v>16872.93</v>
      </c>
      <c r="J1712" t="s">
        <v>17</v>
      </c>
      <c r="K1712" t="s">
        <v>18</v>
      </c>
      <c r="L1712" t="str" cm="1">
        <f t="array" ref="L1712">_xlfn.IFS(B1712&lt;30,"18-29",B1712&lt;45,"30-44",B1712&lt;60,"45-59",B1712&lt;75,"60-74",B1712&lt;=90,"75-90")</f>
        <v>75-90</v>
      </c>
      <c r="M1712" t="str">
        <f>IF(Table1[[#This Row],[length_of_stay_days]]&gt;7,"Yes","No")</f>
        <v>Yes</v>
      </c>
    </row>
    <row r="1713" spans="1:13" x14ac:dyDescent="0.3">
      <c r="A1713" t="s">
        <v>2112</v>
      </c>
      <c r="B1713">
        <v>39</v>
      </c>
      <c r="C1713" t="s">
        <v>20</v>
      </c>
      <c r="D1713" t="s">
        <v>55</v>
      </c>
      <c r="E1713" t="s">
        <v>28</v>
      </c>
      <c r="F1713" t="s">
        <v>831</v>
      </c>
      <c r="G1713" t="s">
        <v>451</v>
      </c>
      <c r="H1713">
        <v>7</v>
      </c>
      <c r="I1713" s="1">
        <v>10429.89</v>
      </c>
      <c r="J1713" t="s">
        <v>17</v>
      </c>
      <c r="K1713" t="s">
        <v>18</v>
      </c>
      <c r="L1713" t="str" cm="1">
        <f t="array" ref="L1713">_xlfn.IFS(B1713&lt;30,"18-29",B1713&lt;45,"30-44",B1713&lt;60,"45-59",B1713&lt;75,"60-74",B1713&lt;=90,"75-90")</f>
        <v>30-44</v>
      </c>
      <c r="M1713" t="str">
        <f>IF(Table1[[#This Row],[length_of_stay_days]]&gt;7,"Yes","No")</f>
        <v>No</v>
      </c>
    </row>
    <row r="1714" spans="1:13" x14ac:dyDescent="0.3">
      <c r="A1714" t="s">
        <v>2113</v>
      </c>
      <c r="B1714">
        <v>18</v>
      </c>
      <c r="C1714" t="s">
        <v>20</v>
      </c>
      <c r="D1714" t="s">
        <v>13</v>
      </c>
      <c r="E1714" t="s">
        <v>14</v>
      </c>
      <c r="F1714" t="s">
        <v>378</v>
      </c>
      <c r="G1714" t="s">
        <v>140</v>
      </c>
      <c r="H1714">
        <v>5</v>
      </c>
      <c r="I1714" s="1">
        <v>7022.13</v>
      </c>
      <c r="J1714" t="s">
        <v>17</v>
      </c>
      <c r="K1714" t="s">
        <v>18</v>
      </c>
      <c r="L1714" t="str" cm="1">
        <f t="array" ref="L1714">_xlfn.IFS(B1714&lt;30,"18-29",B1714&lt;45,"30-44",B1714&lt;60,"45-59",B1714&lt;75,"60-74",B1714&lt;=90,"75-90")</f>
        <v>18-29</v>
      </c>
      <c r="M1714" t="str">
        <f>IF(Table1[[#This Row],[length_of_stay_days]]&gt;7,"Yes","No")</f>
        <v>No</v>
      </c>
    </row>
    <row r="1715" spans="1:13" x14ac:dyDescent="0.3">
      <c r="A1715" t="s">
        <v>2114</v>
      </c>
      <c r="B1715">
        <v>83</v>
      </c>
      <c r="C1715" t="s">
        <v>20</v>
      </c>
      <c r="D1715" t="s">
        <v>13</v>
      </c>
      <c r="E1715" t="s">
        <v>28</v>
      </c>
      <c r="F1715" t="s">
        <v>390</v>
      </c>
      <c r="G1715" t="s">
        <v>205</v>
      </c>
      <c r="H1715">
        <v>5</v>
      </c>
      <c r="I1715" s="1">
        <v>7080.46</v>
      </c>
      <c r="J1715" t="s">
        <v>17</v>
      </c>
      <c r="K1715" t="s">
        <v>18</v>
      </c>
      <c r="L1715" t="str" cm="1">
        <f t="array" ref="L1715">_xlfn.IFS(B1715&lt;30,"18-29",B1715&lt;45,"30-44",B1715&lt;60,"45-59",B1715&lt;75,"60-74",B1715&lt;=90,"75-90")</f>
        <v>75-90</v>
      </c>
      <c r="M1715" t="str">
        <f>IF(Table1[[#This Row],[length_of_stay_days]]&gt;7,"Yes","No")</f>
        <v>No</v>
      </c>
    </row>
    <row r="1716" spans="1:13" x14ac:dyDescent="0.3">
      <c r="A1716" t="s">
        <v>2115</v>
      </c>
      <c r="B1716">
        <v>30</v>
      </c>
      <c r="C1716" t="s">
        <v>20</v>
      </c>
      <c r="D1716" t="s">
        <v>55</v>
      </c>
      <c r="E1716" t="s">
        <v>14</v>
      </c>
      <c r="F1716" t="s">
        <v>827</v>
      </c>
      <c r="G1716" t="s">
        <v>190</v>
      </c>
      <c r="H1716">
        <v>3</v>
      </c>
      <c r="I1716" s="1">
        <v>5596.21</v>
      </c>
      <c r="J1716" t="s">
        <v>17</v>
      </c>
      <c r="K1716" t="s">
        <v>18</v>
      </c>
      <c r="L1716" t="str" cm="1">
        <f t="array" ref="L1716">_xlfn.IFS(B1716&lt;30,"18-29",B1716&lt;45,"30-44",B1716&lt;60,"45-59",B1716&lt;75,"60-74",B1716&lt;=90,"75-90")</f>
        <v>30-44</v>
      </c>
      <c r="M1716" t="str">
        <f>IF(Table1[[#This Row],[length_of_stay_days]]&gt;7,"Yes","No")</f>
        <v>No</v>
      </c>
    </row>
    <row r="1717" spans="1:13" x14ac:dyDescent="0.3">
      <c r="A1717" t="s">
        <v>2116</v>
      </c>
      <c r="B1717">
        <v>46</v>
      </c>
      <c r="C1717" t="s">
        <v>12</v>
      </c>
      <c r="D1717" t="s">
        <v>51</v>
      </c>
      <c r="E1717" t="s">
        <v>21</v>
      </c>
      <c r="F1717" t="s">
        <v>22</v>
      </c>
      <c r="G1717" t="s">
        <v>280</v>
      </c>
      <c r="H1717">
        <v>9</v>
      </c>
      <c r="I1717" s="1">
        <v>15896.35</v>
      </c>
      <c r="J1717" t="s">
        <v>17</v>
      </c>
      <c r="K1717" t="s">
        <v>18</v>
      </c>
      <c r="L1717" t="str" cm="1">
        <f t="array" ref="L1717">_xlfn.IFS(B1717&lt;30,"18-29",B1717&lt;45,"30-44",B1717&lt;60,"45-59",B1717&lt;75,"60-74",B1717&lt;=90,"75-90")</f>
        <v>45-59</v>
      </c>
      <c r="M1717" t="str">
        <f>IF(Table1[[#This Row],[length_of_stay_days]]&gt;7,"Yes","No")</f>
        <v>Yes</v>
      </c>
    </row>
    <row r="1718" spans="1:13" x14ac:dyDescent="0.3">
      <c r="A1718" t="s">
        <v>2117</v>
      </c>
      <c r="B1718">
        <v>78</v>
      </c>
      <c r="C1718" t="s">
        <v>20</v>
      </c>
      <c r="D1718" t="s">
        <v>32</v>
      </c>
      <c r="E1718" t="s">
        <v>28</v>
      </c>
      <c r="F1718" t="s">
        <v>360</v>
      </c>
      <c r="G1718" t="s">
        <v>155</v>
      </c>
      <c r="H1718">
        <v>8</v>
      </c>
      <c r="I1718" s="1">
        <v>11372.83</v>
      </c>
      <c r="J1718" t="s">
        <v>49</v>
      </c>
      <c r="K1718" t="s">
        <v>18</v>
      </c>
      <c r="L1718" t="str" cm="1">
        <f t="array" ref="L1718">_xlfn.IFS(B1718&lt;30,"18-29",B1718&lt;45,"30-44",B1718&lt;60,"45-59",B1718&lt;75,"60-74",B1718&lt;=90,"75-90")</f>
        <v>75-90</v>
      </c>
      <c r="M1718" t="str">
        <f>IF(Table1[[#This Row],[length_of_stay_days]]&gt;7,"Yes","No")</f>
        <v>Yes</v>
      </c>
    </row>
    <row r="1719" spans="1:13" x14ac:dyDescent="0.3">
      <c r="A1719" t="s">
        <v>2118</v>
      </c>
      <c r="B1719">
        <v>74</v>
      </c>
      <c r="C1719" t="s">
        <v>20</v>
      </c>
      <c r="D1719" t="s">
        <v>28</v>
      </c>
      <c r="E1719" t="s">
        <v>28</v>
      </c>
      <c r="F1719" t="s">
        <v>268</v>
      </c>
      <c r="G1719" t="s">
        <v>48</v>
      </c>
      <c r="H1719">
        <v>5</v>
      </c>
      <c r="I1719" s="1">
        <v>7672.21</v>
      </c>
      <c r="J1719" t="s">
        <v>17</v>
      </c>
      <c r="K1719" t="s">
        <v>18</v>
      </c>
      <c r="L1719" t="str" cm="1">
        <f t="array" ref="L1719">_xlfn.IFS(B1719&lt;30,"18-29",B1719&lt;45,"30-44",B1719&lt;60,"45-59",B1719&lt;75,"60-74",B1719&lt;=90,"75-90")</f>
        <v>60-74</v>
      </c>
      <c r="M1719" t="str">
        <f>IF(Table1[[#This Row],[length_of_stay_days]]&gt;7,"Yes","No")</f>
        <v>No</v>
      </c>
    </row>
    <row r="1720" spans="1:13" x14ac:dyDescent="0.3">
      <c r="A1720" t="s">
        <v>2119</v>
      </c>
      <c r="B1720">
        <v>75</v>
      </c>
      <c r="C1720" t="s">
        <v>12</v>
      </c>
      <c r="D1720" t="s">
        <v>13</v>
      </c>
      <c r="E1720" t="s">
        <v>21</v>
      </c>
      <c r="F1720" t="s">
        <v>140</v>
      </c>
      <c r="G1720" t="s">
        <v>493</v>
      </c>
      <c r="H1720">
        <v>8</v>
      </c>
      <c r="I1720" s="1">
        <v>9958.65</v>
      </c>
      <c r="J1720" t="s">
        <v>17</v>
      </c>
      <c r="K1720" t="s">
        <v>18</v>
      </c>
      <c r="L1720" t="str" cm="1">
        <f t="array" ref="L1720">_xlfn.IFS(B1720&lt;30,"18-29",B1720&lt;45,"30-44",B1720&lt;60,"45-59",B1720&lt;75,"60-74",B1720&lt;=90,"75-90")</f>
        <v>75-90</v>
      </c>
      <c r="M1720" t="str">
        <f>IF(Table1[[#This Row],[length_of_stay_days]]&gt;7,"Yes","No")</f>
        <v>Yes</v>
      </c>
    </row>
    <row r="1721" spans="1:13" x14ac:dyDescent="0.3">
      <c r="A1721" t="s">
        <v>2120</v>
      </c>
      <c r="B1721">
        <v>32</v>
      </c>
      <c r="C1721" t="s">
        <v>12</v>
      </c>
      <c r="D1721" t="s">
        <v>13</v>
      </c>
      <c r="E1721" t="s">
        <v>21</v>
      </c>
      <c r="F1721" t="s">
        <v>108</v>
      </c>
      <c r="G1721" t="s">
        <v>256</v>
      </c>
      <c r="H1721">
        <v>5</v>
      </c>
      <c r="I1721" s="1">
        <v>8383.98</v>
      </c>
      <c r="J1721" t="s">
        <v>17</v>
      </c>
      <c r="K1721" t="s">
        <v>18</v>
      </c>
      <c r="L1721" t="str" cm="1">
        <f t="array" ref="L1721">_xlfn.IFS(B1721&lt;30,"18-29",B1721&lt;45,"30-44",B1721&lt;60,"45-59",B1721&lt;75,"60-74",B1721&lt;=90,"75-90")</f>
        <v>30-44</v>
      </c>
      <c r="M1721" t="str">
        <f>IF(Table1[[#This Row],[length_of_stay_days]]&gt;7,"Yes","No")</f>
        <v>No</v>
      </c>
    </row>
    <row r="1722" spans="1:13" x14ac:dyDescent="0.3">
      <c r="A1722" t="s">
        <v>2121</v>
      </c>
      <c r="B1722">
        <v>69</v>
      </c>
      <c r="C1722" t="s">
        <v>20</v>
      </c>
      <c r="D1722" t="s">
        <v>46</v>
      </c>
      <c r="E1722" t="s">
        <v>28</v>
      </c>
      <c r="F1722" t="s">
        <v>295</v>
      </c>
      <c r="G1722" t="s">
        <v>367</v>
      </c>
      <c r="H1722">
        <v>9</v>
      </c>
      <c r="I1722" s="1">
        <v>15519.48</v>
      </c>
      <c r="J1722" t="s">
        <v>17</v>
      </c>
      <c r="K1722" t="s">
        <v>18</v>
      </c>
      <c r="L1722" t="str" cm="1">
        <f t="array" ref="L1722">_xlfn.IFS(B1722&lt;30,"18-29",B1722&lt;45,"30-44",B1722&lt;60,"45-59",B1722&lt;75,"60-74",B1722&lt;=90,"75-90")</f>
        <v>60-74</v>
      </c>
      <c r="M1722" t="str">
        <f>IF(Table1[[#This Row],[length_of_stay_days]]&gt;7,"Yes","No")</f>
        <v>Yes</v>
      </c>
    </row>
    <row r="1723" spans="1:13" x14ac:dyDescent="0.3">
      <c r="A1723" t="s">
        <v>2122</v>
      </c>
      <c r="B1723">
        <v>67</v>
      </c>
      <c r="C1723" t="s">
        <v>20</v>
      </c>
      <c r="D1723" t="s">
        <v>28</v>
      </c>
      <c r="E1723" t="s">
        <v>14</v>
      </c>
      <c r="F1723" t="s">
        <v>451</v>
      </c>
      <c r="G1723" t="s">
        <v>352</v>
      </c>
      <c r="H1723">
        <v>4</v>
      </c>
      <c r="I1723" s="1">
        <v>5555.31</v>
      </c>
      <c r="J1723" t="s">
        <v>17</v>
      </c>
      <c r="K1723" t="s">
        <v>18</v>
      </c>
      <c r="L1723" t="str" cm="1">
        <f t="array" ref="L1723">_xlfn.IFS(B1723&lt;30,"18-29",B1723&lt;45,"30-44",B1723&lt;60,"45-59",B1723&lt;75,"60-74",B1723&lt;=90,"75-90")</f>
        <v>60-74</v>
      </c>
      <c r="M1723" t="str">
        <f>IF(Table1[[#This Row],[length_of_stay_days]]&gt;7,"Yes","No")</f>
        <v>No</v>
      </c>
    </row>
    <row r="1724" spans="1:13" x14ac:dyDescent="0.3">
      <c r="A1724" t="s">
        <v>2123</v>
      </c>
      <c r="B1724">
        <v>76</v>
      </c>
      <c r="C1724" t="s">
        <v>20</v>
      </c>
      <c r="D1724" t="s">
        <v>55</v>
      </c>
      <c r="E1724" t="s">
        <v>28</v>
      </c>
      <c r="F1724" t="s">
        <v>633</v>
      </c>
      <c r="G1724" t="s">
        <v>767</v>
      </c>
      <c r="H1724">
        <v>7</v>
      </c>
      <c r="I1724" s="1">
        <v>8739.91</v>
      </c>
      <c r="J1724" t="s">
        <v>49</v>
      </c>
      <c r="K1724" t="s">
        <v>18</v>
      </c>
      <c r="L1724" t="str" cm="1">
        <f t="array" ref="L1724">_xlfn.IFS(B1724&lt;30,"18-29",B1724&lt;45,"30-44",B1724&lt;60,"45-59",B1724&lt;75,"60-74",B1724&lt;=90,"75-90")</f>
        <v>75-90</v>
      </c>
      <c r="M1724" t="str">
        <f>IF(Table1[[#This Row],[length_of_stay_days]]&gt;7,"Yes","No")</f>
        <v>No</v>
      </c>
    </row>
    <row r="1725" spans="1:13" x14ac:dyDescent="0.3">
      <c r="A1725" t="s">
        <v>2124</v>
      </c>
      <c r="B1725">
        <v>32</v>
      </c>
      <c r="C1725" t="s">
        <v>20</v>
      </c>
      <c r="D1725" t="s">
        <v>28</v>
      </c>
      <c r="E1725" t="s">
        <v>21</v>
      </c>
      <c r="F1725" t="s">
        <v>421</v>
      </c>
      <c r="G1725" t="s">
        <v>767</v>
      </c>
      <c r="H1725">
        <v>2</v>
      </c>
      <c r="I1725" s="1">
        <v>4719.08</v>
      </c>
      <c r="J1725" t="s">
        <v>17</v>
      </c>
      <c r="K1725" t="s">
        <v>18</v>
      </c>
      <c r="L1725" t="str" cm="1">
        <f t="array" ref="L1725">_xlfn.IFS(B1725&lt;30,"18-29",B1725&lt;45,"30-44",B1725&lt;60,"45-59",B1725&lt;75,"60-74",B1725&lt;=90,"75-90")</f>
        <v>30-44</v>
      </c>
      <c r="M1725" t="str">
        <f>IF(Table1[[#This Row],[length_of_stay_days]]&gt;7,"Yes","No")</f>
        <v>No</v>
      </c>
    </row>
    <row r="1726" spans="1:13" x14ac:dyDescent="0.3">
      <c r="A1726" t="s">
        <v>2125</v>
      </c>
      <c r="B1726">
        <v>87</v>
      </c>
      <c r="C1726" t="s">
        <v>12</v>
      </c>
      <c r="D1726" t="s">
        <v>55</v>
      </c>
      <c r="E1726" t="s">
        <v>21</v>
      </c>
      <c r="F1726" t="s">
        <v>200</v>
      </c>
      <c r="G1726" t="s">
        <v>787</v>
      </c>
      <c r="H1726">
        <v>8</v>
      </c>
      <c r="I1726" s="1">
        <v>11922.93</v>
      </c>
      <c r="J1726" t="s">
        <v>49</v>
      </c>
      <c r="K1726" t="s">
        <v>18</v>
      </c>
      <c r="L1726" t="str" cm="1">
        <f t="array" ref="L1726">_xlfn.IFS(B1726&lt;30,"18-29",B1726&lt;45,"30-44",B1726&lt;60,"45-59",B1726&lt;75,"60-74",B1726&lt;=90,"75-90")</f>
        <v>75-90</v>
      </c>
      <c r="M1726" t="str">
        <f>IF(Table1[[#This Row],[length_of_stay_days]]&gt;7,"Yes","No")</f>
        <v>Yes</v>
      </c>
    </row>
    <row r="1727" spans="1:13" x14ac:dyDescent="0.3">
      <c r="A1727" t="s">
        <v>2126</v>
      </c>
      <c r="B1727">
        <v>38</v>
      </c>
      <c r="C1727" t="s">
        <v>20</v>
      </c>
      <c r="D1727" t="s">
        <v>28</v>
      </c>
      <c r="E1727" t="s">
        <v>21</v>
      </c>
      <c r="F1727" t="s">
        <v>16</v>
      </c>
      <c r="G1727" t="s">
        <v>319</v>
      </c>
      <c r="H1727">
        <v>1</v>
      </c>
      <c r="I1727" s="1">
        <v>5840.44</v>
      </c>
      <c r="J1727" t="s">
        <v>17</v>
      </c>
      <c r="K1727" t="s">
        <v>18</v>
      </c>
      <c r="L1727" t="str" cm="1">
        <f t="array" ref="L1727">_xlfn.IFS(B1727&lt;30,"18-29",B1727&lt;45,"30-44",B1727&lt;60,"45-59",B1727&lt;75,"60-74",B1727&lt;=90,"75-90")</f>
        <v>30-44</v>
      </c>
      <c r="M1727" t="str">
        <f>IF(Table1[[#This Row],[length_of_stay_days]]&gt;7,"Yes","No")</f>
        <v>No</v>
      </c>
    </row>
    <row r="1728" spans="1:13" x14ac:dyDescent="0.3">
      <c r="A1728" t="s">
        <v>2127</v>
      </c>
      <c r="B1728">
        <v>24</v>
      </c>
      <c r="C1728" t="s">
        <v>20</v>
      </c>
      <c r="D1728" t="s">
        <v>51</v>
      </c>
      <c r="E1728" t="s">
        <v>14</v>
      </c>
      <c r="F1728" t="s">
        <v>565</v>
      </c>
      <c r="G1728" t="s">
        <v>155</v>
      </c>
      <c r="H1728">
        <v>6</v>
      </c>
      <c r="I1728" s="1">
        <v>9009.4699999999993</v>
      </c>
      <c r="J1728" t="s">
        <v>49</v>
      </c>
      <c r="K1728" t="s">
        <v>18</v>
      </c>
      <c r="L1728" t="str" cm="1">
        <f t="array" ref="L1728">_xlfn.IFS(B1728&lt;30,"18-29",B1728&lt;45,"30-44",B1728&lt;60,"45-59",B1728&lt;75,"60-74",B1728&lt;=90,"75-90")</f>
        <v>18-29</v>
      </c>
      <c r="M1728" t="str">
        <f>IF(Table1[[#This Row],[length_of_stay_days]]&gt;7,"Yes","No")</f>
        <v>No</v>
      </c>
    </row>
    <row r="1729" spans="1:13" x14ac:dyDescent="0.3">
      <c r="A1729" t="s">
        <v>2128</v>
      </c>
      <c r="B1729">
        <v>47</v>
      </c>
      <c r="C1729" t="s">
        <v>12</v>
      </c>
      <c r="D1729" t="s">
        <v>13</v>
      </c>
      <c r="E1729" t="s">
        <v>28</v>
      </c>
      <c r="F1729" t="s">
        <v>222</v>
      </c>
      <c r="G1729" t="s">
        <v>186</v>
      </c>
      <c r="H1729">
        <v>3</v>
      </c>
      <c r="I1729" s="1">
        <v>5404.86</v>
      </c>
      <c r="J1729" t="s">
        <v>17</v>
      </c>
      <c r="K1729" t="s">
        <v>18</v>
      </c>
      <c r="L1729" t="str" cm="1">
        <f t="array" ref="L1729">_xlfn.IFS(B1729&lt;30,"18-29",B1729&lt;45,"30-44",B1729&lt;60,"45-59",B1729&lt;75,"60-74",B1729&lt;=90,"75-90")</f>
        <v>45-59</v>
      </c>
      <c r="M1729" t="str">
        <f>IF(Table1[[#This Row],[length_of_stay_days]]&gt;7,"Yes","No")</f>
        <v>No</v>
      </c>
    </row>
    <row r="1730" spans="1:13" x14ac:dyDescent="0.3">
      <c r="A1730" t="s">
        <v>2129</v>
      </c>
      <c r="B1730">
        <v>65</v>
      </c>
      <c r="C1730" t="s">
        <v>20</v>
      </c>
      <c r="D1730" t="s">
        <v>55</v>
      </c>
      <c r="E1730" t="s">
        <v>14</v>
      </c>
      <c r="F1730" t="s">
        <v>895</v>
      </c>
      <c r="G1730" t="s">
        <v>386</v>
      </c>
      <c r="H1730">
        <v>4</v>
      </c>
      <c r="I1730" s="1">
        <v>9097.4599999999991</v>
      </c>
      <c r="J1730" t="s">
        <v>17</v>
      </c>
      <c r="K1730" t="s">
        <v>18</v>
      </c>
      <c r="L1730" t="str" cm="1">
        <f t="array" ref="L1730">_xlfn.IFS(B1730&lt;30,"18-29",B1730&lt;45,"30-44",B1730&lt;60,"45-59",B1730&lt;75,"60-74",B1730&lt;=90,"75-90")</f>
        <v>60-74</v>
      </c>
      <c r="M1730" t="str">
        <f>IF(Table1[[#This Row],[length_of_stay_days]]&gt;7,"Yes","No")</f>
        <v>No</v>
      </c>
    </row>
    <row r="1731" spans="1:13" x14ac:dyDescent="0.3">
      <c r="A1731" t="s">
        <v>2130</v>
      </c>
      <c r="B1731">
        <v>85</v>
      </c>
      <c r="C1731" t="s">
        <v>20</v>
      </c>
      <c r="D1731" t="s">
        <v>55</v>
      </c>
      <c r="E1731" t="s">
        <v>21</v>
      </c>
      <c r="F1731" t="s">
        <v>151</v>
      </c>
      <c r="G1731" t="s">
        <v>288</v>
      </c>
      <c r="H1731">
        <v>4</v>
      </c>
      <c r="I1731" s="1">
        <v>7973.29</v>
      </c>
      <c r="J1731" t="s">
        <v>49</v>
      </c>
      <c r="K1731" t="s">
        <v>18</v>
      </c>
      <c r="L1731" t="str" cm="1">
        <f t="array" ref="L1731">_xlfn.IFS(B1731&lt;30,"18-29",B1731&lt;45,"30-44",B1731&lt;60,"45-59",B1731&lt;75,"60-74",B1731&lt;=90,"75-90")</f>
        <v>75-90</v>
      </c>
      <c r="M1731" t="str">
        <f>IF(Table1[[#This Row],[length_of_stay_days]]&gt;7,"Yes","No")</f>
        <v>No</v>
      </c>
    </row>
    <row r="1732" spans="1:13" x14ac:dyDescent="0.3">
      <c r="A1732" t="s">
        <v>2131</v>
      </c>
      <c r="B1732">
        <v>71</v>
      </c>
      <c r="C1732" t="s">
        <v>20</v>
      </c>
      <c r="D1732" t="s">
        <v>55</v>
      </c>
      <c r="E1732" t="s">
        <v>14</v>
      </c>
      <c r="F1732" t="s">
        <v>217</v>
      </c>
      <c r="G1732" t="s">
        <v>264</v>
      </c>
      <c r="H1732">
        <v>5</v>
      </c>
      <c r="I1732" s="1">
        <v>9823.34</v>
      </c>
      <c r="J1732" t="s">
        <v>49</v>
      </c>
      <c r="K1732" t="s">
        <v>18</v>
      </c>
      <c r="L1732" t="str" cm="1">
        <f t="array" ref="L1732">_xlfn.IFS(B1732&lt;30,"18-29",B1732&lt;45,"30-44",B1732&lt;60,"45-59",B1732&lt;75,"60-74",B1732&lt;=90,"75-90")</f>
        <v>60-74</v>
      </c>
      <c r="M1732" t="str">
        <f>IF(Table1[[#This Row],[length_of_stay_days]]&gt;7,"Yes","No")</f>
        <v>No</v>
      </c>
    </row>
    <row r="1733" spans="1:13" x14ac:dyDescent="0.3">
      <c r="A1733" t="s">
        <v>2132</v>
      </c>
      <c r="B1733">
        <v>45</v>
      </c>
      <c r="C1733" t="s">
        <v>20</v>
      </c>
      <c r="D1733" t="s">
        <v>46</v>
      </c>
      <c r="E1733" t="s">
        <v>21</v>
      </c>
      <c r="F1733" t="s">
        <v>829</v>
      </c>
      <c r="G1733" t="s">
        <v>29</v>
      </c>
      <c r="H1733">
        <v>9</v>
      </c>
      <c r="I1733" s="1">
        <v>17922.439999999999</v>
      </c>
      <c r="J1733" t="s">
        <v>49</v>
      </c>
      <c r="K1733" t="s">
        <v>18</v>
      </c>
      <c r="L1733" t="str" cm="1">
        <f t="array" ref="L1733">_xlfn.IFS(B1733&lt;30,"18-29",B1733&lt;45,"30-44",B1733&lt;60,"45-59",B1733&lt;75,"60-74",B1733&lt;=90,"75-90")</f>
        <v>45-59</v>
      </c>
      <c r="M1733" t="str">
        <f>IF(Table1[[#This Row],[length_of_stay_days]]&gt;7,"Yes","No")</f>
        <v>Yes</v>
      </c>
    </row>
    <row r="1734" spans="1:13" x14ac:dyDescent="0.3">
      <c r="A1734" t="s">
        <v>2133</v>
      </c>
      <c r="B1734">
        <v>42</v>
      </c>
      <c r="C1734" t="s">
        <v>20</v>
      </c>
      <c r="D1734" t="s">
        <v>51</v>
      </c>
      <c r="E1734" t="s">
        <v>28</v>
      </c>
      <c r="F1734" t="s">
        <v>241</v>
      </c>
      <c r="G1734" t="s">
        <v>344</v>
      </c>
      <c r="H1734">
        <v>9</v>
      </c>
      <c r="I1734" s="1">
        <v>12416</v>
      </c>
      <c r="J1734" t="s">
        <v>49</v>
      </c>
      <c r="K1734" t="s">
        <v>18</v>
      </c>
      <c r="L1734" t="str" cm="1">
        <f t="array" ref="L1734">_xlfn.IFS(B1734&lt;30,"18-29",B1734&lt;45,"30-44",B1734&lt;60,"45-59",B1734&lt;75,"60-74",B1734&lt;=90,"75-90")</f>
        <v>30-44</v>
      </c>
      <c r="M1734" t="str">
        <f>IF(Table1[[#This Row],[length_of_stay_days]]&gt;7,"Yes","No")</f>
        <v>Yes</v>
      </c>
    </row>
    <row r="1735" spans="1:13" x14ac:dyDescent="0.3">
      <c r="A1735" t="s">
        <v>2134</v>
      </c>
      <c r="B1735">
        <v>75</v>
      </c>
      <c r="C1735" t="s">
        <v>20</v>
      </c>
      <c r="D1735" t="s">
        <v>55</v>
      </c>
      <c r="E1735" t="s">
        <v>28</v>
      </c>
      <c r="F1735" t="s">
        <v>625</v>
      </c>
      <c r="G1735" t="s">
        <v>130</v>
      </c>
      <c r="H1735">
        <v>4</v>
      </c>
      <c r="I1735" s="1">
        <v>9698.76</v>
      </c>
      <c r="J1735" t="s">
        <v>17</v>
      </c>
      <c r="K1735" t="s">
        <v>18</v>
      </c>
      <c r="L1735" t="str" cm="1">
        <f t="array" ref="L1735">_xlfn.IFS(B1735&lt;30,"18-29",B1735&lt;45,"30-44",B1735&lt;60,"45-59",B1735&lt;75,"60-74",B1735&lt;=90,"75-90")</f>
        <v>75-90</v>
      </c>
      <c r="M1735" t="str">
        <f>IF(Table1[[#This Row],[length_of_stay_days]]&gt;7,"Yes","No")</f>
        <v>No</v>
      </c>
    </row>
    <row r="1736" spans="1:13" x14ac:dyDescent="0.3">
      <c r="A1736" t="s">
        <v>2135</v>
      </c>
      <c r="B1736">
        <v>65</v>
      </c>
      <c r="C1736" t="s">
        <v>12</v>
      </c>
      <c r="D1736" t="s">
        <v>51</v>
      </c>
      <c r="E1736" t="s">
        <v>28</v>
      </c>
      <c r="F1736" t="s">
        <v>228</v>
      </c>
      <c r="G1736" t="s">
        <v>39</v>
      </c>
      <c r="H1736">
        <v>10</v>
      </c>
      <c r="I1736" s="1">
        <v>13012.28</v>
      </c>
      <c r="J1736" t="s">
        <v>17</v>
      </c>
      <c r="K1736" t="s">
        <v>18</v>
      </c>
      <c r="L1736" t="str" cm="1">
        <f t="array" ref="L1736">_xlfn.IFS(B1736&lt;30,"18-29",B1736&lt;45,"30-44",B1736&lt;60,"45-59",B1736&lt;75,"60-74",B1736&lt;=90,"75-90")</f>
        <v>60-74</v>
      </c>
      <c r="M1736" t="str">
        <f>IF(Table1[[#This Row],[length_of_stay_days]]&gt;7,"Yes","No")</f>
        <v>Yes</v>
      </c>
    </row>
    <row r="1737" spans="1:13" x14ac:dyDescent="0.3">
      <c r="A1737" t="s">
        <v>2136</v>
      </c>
      <c r="B1737">
        <v>43</v>
      </c>
      <c r="C1737" t="s">
        <v>12</v>
      </c>
      <c r="D1737" t="s">
        <v>13</v>
      </c>
      <c r="E1737" t="s">
        <v>28</v>
      </c>
      <c r="F1737" t="s">
        <v>201</v>
      </c>
      <c r="G1737" t="s">
        <v>428</v>
      </c>
      <c r="H1737">
        <v>7</v>
      </c>
      <c r="I1737" s="1">
        <v>10001.780000000001</v>
      </c>
      <c r="J1737" t="s">
        <v>17</v>
      </c>
      <c r="K1737" t="s">
        <v>18</v>
      </c>
      <c r="L1737" t="str" cm="1">
        <f t="array" ref="L1737">_xlfn.IFS(B1737&lt;30,"18-29",B1737&lt;45,"30-44",B1737&lt;60,"45-59",B1737&lt;75,"60-74",B1737&lt;=90,"75-90")</f>
        <v>30-44</v>
      </c>
      <c r="M1737" t="str">
        <f>IF(Table1[[#This Row],[length_of_stay_days]]&gt;7,"Yes","No")</f>
        <v>No</v>
      </c>
    </row>
    <row r="1738" spans="1:13" x14ac:dyDescent="0.3">
      <c r="A1738" t="s">
        <v>2137</v>
      </c>
      <c r="B1738">
        <v>76</v>
      </c>
      <c r="C1738" t="s">
        <v>70</v>
      </c>
      <c r="D1738" t="s">
        <v>51</v>
      </c>
      <c r="E1738" t="s">
        <v>28</v>
      </c>
      <c r="F1738" t="s">
        <v>371</v>
      </c>
      <c r="G1738" t="s">
        <v>235</v>
      </c>
      <c r="H1738">
        <v>6</v>
      </c>
      <c r="I1738" s="1">
        <v>12621.12</v>
      </c>
      <c r="J1738" t="s">
        <v>49</v>
      </c>
      <c r="K1738" t="s">
        <v>18</v>
      </c>
      <c r="L1738" t="str" cm="1">
        <f t="array" ref="L1738">_xlfn.IFS(B1738&lt;30,"18-29",B1738&lt;45,"30-44",B1738&lt;60,"45-59",B1738&lt;75,"60-74",B1738&lt;=90,"75-90")</f>
        <v>75-90</v>
      </c>
      <c r="M1738" t="str">
        <f>IF(Table1[[#This Row],[length_of_stay_days]]&gt;7,"Yes","No")</f>
        <v>No</v>
      </c>
    </row>
    <row r="1739" spans="1:13" x14ac:dyDescent="0.3">
      <c r="A1739" t="s">
        <v>2138</v>
      </c>
      <c r="B1739">
        <v>71</v>
      </c>
      <c r="C1739" t="s">
        <v>12</v>
      </c>
      <c r="D1739" t="s">
        <v>28</v>
      </c>
      <c r="E1739" t="s">
        <v>28</v>
      </c>
      <c r="F1739" t="s">
        <v>543</v>
      </c>
      <c r="G1739" t="s">
        <v>371</v>
      </c>
      <c r="H1739">
        <v>7</v>
      </c>
      <c r="I1739" s="1">
        <v>9414.59</v>
      </c>
      <c r="J1739" t="s">
        <v>17</v>
      </c>
      <c r="K1739" t="s">
        <v>18</v>
      </c>
      <c r="L1739" t="str" cm="1">
        <f t="array" ref="L1739">_xlfn.IFS(B1739&lt;30,"18-29",B1739&lt;45,"30-44",B1739&lt;60,"45-59",B1739&lt;75,"60-74",B1739&lt;=90,"75-90")</f>
        <v>60-74</v>
      </c>
      <c r="M1739" t="str">
        <f>IF(Table1[[#This Row],[length_of_stay_days]]&gt;7,"Yes","No")</f>
        <v>No</v>
      </c>
    </row>
    <row r="1740" spans="1:13" x14ac:dyDescent="0.3">
      <c r="A1740" t="s">
        <v>2139</v>
      </c>
      <c r="B1740">
        <v>25</v>
      </c>
      <c r="C1740" t="s">
        <v>12</v>
      </c>
      <c r="D1740" t="s">
        <v>55</v>
      </c>
      <c r="E1740" t="s">
        <v>28</v>
      </c>
      <c r="F1740" t="s">
        <v>366</v>
      </c>
      <c r="G1740" t="s">
        <v>295</v>
      </c>
      <c r="H1740">
        <v>2</v>
      </c>
      <c r="I1740" s="1">
        <v>8866.0499999999993</v>
      </c>
      <c r="J1740" t="s">
        <v>17</v>
      </c>
      <c r="K1740" t="s">
        <v>18</v>
      </c>
      <c r="L1740" t="str" cm="1">
        <f t="array" ref="L1740">_xlfn.IFS(B1740&lt;30,"18-29",B1740&lt;45,"30-44",B1740&lt;60,"45-59",B1740&lt;75,"60-74",B1740&lt;=90,"75-90")</f>
        <v>18-29</v>
      </c>
      <c r="M1740" t="str">
        <f>IF(Table1[[#This Row],[length_of_stay_days]]&gt;7,"Yes","No")</f>
        <v>No</v>
      </c>
    </row>
    <row r="1741" spans="1:13" x14ac:dyDescent="0.3">
      <c r="A1741" t="s">
        <v>2140</v>
      </c>
      <c r="B1741">
        <v>23</v>
      </c>
      <c r="C1741" t="s">
        <v>70</v>
      </c>
      <c r="D1741" t="s">
        <v>55</v>
      </c>
      <c r="E1741" t="s">
        <v>14</v>
      </c>
      <c r="F1741" t="s">
        <v>765</v>
      </c>
      <c r="G1741" t="s">
        <v>103</v>
      </c>
      <c r="H1741">
        <v>7</v>
      </c>
      <c r="I1741" s="1">
        <v>8327.73</v>
      </c>
      <c r="J1741" t="s">
        <v>17</v>
      </c>
      <c r="K1741" t="s">
        <v>18</v>
      </c>
      <c r="L1741" t="str" cm="1">
        <f t="array" ref="L1741">_xlfn.IFS(B1741&lt;30,"18-29",B1741&lt;45,"30-44",B1741&lt;60,"45-59",B1741&lt;75,"60-74",B1741&lt;=90,"75-90")</f>
        <v>18-29</v>
      </c>
      <c r="M1741" t="str">
        <f>IF(Table1[[#This Row],[length_of_stay_days]]&gt;7,"Yes","No")</f>
        <v>No</v>
      </c>
    </row>
    <row r="1742" spans="1:13" x14ac:dyDescent="0.3">
      <c r="A1742" t="s">
        <v>2141</v>
      </c>
      <c r="B1742">
        <v>52</v>
      </c>
      <c r="C1742" t="s">
        <v>20</v>
      </c>
      <c r="D1742" t="s">
        <v>13</v>
      </c>
      <c r="E1742" t="s">
        <v>28</v>
      </c>
      <c r="F1742" t="s">
        <v>453</v>
      </c>
      <c r="G1742" t="s">
        <v>98</v>
      </c>
      <c r="H1742">
        <v>6</v>
      </c>
      <c r="I1742" s="1">
        <v>6624</v>
      </c>
      <c r="J1742" t="s">
        <v>17</v>
      </c>
      <c r="K1742" t="s">
        <v>18</v>
      </c>
      <c r="L1742" t="str" cm="1">
        <f t="array" ref="L1742">_xlfn.IFS(B1742&lt;30,"18-29",B1742&lt;45,"30-44",B1742&lt;60,"45-59",B1742&lt;75,"60-74",B1742&lt;=90,"75-90")</f>
        <v>45-59</v>
      </c>
      <c r="M1742" t="str">
        <f>IF(Table1[[#This Row],[length_of_stay_days]]&gt;7,"Yes","No")</f>
        <v>No</v>
      </c>
    </row>
    <row r="1743" spans="1:13" x14ac:dyDescent="0.3">
      <c r="A1743" t="s">
        <v>2142</v>
      </c>
      <c r="B1743">
        <v>87</v>
      </c>
      <c r="C1743" t="s">
        <v>12</v>
      </c>
      <c r="D1743" t="s">
        <v>13</v>
      </c>
      <c r="E1743" t="s">
        <v>28</v>
      </c>
      <c r="F1743" t="s">
        <v>549</v>
      </c>
      <c r="G1743" t="s">
        <v>138</v>
      </c>
      <c r="H1743">
        <v>9</v>
      </c>
      <c r="I1743" s="1">
        <v>10321.86</v>
      </c>
      <c r="J1743" t="s">
        <v>49</v>
      </c>
      <c r="K1743" t="s">
        <v>18</v>
      </c>
      <c r="L1743" t="str" cm="1">
        <f t="array" ref="L1743">_xlfn.IFS(B1743&lt;30,"18-29",B1743&lt;45,"30-44",B1743&lt;60,"45-59",B1743&lt;75,"60-74",B1743&lt;=90,"75-90")</f>
        <v>75-90</v>
      </c>
      <c r="M1743" t="str">
        <f>IF(Table1[[#This Row],[length_of_stay_days]]&gt;7,"Yes","No")</f>
        <v>Yes</v>
      </c>
    </row>
    <row r="1744" spans="1:13" x14ac:dyDescent="0.3">
      <c r="A1744" t="s">
        <v>2143</v>
      </c>
      <c r="B1744">
        <v>38</v>
      </c>
      <c r="C1744" t="s">
        <v>20</v>
      </c>
      <c r="D1744" t="s">
        <v>51</v>
      </c>
      <c r="E1744" t="s">
        <v>14</v>
      </c>
      <c r="F1744" t="s">
        <v>111</v>
      </c>
      <c r="G1744" t="s">
        <v>288</v>
      </c>
      <c r="H1744">
        <v>8</v>
      </c>
      <c r="I1744" s="1">
        <v>13629.1</v>
      </c>
      <c r="J1744" t="s">
        <v>17</v>
      </c>
      <c r="K1744" t="s">
        <v>18</v>
      </c>
      <c r="L1744" t="str" cm="1">
        <f t="array" ref="L1744">_xlfn.IFS(B1744&lt;30,"18-29",B1744&lt;45,"30-44",B1744&lt;60,"45-59",B1744&lt;75,"60-74",B1744&lt;=90,"75-90")</f>
        <v>30-44</v>
      </c>
      <c r="M1744" t="str">
        <f>IF(Table1[[#This Row],[length_of_stay_days]]&gt;7,"Yes","No")</f>
        <v>Yes</v>
      </c>
    </row>
    <row r="1745" spans="1:13" x14ac:dyDescent="0.3">
      <c r="A1745" t="s">
        <v>2144</v>
      </c>
      <c r="B1745">
        <v>66</v>
      </c>
      <c r="C1745" t="s">
        <v>12</v>
      </c>
      <c r="D1745" t="s">
        <v>28</v>
      </c>
      <c r="E1745" t="s">
        <v>14</v>
      </c>
      <c r="F1745" t="s">
        <v>283</v>
      </c>
      <c r="G1745" t="s">
        <v>47</v>
      </c>
      <c r="H1745">
        <v>2</v>
      </c>
      <c r="I1745" s="1">
        <v>5366.92</v>
      </c>
      <c r="J1745" t="s">
        <v>49</v>
      </c>
      <c r="K1745" t="s">
        <v>18</v>
      </c>
      <c r="L1745" t="str" cm="1">
        <f t="array" ref="L1745">_xlfn.IFS(B1745&lt;30,"18-29",B1745&lt;45,"30-44",B1745&lt;60,"45-59",B1745&lt;75,"60-74",B1745&lt;=90,"75-90")</f>
        <v>60-74</v>
      </c>
      <c r="M1745" t="str">
        <f>IF(Table1[[#This Row],[length_of_stay_days]]&gt;7,"Yes","No")</f>
        <v>No</v>
      </c>
    </row>
    <row r="1746" spans="1:13" x14ac:dyDescent="0.3">
      <c r="A1746" t="s">
        <v>2145</v>
      </c>
      <c r="B1746">
        <v>39</v>
      </c>
      <c r="C1746" t="s">
        <v>20</v>
      </c>
      <c r="D1746" t="s">
        <v>55</v>
      </c>
      <c r="E1746" t="s">
        <v>28</v>
      </c>
      <c r="F1746" t="s">
        <v>95</v>
      </c>
      <c r="G1746" t="s">
        <v>381</v>
      </c>
      <c r="H1746">
        <v>7</v>
      </c>
      <c r="I1746" s="1">
        <v>12897.58</v>
      </c>
      <c r="J1746" t="s">
        <v>17</v>
      </c>
      <c r="K1746" t="s">
        <v>18</v>
      </c>
      <c r="L1746" t="str" cm="1">
        <f t="array" ref="L1746">_xlfn.IFS(B1746&lt;30,"18-29",B1746&lt;45,"30-44",B1746&lt;60,"45-59",B1746&lt;75,"60-74",B1746&lt;=90,"75-90")</f>
        <v>30-44</v>
      </c>
      <c r="M1746" t="str">
        <f>IF(Table1[[#This Row],[length_of_stay_days]]&gt;7,"Yes","No")</f>
        <v>No</v>
      </c>
    </row>
    <row r="1747" spans="1:13" x14ac:dyDescent="0.3">
      <c r="A1747" t="s">
        <v>2146</v>
      </c>
      <c r="B1747">
        <v>33</v>
      </c>
      <c r="C1747" t="s">
        <v>12</v>
      </c>
      <c r="D1747" t="s">
        <v>46</v>
      </c>
      <c r="E1747" t="s">
        <v>21</v>
      </c>
      <c r="F1747" t="s">
        <v>333</v>
      </c>
      <c r="G1747" t="s">
        <v>319</v>
      </c>
      <c r="H1747">
        <v>9</v>
      </c>
      <c r="I1747" s="1">
        <v>16530.98</v>
      </c>
      <c r="J1747" t="s">
        <v>17</v>
      </c>
      <c r="K1747" t="s">
        <v>18</v>
      </c>
      <c r="L1747" t="str" cm="1">
        <f t="array" ref="L1747">_xlfn.IFS(B1747&lt;30,"18-29",B1747&lt;45,"30-44",B1747&lt;60,"45-59",B1747&lt;75,"60-74",B1747&lt;=90,"75-90")</f>
        <v>30-44</v>
      </c>
      <c r="M1747" t="str">
        <f>IF(Table1[[#This Row],[length_of_stay_days]]&gt;7,"Yes","No")</f>
        <v>Yes</v>
      </c>
    </row>
    <row r="1748" spans="1:13" x14ac:dyDescent="0.3">
      <c r="A1748" t="s">
        <v>2147</v>
      </c>
      <c r="B1748">
        <v>69</v>
      </c>
      <c r="C1748" t="s">
        <v>12</v>
      </c>
      <c r="D1748" t="s">
        <v>28</v>
      </c>
      <c r="E1748" t="s">
        <v>28</v>
      </c>
      <c r="F1748" t="s">
        <v>372</v>
      </c>
      <c r="G1748" t="s">
        <v>410</v>
      </c>
      <c r="H1748">
        <v>3</v>
      </c>
      <c r="I1748" s="1">
        <v>4183</v>
      </c>
      <c r="J1748" t="s">
        <v>17</v>
      </c>
      <c r="K1748" t="s">
        <v>18</v>
      </c>
      <c r="L1748" t="str" cm="1">
        <f t="array" ref="L1748">_xlfn.IFS(B1748&lt;30,"18-29",B1748&lt;45,"30-44",B1748&lt;60,"45-59",B1748&lt;75,"60-74",B1748&lt;=90,"75-90")</f>
        <v>60-74</v>
      </c>
      <c r="M1748" t="str">
        <f>IF(Table1[[#This Row],[length_of_stay_days]]&gt;7,"Yes","No")</f>
        <v>No</v>
      </c>
    </row>
    <row r="1749" spans="1:13" x14ac:dyDescent="0.3">
      <c r="A1749" t="s">
        <v>2148</v>
      </c>
      <c r="B1749">
        <v>18</v>
      </c>
      <c r="C1749" t="s">
        <v>12</v>
      </c>
      <c r="D1749" t="s">
        <v>13</v>
      </c>
      <c r="E1749" t="s">
        <v>14</v>
      </c>
      <c r="F1749" t="s">
        <v>268</v>
      </c>
      <c r="G1749" t="s">
        <v>140</v>
      </c>
      <c r="H1749">
        <v>2</v>
      </c>
      <c r="I1749" s="1">
        <v>3571.43</v>
      </c>
      <c r="J1749" t="s">
        <v>17</v>
      </c>
      <c r="K1749" t="s">
        <v>18</v>
      </c>
      <c r="L1749" t="str" cm="1">
        <f t="array" ref="L1749">_xlfn.IFS(B1749&lt;30,"18-29",B1749&lt;45,"30-44",B1749&lt;60,"45-59",B1749&lt;75,"60-74",B1749&lt;=90,"75-90")</f>
        <v>18-29</v>
      </c>
      <c r="M1749" t="str">
        <f>IF(Table1[[#This Row],[length_of_stay_days]]&gt;7,"Yes","No")</f>
        <v>No</v>
      </c>
    </row>
    <row r="1750" spans="1:13" x14ac:dyDescent="0.3">
      <c r="A1750" t="s">
        <v>2149</v>
      </c>
      <c r="B1750">
        <v>58</v>
      </c>
      <c r="C1750" t="s">
        <v>12</v>
      </c>
      <c r="D1750" t="s">
        <v>55</v>
      </c>
      <c r="E1750" t="s">
        <v>14</v>
      </c>
      <c r="F1750" t="s">
        <v>503</v>
      </c>
      <c r="G1750" t="s">
        <v>579</v>
      </c>
      <c r="H1750">
        <v>4</v>
      </c>
      <c r="I1750" s="1">
        <v>11552.44</v>
      </c>
      <c r="J1750" t="s">
        <v>17</v>
      </c>
      <c r="K1750" t="s">
        <v>18</v>
      </c>
      <c r="L1750" t="str" cm="1">
        <f t="array" ref="L1750">_xlfn.IFS(B1750&lt;30,"18-29",B1750&lt;45,"30-44",B1750&lt;60,"45-59",B1750&lt;75,"60-74",B1750&lt;=90,"75-90")</f>
        <v>45-59</v>
      </c>
      <c r="M1750" t="str">
        <f>IF(Table1[[#This Row],[length_of_stay_days]]&gt;7,"Yes","No")</f>
        <v>No</v>
      </c>
    </row>
    <row r="1751" spans="1:13" x14ac:dyDescent="0.3">
      <c r="A1751" t="s">
        <v>2150</v>
      </c>
      <c r="B1751">
        <v>81</v>
      </c>
      <c r="C1751" t="s">
        <v>20</v>
      </c>
      <c r="D1751" t="s">
        <v>13</v>
      </c>
      <c r="E1751" t="s">
        <v>14</v>
      </c>
      <c r="F1751" t="s">
        <v>536</v>
      </c>
      <c r="G1751" t="s">
        <v>285</v>
      </c>
      <c r="H1751">
        <v>9</v>
      </c>
      <c r="I1751" s="1">
        <v>10848.54</v>
      </c>
      <c r="J1751" t="s">
        <v>17</v>
      </c>
      <c r="K1751" t="s">
        <v>18</v>
      </c>
      <c r="L1751" t="str" cm="1">
        <f t="array" ref="L1751">_xlfn.IFS(B1751&lt;30,"18-29",B1751&lt;45,"30-44",B1751&lt;60,"45-59",B1751&lt;75,"60-74",B1751&lt;=90,"75-90")</f>
        <v>75-90</v>
      </c>
      <c r="M1751" t="str">
        <f>IF(Table1[[#This Row],[length_of_stay_days]]&gt;7,"Yes","No")</f>
        <v>Yes</v>
      </c>
    </row>
    <row r="1752" spans="1:13" x14ac:dyDescent="0.3">
      <c r="A1752" t="s">
        <v>2151</v>
      </c>
      <c r="B1752">
        <v>77</v>
      </c>
      <c r="C1752" t="s">
        <v>12</v>
      </c>
      <c r="D1752" t="s">
        <v>28</v>
      </c>
      <c r="E1752" t="s">
        <v>28</v>
      </c>
      <c r="F1752" t="s">
        <v>335</v>
      </c>
      <c r="G1752" t="s">
        <v>767</v>
      </c>
      <c r="H1752">
        <v>5</v>
      </c>
      <c r="I1752" s="1">
        <v>6690.62</v>
      </c>
      <c r="J1752" t="s">
        <v>17</v>
      </c>
      <c r="K1752" t="s">
        <v>18</v>
      </c>
      <c r="L1752" t="str" cm="1">
        <f t="array" ref="L1752">_xlfn.IFS(B1752&lt;30,"18-29",B1752&lt;45,"30-44",B1752&lt;60,"45-59",B1752&lt;75,"60-74",B1752&lt;=90,"75-90")</f>
        <v>75-90</v>
      </c>
      <c r="M1752" t="str">
        <f>IF(Table1[[#This Row],[length_of_stay_days]]&gt;7,"Yes","No")</f>
        <v>No</v>
      </c>
    </row>
    <row r="1753" spans="1:13" x14ac:dyDescent="0.3">
      <c r="A1753" t="s">
        <v>2152</v>
      </c>
      <c r="B1753">
        <v>57</v>
      </c>
      <c r="C1753" t="s">
        <v>20</v>
      </c>
      <c r="D1753" t="s">
        <v>46</v>
      </c>
      <c r="E1753" t="s">
        <v>28</v>
      </c>
      <c r="F1753" t="s">
        <v>363</v>
      </c>
      <c r="G1753" t="s">
        <v>565</v>
      </c>
      <c r="H1753">
        <v>1</v>
      </c>
      <c r="I1753" s="1">
        <v>11141.1</v>
      </c>
      <c r="J1753" t="s">
        <v>17</v>
      </c>
      <c r="K1753" t="s">
        <v>18</v>
      </c>
      <c r="L1753" t="str" cm="1">
        <f t="array" ref="L1753">_xlfn.IFS(B1753&lt;30,"18-29",B1753&lt;45,"30-44",B1753&lt;60,"45-59",B1753&lt;75,"60-74",B1753&lt;=90,"75-90")</f>
        <v>45-59</v>
      </c>
      <c r="M1753" t="str">
        <f>IF(Table1[[#This Row],[length_of_stay_days]]&gt;7,"Yes","No")</f>
        <v>No</v>
      </c>
    </row>
    <row r="1754" spans="1:13" x14ac:dyDescent="0.3">
      <c r="A1754" t="s">
        <v>2153</v>
      </c>
      <c r="B1754">
        <v>58</v>
      </c>
      <c r="C1754" t="s">
        <v>12</v>
      </c>
      <c r="D1754" t="s">
        <v>51</v>
      </c>
      <c r="E1754" t="s">
        <v>28</v>
      </c>
      <c r="F1754" t="s">
        <v>807</v>
      </c>
      <c r="G1754" t="s">
        <v>34</v>
      </c>
      <c r="H1754">
        <v>7</v>
      </c>
      <c r="I1754" s="1">
        <v>10231.76</v>
      </c>
      <c r="J1754" t="s">
        <v>17</v>
      </c>
      <c r="K1754" t="s">
        <v>18</v>
      </c>
      <c r="L1754" t="str" cm="1">
        <f t="array" ref="L1754">_xlfn.IFS(B1754&lt;30,"18-29",B1754&lt;45,"30-44",B1754&lt;60,"45-59",B1754&lt;75,"60-74",B1754&lt;=90,"75-90")</f>
        <v>45-59</v>
      </c>
      <c r="M1754" t="str">
        <f>IF(Table1[[#This Row],[length_of_stay_days]]&gt;7,"Yes","No")</f>
        <v>No</v>
      </c>
    </row>
    <row r="1755" spans="1:13" x14ac:dyDescent="0.3">
      <c r="A1755" t="s">
        <v>2154</v>
      </c>
      <c r="B1755">
        <v>59</v>
      </c>
      <c r="C1755" t="s">
        <v>12</v>
      </c>
      <c r="D1755" t="s">
        <v>28</v>
      </c>
      <c r="E1755" t="s">
        <v>28</v>
      </c>
      <c r="F1755" t="s">
        <v>415</v>
      </c>
      <c r="G1755" t="s">
        <v>68</v>
      </c>
      <c r="H1755">
        <v>5</v>
      </c>
      <c r="I1755" s="1">
        <v>6756.45</v>
      </c>
      <c r="J1755" t="s">
        <v>17</v>
      </c>
      <c r="K1755" t="s">
        <v>18</v>
      </c>
      <c r="L1755" t="str" cm="1">
        <f t="array" ref="L1755">_xlfn.IFS(B1755&lt;30,"18-29",B1755&lt;45,"30-44",B1755&lt;60,"45-59",B1755&lt;75,"60-74",B1755&lt;=90,"75-90")</f>
        <v>45-59</v>
      </c>
      <c r="M1755" t="str">
        <f>IF(Table1[[#This Row],[length_of_stay_days]]&gt;7,"Yes","No")</f>
        <v>No</v>
      </c>
    </row>
    <row r="1756" spans="1:13" x14ac:dyDescent="0.3">
      <c r="A1756" t="s">
        <v>2155</v>
      </c>
      <c r="B1756">
        <v>30</v>
      </c>
      <c r="C1756" t="s">
        <v>20</v>
      </c>
      <c r="D1756" t="s">
        <v>13</v>
      </c>
      <c r="E1756" t="s">
        <v>14</v>
      </c>
      <c r="F1756" t="s">
        <v>827</v>
      </c>
      <c r="G1756" t="s">
        <v>141</v>
      </c>
      <c r="H1756">
        <v>2</v>
      </c>
      <c r="I1756" s="1">
        <v>5221.4799999999996</v>
      </c>
      <c r="J1756" t="s">
        <v>17</v>
      </c>
      <c r="K1756" t="s">
        <v>18</v>
      </c>
      <c r="L1756" t="str" cm="1">
        <f t="array" ref="L1756">_xlfn.IFS(B1756&lt;30,"18-29",B1756&lt;45,"30-44",B1756&lt;60,"45-59",B1756&lt;75,"60-74",B1756&lt;=90,"75-90")</f>
        <v>30-44</v>
      </c>
      <c r="M1756" t="str">
        <f>IF(Table1[[#This Row],[length_of_stay_days]]&gt;7,"Yes","No")</f>
        <v>No</v>
      </c>
    </row>
    <row r="1757" spans="1:13" x14ac:dyDescent="0.3">
      <c r="A1757" t="s">
        <v>2156</v>
      </c>
      <c r="B1757">
        <v>89</v>
      </c>
      <c r="C1757" t="s">
        <v>12</v>
      </c>
      <c r="D1757" t="s">
        <v>51</v>
      </c>
      <c r="E1757" t="s">
        <v>28</v>
      </c>
      <c r="F1757" t="s">
        <v>93</v>
      </c>
      <c r="G1757" t="s">
        <v>221</v>
      </c>
      <c r="H1757">
        <v>10</v>
      </c>
      <c r="I1757" s="1">
        <v>12294.74</v>
      </c>
      <c r="J1757" t="s">
        <v>17</v>
      </c>
      <c r="K1757" t="s">
        <v>18</v>
      </c>
      <c r="L1757" t="str" cm="1">
        <f t="array" ref="L1757">_xlfn.IFS(B1757&lt;30,"18-29",B1757&lt;45,"30-44",B1757&lt;60,"45-59",B1757&lt;75,"60-74",B1757&lt;=90,"75-90")</f>
        <v>75-90</v>
      </c>
      <c r="M1757" t="str">
        <f>IF(Table1[[#This Row],[length_of_stay_days]]&gt;7,"Yes","No")</f>
        <v>Yes</v>
      </c>
    </row>
    <row r="1758" spans="1:13" x14ac:dyDescent="0.3">
      <c r="A1758" t="s">
        <v>2157</v>
      </c>
      <c r="B1758">
        <v>77</v>
      </c>
      <c r="C1758" t="s">
        <v>12</v>
      </c>
      <c r="D1758" t="s">
        <v>55</v>
      </c>
      <c r="E1758" t="s">
        <v>28</v>
      </c>
      <c r="F1758" t="s">
        <v>616</v>
      </c>
      <c r="G1758" t="s">
        <v>342</v>
      </c>
      <c r="H1758">
        <v>2</v>
      </c>
      <c r="I1758" s="1">
        <v>10615.22</v>
      </c>
      <c r="J1758" t="s">
        <v>17</v>
      </c>
      <c r="K1758" t="s">
        <v>18</v>
      </c>
      <c r="L1758" t="str" cm="1">
        <f t="array" ref="L1758">_xlfn.IFS(B1758&lt;30,"18-29",B1758&lt;45,"30-44",B1758&lt;60,"45-59",B1758&lt;75,"60-74",B1758&lt;=90,"75-90")</f>
        <v>75-90</v>
      </c>
      <c r="M1758" t="str">
        <f>IF(Table1[[#This Row],[length_of_stay_days]]&gt;7,"Yes","No")</f>
        <v>No</v>
      </c>
    </row>
    <row r="1759" spans="1:13" x14ac:dyDescent="0.3">
      <c r="A1759" t="s">
        <v>2158</v>
      </c>
      <c r="B1759">
        <v>56</v>
      </c>
      <c r="C1759" t="s">
        <v>12</v>
      </c>
      <c r="D1759" t="s">
        <v>46</v>
      </c>
      <c r="E1759" t="s">
        <v>28</v>
      </c>
      <c r="F1759" t="s">
        <v>319</v>
      </c>
      <c r="G1759" t="s">
        <v>648</v>
      </c>
      <c r="H1759">
        <v>6</v>
      </c>
      <c r="I1759" s="1">
        <v>10776.44</v>
      </c>
      <c r="J1759" t="s">
        <v>17</v>
      </c>
      <c r="K1759" t="s">
        <v>18</v>
      </c>
      <c r="L1759" t="str" cm="1">
        <f t="array" ref="L1759">_xlfn.IFS(B1759&lt;30,"18-29",B1759&lt;45,"30-44",B1759&lt;60,"45-59",B1759&lt;75,"60-74",B1759&lt;=90,"75-90")</f>
        <v>45-59</v>
      </c>
      <c r="M1759" t="str">
        <f>IF(Table1[[#This Row],[length_of_stay_days]]&gt;7,"Yes","No")</f>
        <v>No</v>
      </c>
    </row>
    <row r="1760" spans="1:13" x14ac:dyDescent="0.3">
      <c r="A1760" t="s">
        <v>2159</v>
      </c>
      <c r="B1760">
        <v>51</v>
      </c>
      <c r="C1760" t="s">
        <v>12</v>
      </c>
      <c r="D1760" t="s">
        <v>32</v>
      </c>
      <c r="E1760" t="s">
        <v>28</v>
      </c>
      <c r="F1760" t="s">
        <v>447</v>
      </c>
      <c r="G1760" t="s">
        <v>629</v>
      </c>
      <c r="H1760">
        <v>9</v>
      </c>
      <c r="I1760" s="1">
        <v>14061.37</v>
      </c>
      <c r="J1760" t="s">
        <v>17</v>
      </c>
      <c r="K1760" t="s">
        <v>44</v>
      </c>
      <c r="L1760" t="str" cm="1">
        <f t="array" ref="L1760">_xlfn.IFS(B1760&lt;30,"18-29",B1760&lt;45,"30-44",B1760&lt;60,"45-59",B1760&lt;75,"60-74",B1760&lt;=90,"75-90")</f>
        <v>45-59</v>
      </c>
      <c r="M1760" t="str">
        <f>IF(Table1[[#This Row],[length_of_stay_days]]&gt;7,"Yes","No")</f>
        <v>Yes</v>
      </c>
    </row>
    <row r="1761" spans="1:13" x14ac:dyDescent="0.3">
      <c r="A1761" t="s">
        <v>2160</v>
      </c>
      <c r="B1761">
        <v>88</v>
      </c>
      <c r="C1761" t="s">
        <v>12</v>
      </c>
      <c r="D1761" t="s">
        <v>28</v>
      </c>
      <c r="E1761" t="s">
        <v>21</v>
      </c>
      <c r="F1761" t="s">
        <v>549</v>
      </c>
      <c r="G1761" t="s">
        <v>194</v>
      </c>
      <c r="H1761">
        <v>1</v>
      </c>
      <c r="I1761" s="1">
        <v>3938.69</v>
      </c>
      <c r="J1761" t="s">
        <v>17</v>
      </c>
      <c r="K1761" t="s">
        <v>18</v>
      </c>
      <c r="L1761" t="str" cm="1">
        <f t="array" ref="L1761">_xlfn.IFS(B1761&lt;30,"18-29",B1761&lt;45,"30-44",B1761&lt;60,"45-59",B1761&lt;75,"60-74",B1761&lt;=90,"75-90")</f>
        <v>75-90</v>
      </c>
      <c r="M1761" t="str">
        <f>IF(Table1[[#This Row],[length_of_stay_days]]&gt;7,"Yes","No")</f>
        <v>No</v>
      </c>
    </row>
    <row r="1762" spans="1:13" x14ac:dyDescent="0.3">
      <c r="A1762" t="s">
        <v>2161</v>
      </c>
      <c r="B1762">
        <v>63</v>
      </c>
      <c r="C1762" t="s">
        <v>20</v>
      </c>
      <c r="D1762" t="s">
        <v>46</v>
      </c>
      <c r="E1762" t="s">
        <v>28</v>
      </c>
      <c r="F1762" t="s">
        <v>396</v>
      </c>
      <c r="G1762" t="s">
        <v>130</v>
      </c>
      <c r="H1762">
        <v>5</v>
      </c>
      <c r="I1762" s="1">
        <v>13477.86</v>
      </c>
      <c r="J1762" t="s">
        <v>17</v>
      </c>
      <c r="K1762" t="s">
        <v>18</v>
      </c>
      <c r="L1762" t="str" cm="1">
        <f t="array" ref="L1762">_xlfn.IFS(B1762&lt;30,"18-29",B1762&lt;45,"30-44",B1762&lt;60,"45-59",B1762&lt;75,"60-74",B1762&lt;=90,"75-90")</f>
        <v>60-74</v>
      </c>
      <c r="M1762" t="str">
        <f>IF(Table1[[#This Row],[length_of_stay_days]]&gt;7,"Yes","No")</f>
        <v>No</v>
      </c>
    </row>
    <row r="1763" spans="1:13" x14ac:dyDescent="0.3">
      <c r="A1763" t="s">
        <v>2162</v>
      </c>
      <c r="B1763">
        <v>54</v>
      </c>
      <c r="C1763" t="s">
        <v>12</v>
      </c>
      <c r="D1763" t="s">
        <v>32</v>
      </c>
      <c r="E1763" t="s">
        <v>14</v>
      </c>
      <c r="F1763" t="s">
        <v>520</v>
      </c>
      <c r="G1763" t="s">
        <v>165</v>
      </c>
      <c r="H1763">
        <v>6</v>
      </c>
      <c r="I1763" s="1">
        <v>8191.8</v>
      </c>
      <c r="J1763" t="s">
        <v>17</v>
      </c>
      <c r="K1763" t="s">
        <v>18</v>
      </c>
      <c r="L1763" t="str" cm="1">
        <f t="array" ref="L1763">_xlfn.IFS(B1763&lt;30,"18-29",B1763&lt;45,"30-44",B1763&lt;60,"45-59",B1763&lt;75,"60-74",B1763&lt;=90,"75-90")</f>
        <v>45-59</v>
      </c>
      <c r="M1763" t="str">
        <f>IF(Table1[[#This Row],[length_of_stay_days]]&gt;7,"Yes","No")</f>
        <v>No</v>
      </c>
    </row>
    <row r="1764" spans="1:13" x14ac:dyDescent="0.3">
      <c r="A1764" t="s">
        <v>2163</v>
      </c>
      <c r="B1764">
        <v>81</v>
      </c>
      <c r="C1764" t="s">
        <v>20</v>
      </c>
      <c r="D1764" t="s">
        <v>28</v>
      </c>
      <c r="E1764" t="s">
        <v>14</v>
      </c>
      <c r="F1764" t="s">
        <v>350</v>
      </c>
      <c r="G1764" t="s">
        <v>87</v>
      </c>
      <c r="H1764">
        <v>2</v>
      </c>
      <c r="I1764" s="1">
        <v>3174.55</v>
      </c>
      <c r="J1764" t="s">
        <v>17</v>
      </c>
      <c r="K1764" t="s">
        <v>18</v>
      </c>
      <c r="L1764" t="str" cm="1">
        <f t="array" ref="L1764">_xlfn.IFS(B1764&lt;30,"18-29",B1764&lt;45,"30-44",B1764&lt;60,"45-59",B1764&lt;75,"60-74",B1764&lt;=90,"75-90")</f>
        <v>75-90</v>
      </c>
      <c r="M1764" t="str">
        <f>IF(Table1[[#This Row],[length_of_stay_days]]&gt;7,"Yes","No")</f>
        <v>No</v>
      </c>
    </row>
    <row r="1765" spans="1:13" x14ac:dyDescent="0.3">
      <c r="A1765" t="s">
        <v>2164</v>
      </c>
      <c r="B1765">
        <v>49</v>
      </c>
      <c r="C1765" t="s">
        <v>20</v>
      </c>
      <c r="D1765" t="s">
        <v>13</v>
      </c>
      <c r="E1765" t="s">
        <v>21</v>
      </c>
      <c r="F1765" t="s">
        <v>791</v>
      </c>
      <c r="G1765" t="s">
        <v>376</v>
      </c>
      <c r="H1765">
        <v>6</v>
      </c>
      <c r="I1765" s="1">
        <v>7580.99</v>
      </c>
      <c r="J1765" t="s">
        <v>17</v>
      </c>
      <c r="K1765" t="s">
        <v>18</v>
      </c>
      <c r="L1765" t="str" cm="1">
        <f t="array" ref="L1765">_xlfn.IFS(B1765&lt;30,"18-29",B1765&lt;45,"30-44",B1765&lt;60,"45-59",B1765&lt;75,"60-74",B1765&lt;=90,"75-90")</f>
        <v>45-59</v>
      </c>
      <c r="M1765" t="str">
        <f>IF(Table1[[#This Row],[length_of_stay_days]]&gt;7,"Yes","No")</f>
        <v>No</v>
      </c>
    </row>
    <row r="1766" spans="1:13" x14ac:dyDescent="0.3">
      <c r="A1766" t="s">
        <v>2165</v>
      </c>
      <c r="B1766">
        <v>41</v>
      </c>
      <c r="C1766" t="s">
        <v>20</v>
      </c>
      <c r="D1766" t="s">
        <v>28</v>
      </c>
      <c r="E1766" t="s">
        <v>28</v>
      </c>
      <c r="F1766" t="s">
        <v>335</v>
      </c>
      <c r="G1766" t="s">
        <v>421</v>
      </c>
      <c r="H1766">
        <v>3</v>
      </c>
      <c r="I1766" s="1">
        <v>3801.05</v>
      </c>
      <c r="J1766" t="s">
        <v>17</v>
      </c>
      <c r="K1766" t="s">
        <v>18</v>
      </c>
      <c r="L1766" t="str" cm="1">
        <f t="array" ref="L1766">_xlfn.IFS(B1766&lt;30,"18-29",B1766&lt;45,"30-44",B1766&lt;60,"45-59",B1766&lt;75,"60-74",B1766&lt;=90,"75-90")</f>
        <v>30-44</v>
      </c>
      <c r="M1766" t="str">
        <f>IF(Table1[[#This Row],[length_of_stay_days]]&gt;7,"Yes","No")</f>
        <v>No</v>
      </c>
    </row>
    <row r="1767" spans="1:13" x14ac:dyDescent="0.3">
      <c r="A1767" t="s">
        <v>2166</v>
      </c>
      <c r="B1767">
        <v>58</v>
      </c>
      <c r="C1767" t="s">
        <v>20</v>
      </c>
      <c r="D1767" t="s">
        <v>13</v>
      </c>
      <c r="E1767" t="s">
        <v>28</v>
      </c>
      <c r="F1767" t="s">
        <v>219</v>
      </c>
      <c r="G1767" t="s">
        <v>821</v>
      </c>
      <c r="H1767">
        <v>8</v>
      </c>
      <c r="I1767" s="1">
        <v>6660.86</v>
      </c>
      <c r="J1767" t="s">
        <v>17</v>
      </c>
      <c r="K1767" t="s">
        <v>18</v>
      </c>
      <c r="L1767" t="str" cm="1">
        <f t="array" ref="L1767">_xlfn.IFS(B1767&lt;30,"18-29",B1767&lt;45,"30-44",B1767&lt;60,"45-59",B1767&lt;75,"60-74",B1767&lt;=90,"75-90")</f>
        <v>45-59</v>
      </c>
      <c r="M1767" t="str">
        <f>IF(Table1[[#This Row],[length_of_stay_days]]&gt;7,"Yes","No")</f>
        <v>Yes</v>
      </c>
    </row>
    <row r="1768" spans="1:13" x14ac:dyDescent="0.3">
      <c r="A1768" t="s">
        <v>2167</v>
      </c>
      <c r="B1768">
        <v>61</v>
      </c>
      <c r="C1768" t="s">
        <v>20</v>
      </c>
      <c r="D1768" t="s">
        <v>32</v>
      </c>
      <c r="E1768" t="s">
        <v>14</v>
      </c>
      <c r="F1768" t="s">
        <v>787</v>
      </c>
      <c r="G1768" t="s">
        <v>428</v>
      </c>
      <c r="H1768">
        <v>4</v>
      </c>
      <c r="I1768" s="1">
        <v>9603.8799999999992</v>
      </c>
      <c r="J1768" t="s">
        <v>17</v>
      </c>
      <c r="K1768" t="s">
        <v>18</v>
      </c>
      <c r="L1768" t="str" cm="1">
        <f t="array" ref="L1768">_xlfn.IFS(B1768&lt;30,"18-29",B1768&lt;45,"30-44",B1768&lt;60,"45-59",B1768&lt;75,"60-74",B1768&lt;=90,"75-90")</f>
        <v>60-74</v>
      </c>
      <c r="M1768" t="str">
        <f>IF(Table1[[#This Row],[length_of_stay_days]]&gt;7,"Yes","No")</f>
        <v>No</v>
      </c>
    </row>
    <row r="1769" spans="1:13" x14ac:dyDescent="0.3">
      <c r="A1769" t="s">
        <v>2168</v>
      </c>
      <c r="B1769">
        <v>30</v>
      </c>
      <c r="C1769" t="s">
        <v>20</v>
      </c>
      <c r="D1769" t="s">
        <v>28</v>
      </c>
      <c r="E1769" t="s">
        <v>28</v>
      </c>
      <c r="F1769" t="s">
        <v>606</v>
      </c>
      <c r="G1769" t="s">
        <v>121</v>
      </c>
      <c r="H1769">
        <v>3</v>
      </c>
      <c r="I1769" s="1">
        <v>3951.85</v>
      </c>
      <c r="J1769" t="s">
        <v>17</v>
      </c>
      <c r="K1769" t="s">
        <v>18</v>
      </c>
      <c r="L1769" t="str" cm="1">
        <f t="array" ref="L1769">_xlfn.IFS(B1769&lt;30,"18-29",B1769&lt;45,"30-44",B1769&lt;60,"45-59",B1769&lt;75,"60-74",B1769&lt;=90,"75-90")</f>
        <v>30-44</v>
      </c>
      <c r="M1769" t="str">
        <f>IF(Table1[[#This Row],[length_of_stay_days]]&gt;7,"Yes","No")</f>
        <v>No</v>
      </c>
    </row>
    <row r="1770" spans="1:13" x14ac:dyDescent="0.3">
      <c r="A1770" t="s">
        <v>2169</v>
      </c>
      <c r="B1770">
        <v>23</v>
      </c>
      <c r="C1770" t="s">
        <v>20</v>
      </c>
      <c r="D1770" t="s">
        <v>51</v>
      </c>
      <c r="E1770" t="s">
        <v>28</v>
      </c>
      <c r="F1770" t="s">
        <v>26</v>
      </c>
      <c r="G1770" t="s">
        <v>229</v>
      </c>
      <c r="H1770">
        <v>8</v>
      </c>
      <c r="I1770" s="1">
        <v>12300.96</v>
      </c>
      <c r="J1770" t="s">
        <v>17</v>
      </c>
      <c r="K1770" t="s">
        <v>18</v>
      </c>
      <c r="L1770" t="str" cm="1">
        <f t="array" ref="L1770">_xlfn.IFS(B1770&lt;30,"18-29",B1770&lt;45,"30-44",B1770&lt;60,"45-59",B1770&lt;75,"60-74",B1770&lt;=90,"75-90")</f>
        <v>18-29</v>
      </c>
      <c r="M1770" t="str">
        <f>IF(Table1[[#This Row],[length_of_stay_days]]&gt;7,"Yes","No")</f>
        <v>Yes</v>
      </c>
    </row>
    <row r="1771" spans="1:13" x14ac:dyDescent="0.3">
      <c r="A1771" t="s">
        <v>2170</v>
      </c>
      <c r="B1771">
        <v>83</v>
      </c>
      <c r="C1771" t="s">
        <v>20</v>
      </c>
      <c r="D1771" t="s">
        <v>13</v>
      </c>
      <c r="E1771" t="s">
        <v>28</v>
      </c>
      <c r="F1771" t="s">
        <v>48</v>
      </c>
      <c r="H1771">
        <v>9</v>
      </c>
      <c r="I1771" s="1">
        <v>13169.31</v>
      </c>
      <c r="J1771" t="s">
        <v>17</v>
      </c>
      <c r="K1771" t="s">
        <v>18</v>
      </c>
      <c r="L1771" t="str" cm="1">
        <f t="array" ref="L1771">_xlfn.IFS(B1771&lt;30,"18-29",B1771&lt;45,"30-44",B1771&lt;60,"45-59",B1771&lt;75,"60-74",B1771&lt;=90,"75-90")</f>
        <v>75-90</v>
      </c>
      <c r="M1771" t="str">
        <f>IF(Table1[[#This Row],[length_of_stay_days]]&gt;7,"Yes","No")</f>
        <v>Yes</v>
      </c>
    </row>
    <row r="1772" spans="1:13" x14ac:dyDescent="0.3">
      <c r="A1772" t="s">
        <v>2171</v>
      </c>
      <c r="B1772">
        <v>77</v>
      </c>
      <c r="C1772" t="s">
        <v>12</v>
      </c>
      <c r="D1772" t="s">
        <v>51</v>
      </c>
      <c r="E1772" t="s">
        <v>14</v>
      </c>
      <c r="F1772" t="s">
        <v>169</v>
      </c>
      <c r="G1772" t="s">
        <v>64</v>
      </c>
      <c r="H1772">
        <v>7</v>
      </c>
      <c r="I1772" s="1">
        <v>13454.29</v>
      </c>
      <c r="J1772" t="s">
        <v>17</v>
      </c>
      <c r="K1772" t="s">
        <v>18</v>
      </c>
      <c r="L1772" t="str" cm="1">
        <f t="array" ref="L1772">_xlfn.IFS(B1772&lt;30,"18-29",B1772&lt;45,"30-44",B1772&lt;60,"45-59",B1772&lt;75,"60-74",B1772&lt;=90,"75-90")</f>
        <v>75-90</v>
      </c>
      <c r="M1772" t="str">
        <f>IF(Table1[[#This Row],[length_of_stay_days]]&gt;7,"Yes","No")</f>
        <v>No</v>
      </c>
    </row>
    <row r="1773" spans="1:13" x14ac:dyDescent="0.3">
      <c r="A1773" t="s">
        <v>2172</v>
      </c>
      <c r="B1773">
        <v>70</v>
      </c>
      <c r="C1773" t="s">
        <v>20</v>
      </c>
      <c r="D1773" t="s">
        <v>13</v>
      </c>
      <c r="E1773" t="s">
        <v>21</v>
      </c>
      <c r="F1773" t="s">
        <v>855</v>
      </c>
      <c r="G1773" t="s">
        <v>644</v>
      </c>
      <c r="H1773">
        <v>1</v>
      </c>
      <c r="I1773" s="1">
        <v>5856.37</v>
      </c>
      <c r="J1773" t="s">
        <v>49</v>
      </c>
      <c r="K1773" t="s">
        <v>18</v>
      </c>
      <c r="L1773" t="str" cm="1">
        <f t="array" ref="L1773">_xlfn.IFS(B1773&lt;30,"18-29",B1773&lt;45,"30-44",B1773&lt;60,"45-59",B1773&lt;75,"60-74",B1773&lt;=90,"75-90")</f>
        <v>60-74</v>
      </c>
      <c r="M1773" t="str">
        <f>IF(Table1[[#This Row],[length_of_stay_days]]&gt;7,"Yes","No")</f>
        <v>No</v>
      </c>
    </row>
    <row r="1774" spans="1:13" x14ac:dyDescent="0.3">
      <c r="A1774" t="s">
        <v>2173</v>
      </c>
      <c r="B1774">
        <v>20</v>
      </c>
      <c r="C1774" t="s">
        <v>12</v>
      </c>
      <c r="D1774" t="s">
        <v>32</v>
      </c>
      <c r="E1774" t="s">
        <v>28</v>
      </c>
      <c r="F1774" t="s">
        <v>241</v>
      </c>
      <c r="G1774" t="s">
        <v>68</v>
      </c>
      <c r="H1774">
        <v>6</v>
      </c>
      <c r="I1774" s="1">
        <v>13656.46</v>
      </c>
      <c r="J1774" t="s">
        <v>17</v>
      </c>
      <c r="K1774" t="s">
        <v>18</v>
      </c>
      <c r="L1774" t="str" cm="1">
        <f t="array" ref="L1774">_xlfn.IFS(B1774&lt;30,"18-29",B1774&lt;45,"30-44",B1774&lt;60,"45-59",B1774&lt;75,"60-74",B1774&lt;=90,"75-90")</f>
        <v>18-29</v>
      </c>
      <c r="M1774" t="str">
        <f>IF(Table1[[#This Row],[length_of_stay_days]]&gt;7,"Yes","No")</f>
        <v>No</v>
      </c>
    </row>
    <row r="1775" spans="1:13" x14ac:dyDescent="0.3">
      <c r="A1775" t="s">
        <v>2174</v>
      </c>
      <c r="B1775">
        <v>66</v>
      </c>
      <c r="C1775" t="s">
        <v>12</v>
      </c>
      <c r="D1775" t="s">
        <v>55</v>
      </c>
      <c r="E1775" t="s">
        <v>21</v>
      </c>
      <c r="F1775" t="s">
        <v>496</v>
      </c>
      <c r="G1775" t="s">
        <v>293</v>
      </c>
      <c r="H1775">
        <v>2</v>
      </c>
      <c r="I1775" s="1">
        <v>7898.75</v>
      </c>
      <c r="J1775" t="s">
        <v>17</v>
      </c>
      <c r="K1775" t="s">
        <v>18</v>
      </c>
      <c r="L1775" t="str" cm="1">
        <f t="array" ref="L1775">_xlfn.IFS(B1775&lt;30,"18-29",B1775&lt;45,"30-44",B1775&lt;60,"45-59",B1775&lt;75,"60-74",B1775&lt;=90,"75-90")</f>
        <v>60-74</v>
      </c>
      <c r="M1775" t="str">
        <f>IF(Table1[[#This Row],[length_of_stay_days]]&gt;7,"Yes","No")</f>
        <v>No</v>
      </c>
    </row>
    <row r="1776" spans="1:13" x14ac:dyDescent="0.3">
      <c r="A1776" t="s">
        <v>2175</v>
      </c>
      <c r="B1776">
        <v>39</v>
      </c>
      <c r="C1776" t="s">
        <v>20</v>
      </c>
      <c r="D1776" t="s">
        <v>13</v>
      </c>
      <c r="E1776" t="s">
        <v>21</v>
      </c>
      <c r="F1776" t="s">
        <v>364</v>
      </c>
      <c r="G1776" t="s">
        <v>330</v>
      </c>
      <c r="H1776">
        <v>6</v>
      </c>
      <c r="I1776" s="1">
        <v>9148.82</v>
      </c>
      <c r="J1776" t="s">
        <v>17</v>
      </c>
      <c r="K1776" t="s">
        <v>18</v>
      </c>
      <c r="L1776" t="str" cm="1">
        <f t="array" ref="L1776">_xlfn.IFS(B1776&lt;30,"18-29",B1776&lt;45,"30-44",B1776&lt;60,"45-59",B1776&lt;75,"60-74",B1776&lt;=90,"75-90")</f>
        <v>30-44</v>
      </c>
      <c r="M1776" t="str">
        <f>IF(Table1[[#This Row],[length_of_stay_days]]&gt;7,"Yes","No")</f>
        <v>No</v>
      </c>
    </row>
    <row r="1777" spans="1:13" x14ac:dyDescent="0.3">
      <c r="A1777" t="s">
        <v>2176</v>
      </c>
      <c r="B1777">
        <v>32</v>
      </c>
      <c r="C1777" t="s">
        <v>12</v>
      </c>
      <c r="D1777" t="s">
        <v>55</v>
      </c>
      <c r="E1777" t="s">
        <v>28</v>
      </c>
      <c r="F1777" t="s">
        <v>225</v>
      </c>
      <c r="H1777">
        <v>3</v>
      </c>
      <c r="I1777" s="1">
        <v>7769.34</v>
      </c>
      <c r="J1777" t="s">
        <v>17</v>
      </c>
      <c r="K1777" t="s">
        <v>18</v>
      </c>
      <c r="L1777" t="str" cm="1">
        <f t="array" ref="L1777">_xlfn.IFS(B1777&lt;30,"18-29",B1777&lt;45,"30-44",B1777&lt;60,"45-59",B1777&lt;75,"60-74",B1777&lt;=90,"75-90")</f>
        <v>30-44</v>
      </c>
      <c r="M1777" t="str">
        <f>IF(Table1[[#This Row],[length_of_stay_days]]&gt;7,"Yes","No")</f>
        <v>No</v>
      </c>
    </row>
    <row r="1778" spans="1:13" x14ac:dyDescent="0.3">
      <c r="A1778" t="s">
        <v>2177</v>
      </c>
      <c r="B1778">
        <v>52</v>
      </c>
      <c r="C1778" t="s">
        <v>12</v>
      </c>
      <c r="D1778" t="s">
        <v>28</v>
      </c>
      <c r="E1778" t="s">
        <v>28</v>
      </c>
      <c r="F1778" t="s">
        <v>95</v>
      </c>
      <c r="G1778" t="s">
        <v>376</v>
      </c>
      <c r="H1778">
        <v>2</v>
      </c>
      <c r="I1778" s="1">
        <v>5053.71</v>
      </c>
      <c r="J1778" t="s">
        <v>17</v>
      </c>
      <c r="K1778" t="s">
        <v>18</v>
      </c>
      <c r="L1778" t="str" cm="1">
        <f t="array" ref="L1778">_xlfn.IFS(B1778&lt;30,"18-29",B1778&lt;45,"30-44",B1778&lt;60,"45-59",B1778&lt;75,"60-74",B1778&lt;=90,"75-90")</f>
        <v>45-59</v>
      </c>
      <c r="M1778" t="str">
        <f>IF(Table1[[#This Row],[length_of_stay_days]]&gt;7,"Yes","No")</f>
        <v>No</v>
      </c>
    </row>
    <row r="1779" spans="1:13" x14ac:dyDescent="0.3">
      <c r="A1779" t="s">
        <v>2178</v>
      </c>
      <c r="B1779">
        <v>23</v>
      </c>
      <c r="C1779" t="s">
        <v>20</v>
      </c>
      <c r="D1779" t="s">
        <v>32</v>
      </c>
      <c r="E1779" t="s">
        <v>21</v>
      </c>
      <c r="F1779" t="s">
        <v>90</v>
      </c>
      <c r="G1779" t="s">
        <v>99</v>
      </c>
      <c r="H1779">
        <v>8</v>
      </c>
      <c r="I1779" s="1">
        <v>11973.7</v>
      </c>
      <c r="J1779" t="s">
        <v>17</v>
      </c>
      <c r="K1779" t="s">
        <v>18</v>
      </c>
      <c r="L1779" t="str" cm="1">
        <f t="array" ref="L1779">_xlfn.IFS(B1779&lt;30,"18-29",B1779&lt;45,"30-44",B1779&lt;60,"45-59",B1779&lt;75,"60-74",B1779&lt;=90,"75-90")</f>
        <v>18-29</v>
      </c>
      <c r="M1779" t="str">
        <f>IF(Table1[[#This Row],[length_of_stay_days]]&gt;7,"Yes","No")</f>
        <v>Yes</v>
      </c>
    </row>
    <row r="1780" spans="1:13" x14ac:dyDescent="0.3">
      <c r="A1780" t="s">
        <v>2179</v>
      </c>
      <c r="B1780">
        <v>25</v>
      </c>
      <c r="C1780" t="s">
        <v>12</v>
      </c>
      <c r="D1780" t="s">
        <v>51</v>
      </c>
      <c r="E1780" t="s">
        <v>28</v>
      </c>
      <c r="F1780" t="s">
        <v>493</v>
      </c>
      <c r="G1780" t="s">
        <v>173</v>
      </c>
      <c r="H1780">
        <v>4</v>
      </c>
      <c r="I1780" s="1">
        <v>10289.57</v>
      </c>
      <c r="J1780" t="s">
        <v>17</v>
      </c>
      <c r="K1780" t="s">
        <v>18</v>
      </c>
      <c r="L1780" t="str" cm="1">
        <f t="array" ref="L1780">_xlfn.IFS(B1780&lt;30,"18-29",B1780&lt;45,"30-44",B1780&lt;60,"45-59",B1780&lt;75,"60-74",B1780&lt;=90,"75-90")</f>
        <v>18-29</v>
      </c>
      <c r="M1780" t="str">
        <f>IF(Table1[[#This Row],[length_of_stay_days]]&gt;7,"Yes","No")</f>
        <v>No</v>
      </c>
    </row>
    <row r="1781" spans="1:13" x14ac:dyDescent="0.3">
      <c r="A1781" t="s">
        <v>2180</v>
      </c>
      <c r="B1781">
        <v>27</v>
      </c>
      <c r="C1781" t="s">
        <v>12</v>
      </c>
      <c r="D1781" t="s">
        <v>55</v>
      </c>
      <c r="E1781" t="s">
        <v>28</v>
      </c>
      <c r="F1781" t="s">
        <v>778</v>
      </c>
      <c r="G1781" t="s">
        <v>252</v>
      </c>
      <c r="H1781">
        <v>4</v>
      </c>
      <c r="I1781" s="1">
        <v>6192.98</v>
      </c>
      <c r="J1781" t="s">
        <v>17</v>
      </c>
      <c r="K1781" t="s">
        <v>18</v>
      </c>
      <c r="L1781" t="str" cm="1">
        <f t="array" ref="L1781">_xlfn.IFS(B1781&lt;30,"18-29",B1781&lt;45,"30-44",B1781&lt;60,"45-59",B1781&lt;75,"60-74",B1781&lt;=90,"75-90")</f>
        <v>18-29</v>
      </c>
      <c r="M1781" t="str">
        <f>IF(Table1[[#This Row],[length_of_stay_days]]&gt;7,"Yes","No")</f>
        <v>No</v>
      </c>
    </row>
    <row r="1782" spans="1:13" x14ac:dyDescent="0.3">
      <c r="A1782" t="s">
        <v>2181</v>
      </c>
      <c r="B1782">
        <v>89</v>
      </c>
      <c r="C1782" t="s">
        <v>12</v>
      </c>
      <c r="D1782" t="s">
        <v>46</v>
      </c>
      <c r="E1782" t="s">
        <v>21</v>
      </c>
      <c r="F1782" t="s">
        <v>675</v>
      </c>
      <c r="G1782" t="s">
        <v>563</v>
      </c>
      <c r="H1782">
        <v>5</v>
      </c>
      <c r="I1782" s="1">
        <v>12209.9</v>
      </c>
      <c r="J1782" t="s">
        <v>17</v>
      </c>
      <c r="K1782" t="s">
        <v>18</v>
      </c>
      <c r="L1782" t="str" cm="1">
        <f t="array" ref="L1782">_xlfn.IFS(B1782&lt;30,"18-29",B1782&lt;45,"30-44",B1782&lt;60,"45-59",B1782&lt;75,"60-74",B1782&lt;=90,"75-90")</f>
        <v>75-90</v>
      </c>
      <c r="M1782" t="str">
        <f>IF(Table1[[#This Row],[length_of_stay_days]]&gt;7,"Yes","No")</f>
        <v>No</v>
      </c>
    </row>
    <row r="1783" spans="1:13" x14ac:dyDescent="0.3">
      <c r="A1783" t="s">
        <v>2182</v>
      </c>
      <c r="B1783">
        <v>71</v>
      </c>
      <c r="C1783" t="s">
        <v>70</v>
      </c>
      <c r="D1783" t="s">
        <v>28</v>
      </c>
      <c r="E1783" t="s">
        <v>14</v>
      </c>
      <c r="F1783" t="s">
        <v>579</v>
      </c>
      <c r="G1783" t="s">
        <v>72</v>
      </c>
      <c r="H1783">
        <v>3</v>
      </c>
      <c r="I1783" s="1">
        <v>4112.22</v>
      </c>
      <c r="J1783" t="s">
        <v>17</v>
      </c>
      <c r="K1783" t="s">
        <v>18</v>
      </c>
      <c r="L1783" t="str" cm="1">
        <f t="array" ref="L1783">_xlfn.IFS(B1783&lt;30,"18-29",B1783&lt;45,"30-44",B1783&lt;60,"45-59",B1783&lt;75,"60-74",B1783&lt;=90,"75-90")</f>
        <v>60-74</v>
      </c>
      <c r="M1783" t="str">
        <f>IF(Table1[[#This Row],[length_of_stay_days]]&gt;7,"Yes","No")</f>
        <v>No</v>
      </c>
    </row>
    <row r="1784" spans="1:13" x14ac:dyDescent="0.3">
      <c r="A1784" t="s">
        <v>2183</v>
      </c>
      <c r="B1784">
        <v>53</v>
      </c>
      <c r="C1784" t="s">
        <v>12</v>
      </c>
      <c r="D1784" t="s">
        <v>28</v>
      </c>
      <c r="E1784" t="s">
        <v>21</v>
      </c>
      <c r="F1784" t="s">
        <v>246</v>
      </c>
      <c r="G1784" t="s">
        <v>311</v>
      </c>
      <c r="H1784">
        <v>4</v>
      </c>
      <c r="I1784" s="1">
        <v>6678.92</v>
      </c>
      <c r="J1784" t="s">
        <v>17</v>
      </c>
      <c r="K1784" t="s">
        <v>18</v>
      </c>
      <c r="L1784" t="str" cm="1">
        <f t="array" ref="L1784">_xlfn.IFS(B1784&lt;30,"18-29",B1784&lt;45,"30-44",B1784&lt;60,"45-59",B1784&lt;75,"60-74",B1784&lt;=90,"75-90")</f>
        <v>45-59</v>
      </c>
      <c r="M1784" t="str">
        <f>IF(Table1[[#This Row],[length_of_stay_days]]&gt;7,"Yes","No")</f>
        <v>No</v>
      </c>
    </row>
    <row r="1785" spans="1:13" x14ac:dyDescent="0.3">
      <c r="A1785" t="s">
        <v>2184</v>
      </c>
      <c r="B1785">
        <v>86</v>
      </c>
      <c r="C1785" t="s">
        <v>12</v>
      </c>
      <c r="D1785" t="s">
        <v>13</v>
      </c>
      <c r="E1785" t="s">
        <v>28</v>
      </c>
      <c r="F1785" t="s">
        <v>304</v>
      </c>
      <c r="G1785" t="s">
        <v>606</v>
      </c>
      <c r="H1785">
        <v>5</v>
      </c>
      <c r="I1785" s="1">
        <v>7928.31</v>
      </c>
      <c r="J1785" t="s">
        <v>17</v>
      </c>
      <c r="K1785" t="s">
        <v>18</v>
      </c>
      <c r="L1785" t="str" cm="1">
        <f t="array" ref="L1785">_xlfn.IFS(B1785&lt;30,"18-29",B1785&lt;45,"30-44",B1785&lt;60,"45-59",B1785&lt;75,"60-74",B1785&lt;=90,"75-90")</f>
        <v>75-90</v>
      </c>
      <c r="M1785" t="str">
        <f>IF(Table1[[#This Row],[length_of_stay_days]]&gt;7,"Yes","No")</f>
        <v>No</v>
      </c>
    </row>
    <row r="1786" spans="1:13" x14ac:dyDescent="0.3">
      <c r="A1786" t="s">
        <v>2185</v>
      </c>
      <c r="B1786">
        <v>66</v>
      </c>
      <c r="C1786" t="s">
        <v>20</v>
      </c>
      <c r="D1786" t="s">
        <v>51</v>
      </c>
      <c r="E1786" t="s">
        <v>14</v>
      </c>
      <c r="F1786" t="s">
        <v>358</v>
      </c>
      <c r="G1786" t="s">
        <v>116</v>
      </c>
      <c r="H1786">
        <v>6</v>
      </c>
      <c r="I1786" s="1">
        <v>13246.69</v>
      </c>
      <c r="J1786" t="s">
        <v>17</v>
      </c>
      <c r="K1786" t="s">
        <v>18</v>
      </c>
      <c r="L1786" t="str" cm="1">
        <f t="array" ref="L1786">_xlfn.IFS(B1786&lt;30,"18-29",B1786&lt;45,"30-44",B1786&lt;60,"45-59",B1786&lt;75,"60-74",B1786&lt;=90,"75-90")</f>
        <v>60-74</v>
      </c>
      <c r="M1786" t="str">
        <f>IF(Table1[[#This Row],[length_of_stay_days]]&gt;7,"Yes","No")</f>
        <v>No</v>
      </c>
    </row>
    <row r="1787" spans="1:13" x14ac:dyDescent="0.3">
      <c r="A1787" t="s">
        <v>2186</v>
      </c>
      <c r="B1787">
        <v>51</v>
      </c>
      <c r="C1787" t="s">
        <v>12</v>
      </c>
      <c r="D1787" t="s">
        <v>55</v>
      </c>
      <c r="E1787" t="s">
        <v>21</v>
      </c>
      <c r="F1787" t="s">
        <v>1595</v>
      </c>
      <c r="G1787" t="s">
        <v>30</v>
      </c>
      <c r="H1787">
        <v>6</v>
      </c>
      <c r="I1787" s="1">
        <v>10552.04</v>
      </c>
      <c r="J1787" t="s">
        <v>17</v>
      </c>
      <c r="K1787" t="s">
        <v>18</v>
      </c>
      <c r="L1787" t="str" cm="1">
        <f t="array" ref="L1787">_xlfn.IFS(B1787&lt;30,"18-29",B1787&lt;45,"30-44",B1787&lt;60,"45-59",B1787&lt;75,"60-74",B1787&lt;=90,"75-90")</f>
        <v>45-59</v>
      </c>
      <c r="M1787" t="str">
        <f>IF(Table1[[#This Row],[length_of_stay_days]]&gt;7,"Yes","No")</f>
        <v>No</v>
      </c>
    </row>
    <row r="1788" spans="1:13" x14ac:dyDescent="0.3">
      <c r="A1788" t="s">
        <v>2187</v>
      </c>
      <c r="B1788">
        <v>50</v>
      </c>
      <c r="C1788" t="s">
        <v>20</v>
      </c>
      <c r="D1788" t="s">
        <v>51</v>
      </c>
      <c r="E1788" t="s">
        <v>28</v>
      </c>
      <c r="F1788" t="s">
        <v>517</v>
      </c>
      <c r="G1788" t="s">
        <v>467</v>
      </c>
      <c r="H1788">
        <v>5</v>
      </c>
      <c r="I1788" s="1">
        <v>11984.92</v>
      </c>
      <c r="J1788" t="s">
        <v>49</v>
      </c>
      <c r="K1788" t="s">
        <v>18</v>
      </c>
      <c r="L1788" t="str" cm="1">
        <f t="array" ref="L1788">_xlfn.IFS(B1788&lt;30,"18-29",B1788&lt;45,"30-44",B1788&lt;60,"45-59",B1788&lt;75,"60-74",B1788&lt;=90,"75-90")</f>
        <v>45-59</v>
      </c>
      <c r="M1788" t="str">
        <f>IF(Table1[[#This Row],[length_of_stay_days]]&gt;7,"Yes","No")</f>
        <v>No</v>
      </c>
    </row>
    <row r="1789" spans="1:13" x14ac:dyDescent="0.3">
      <c r="A1789" t="s">
        <v>2188</v>
      </c>
      <c r="B1789">
        <v>70</v>
      </c>
      <c r="C1789" t="s">
        <v>20</v>
      </c>
      <c r="D1789" t="s">
        <v>28</v>
      </c>
      <c r="E1789" t="s">
        <v>28</v>
      </c>
      <c r="F1789" t="s">
        <v>174</v>
      </c>
      <c r="G1789" t="s">
        <v>298</v>
      </c>
      <c r="H1789">
        <v>6</v>
      </c>
      <c r="I1789" s="1">
        <v>7021.62</v>
      </c>
      <c r="J1789" t="s">
        <v>17</v>
      </c>
      <c r="K1789" t="s">
        <v>18</v>
      </c>
      <c r="L1789" t="str" cm="1">
        <f t="array" ref="L1789">_xlfn.IFS(B1789&lt;30,"18-29",B1789&lt;45,"30-44",B1789&lt;60,"45-59",B1789&lt;75,"60-74",B1789&lt;=90,"75-90")</f>
        <v>60-74</v>
      </c>
      <c r="M1789" t="str">
        <f>IF(Table1[[#This Row],[length_of_stay_days]]&gt;7,"Yes","No")</f>
        <v>No</v>
      </c>
    </row>
    <row r="1790" spans="1:13" x14ac:dyDescent="0.3">
      <c r="A1790" t="s">
        <v>2189</v>
      </c>
      <c r="B1790">
        <v>78</v>
      </c>
      <c r="C1790" t="s">
        <v>12</v>
      </c>
      <c r="D1790" t="s">
        <v>28</v>
      </c>
      <c r="E1790" t="s">
        <v>28</v>
      </c>
      <c r="F1790" t="s">
        <v>460</v>
      </c>
      <c r="G1790" t="s">
        <v>565</v>
      </c>
      <c r="H1790">
        <v>6</v>
      </c>
      <c r="I1790" s="1">
        <v>5506.83</v>
      </c>
      <c r="J1790" t="s">
        <v>49</v>
      </c>
      <c r="K1790" t="s">
        <v>18</v>
      </c>
      <c r="L1790" t="str" cm="1">
        <f t="array" ref="L1790">_xlfn.IFS(B1790&lt;30,"18-29",B1790&lt;45,"30-44",B1790&lt;60,"45-59",B1790&lt;75,"60-74",B1790&lt;=90,"75-90")</f>
        <v>75-90</v>
      </c>
      <c r="M1790" t="str">
        <f>IF(Table1[[#This Row],[length_of_stay_days]]&gt;7,"Yes","No")</f>
        <v>No</v>
      </c>
    </row>
    <row r="1791" spans="1:13" x14ac:dyDescent="0.3">
      <c r="A1791" t="s">
        <v>2190</v>
      </c>
      <c r="B1791">
        <v>87</v>
      </c>
      <c r="C1791" t="s">
        <v>20</v>
      </c>
      <c r="D1791" t="s">
        <v>13</v>
      </c>
      <c r="E1791" t="s">
        <v>14</v>
      </c>
      <c r="F1791" t="s">
        <v>341</v>
      </c>
      <c r="G1791" t="s">
        <v>231</v>
      </c>
      <c r="H1791">
        <v>4</v>
      </c>
      <c r="I1791" s="1">
        <v>5945.04</v>
      </c>
      <c r="J1791" t="s">
        <v>49</v>
      </c>
      <c r="K1791" t="s">
        <v>18</v>
      </c>
      <c r="L1791" t="str" cm="1">
        <f t="array" ref="L1791">_xlfn.IFS(B1791&lt;30,"18-29",B1791&lt;45,"30-44",B1791&lt;60,"45-59",B1791&lt;75,"60-74",B1791&lt;=90,"75-90")</f>
        <v>75-90</v>
      </c>
      <c r="M1791" t="str">
        <f>IF(Table1[[#This Row],[length_of_stay_days]]&gt;7,"Yes","No")</f>
        <v>No</v>
      </c>
    </row>
    <row r="1792" spans="1:13" x14ac:dyDescent="0.3">
      <c r="A1792" t="s">
        <v>2191</v>
      </c>
      <c r="B1792">
        <v>82</v>
      </c>
      <c r="C1792" t="s">
        <v>20</v>
      </c>
      <c r="D1792" t="s">
        <v>28</v>
      </c>
      <c r="E1792" t="s">
        <v>14</v>
      </c>
      <c r="F1792" t="s">
        <v>87</v>
      </c>
      <c r="G1792" t="s">
        <v>285</v>
      </c>
      <c r="H1792">
        <v>6</v>
      </c>
      <c r="I1792" s="1">
        <v>7360.92</v>
      </c>
      <c r="J1792" t="s">
        <v>17</v>
      </c>
      <c r="K1792" t="s">
        <v>18</v>
      </c>
      <c r="L1792" t="str" cm="1">
        <f t="array" ref="L1792">_xlfn.IFS(B1792&lt;30,"18-29",B1792&lt;45,"30-44",B1792&lt;60,"45-59",B1792&lt;75,"60-74",B1792&lt;=90,"75-90")</f>
        <v>75-90</v>
      </c>
      <c r="M1792" t="str">
        <f>IF(Table1[[#This Row],[length_of_stay_days]]&gt;7,"Yes","No")</f>
        <v>No</v>
      </c>
    </row>
    <row r="1793" spans="1:13" x14ac:dyDescent="0.3">
      <c r="A1793" t="s">
        <v>2192</v>
      </c>
      <c r="B1793">
        <v>71</v>
      </c>
      <c r="C1793" t="s">
        <v>12</v>
      </c>
      <c r="D1793" t="s">
        <v>28</v>
      </c>
      <c r="E1793" t="s">
        <v>14</v>
      </c>
      <c r="F1793" t="s">
        <v>312</v>
      </c>
      <c r="G1793" t="s">
        <v>1054</v>
      </c>
      <c r="H1793">
        <v>5</v>
      </c>
      <c r="I1793" s="1">
        <v>3742.91</v>
      </c>
      <c r="J1793" t="s">
        <v>17</v>
      </c>
      <c r="K1793" t="s">
        <v>18</v>
      </c>
      <c r="L1793" t="str" cm="1">
        <f t="array" ref="L1793">_xlfn.IFS(B1793&lt;30,"18-29",B1793&lt;45,"30-44",B1793&lt;60,"45-59",B1793&lt;75,"60-74",B1793&lt;=90,"75-90")</f>
        <v>60-74</v>
      </c>
      <c r="M1793" t="str">
        <f>IF(Table1[[#This Row],[length_of_stay_days]]&gt;7,"Yes","No")</f>
        <v>No</v>
      </c>
    </row>
    <row r="1794" spans="1:13" x14ac:dyDescent="0.3">
      <c r="A1794" t="s">
        <v>2193</v>
      </c>
      <c r="B1794">
        <v>88</v>
      </c>
      <c r="C1794" t="s">
        <v>12</v>
      </c>
      <c r="D1794" t="s">
        <v>28</v>
      </c>
      <c r="E1794" t="s">
        <v>28</v>
      </c>
      <c r="F1794" t="s">
        <v>499</v>
      </c>
      <c r="G1794" t="s">
        <v>344</v>
      </c>
      <c r="H1794">
        <v>7</v>
      </c>
      <c r="I1794" s="1">
        <v>5541.67</v>
      </c>
      <c r="J1794" t="s">
        <v>17</v>
      </c>
      <c r="K1794" t="s">
        <v>18</v>
      </c>
      <c r="L1794" t="str" cm="1">
        <f t="array" ref="L1794">_xlfn.IFS(B1794&lt;30,"18-29",B1794&lt;45,"30-44",B1794&lt;60,"45-59",B1794&lt;75,"60-74",B1794&lt;=90,"75-90")</f>
        <v>75-90</v>
      </c>
      <c r="M1794" t="str">
        <f>IF(Table1[[#This Row],[length_of_stay_days]]&gt;7,"Yes","No")</f>
        <v>No</v>
      </c>
    </row>
    <row r="1795" spans="1:13" x14ac:dyDescent="0.3">
      <c r="A1795" t="s">
        <v>2194</v>
      </c>
      <c r="B1795">
        <v>79</v>
      </c>
      <c r="C1795" t="s">
        <v>20</v>
      </c>
      <c r="D1795" t="s">
        <v>46</v>
      </c>
      <c r="E1795" t="s">
        <v>21</v>
      </c>
      <c r="F1795" t="s">
        <v>396</v>
      </c>
      <c r="G1795" t="s">
        <v>386</v>
      </c>
      <c r="H1795">
        <v>8</v>
      </c>
      <c r="I1795" s="1">
        <v>14481.41</v>
      </c>
      <c r="J1795" t="s">
        <v>49</v>
      </c>
      <c r="K1795" t="s">
        <v>18</v>
      </c>
      <c r="L1795" t="str" cm="1">
        <f t="array" ref="L1795">_xlfn.IFS(B1795&lt;30,"18-29",B1795&lt;45,"30-44",B1795&lt;60,"45-59",B1795&lt;75,"60-74",B1795&lt;=90,"75-90")</f>
        <v>75-90</v>
      </c>
      <c r="M1795" t="str">
        <f>IF(Table1[[#This Row],[length_of_stay_days]]&gt;7,"Yes","No")</f>
        <v>Yes</v>
      </c>
    </row>
    <row r="1796" spans="1:13" x14ac:dyDescent="0.3">
      <c r="A1796" t="s">
        <v>2195</v>
      </c>
      <c r="B1796">
        <v>62</v>
      </c>
      <c r="C1796" t="s">
        <v>12</v>
      </c>
      <c r="D1796" t="s">
        <v>28</v>
      </c>
      <c r="E1796" t="s">
        <v>28</v>
      </c>
      <c r="F1796" t="s">
        <v>52</v>
      </c>
      <c r="G1796" t="s">
        <v>549</v>
      </c>
      <c r="H1796">
        <v>7</v>
      </c>
      <c r="I1796" s="1">
        <v>6365.41</v>
      </c>
      <c r="J1796" t="s">
        <v>49</v>
      </c>
      <c r="K1796" t="s">
        <v>18</v>
      </c>
      <c r="L1796" t="str" cm="1">
        <f t="array" ref="L1796">_xlfn.IFS(B1796&lt;30,"18-29",B1796&lt;45,"30-44",B1796&lt;60,"45-59",B1796&lt;75,"60-74",B1796&lt;=90,"75-90")</f>
        <v>60-74</v>
      </c>
      <c r="M1796" t="str">
        <f>IF(Table1[[#This Row],[length_of_stay_days]]&gt;7,"Yes","No")</f>
        <v>No</v>
      </c>
    </row>
    <row r="1797" spans="1:13" x14ac:dyDescent="0.3">
      <c r="A1797" t="s">
        <v>2196</v>
      </c>
      <c r="B1797">
        <v>35</v>
      </c>
      <c r="C1797" t="s">
        <v>12</v>
      </c>
      <c r="D1797" t="s">
        <v>28</v>
      </c>
      <c r="E1797" t="s">
        <v>28</v>
      </c>
      <c r="F1797" t="s">
        <v>787</v>
      </c>
      <c r="G1797" t="s">
        <v>428</v>
      </c>
      <c r="H1797">
        <v>4</v>
      </c>
      <c r="I1797" s="1">
        <v>5526.1</v>
      </c>
      <c r="J1797" t="s">
        <v>17</v>
      </c>
      <c r="K1797" t="s">
        <v>18</v>
      </c>
      <c r="L1797" t="str" cm="1">
        <f t="array" ref="L1797">_xlfn.IFS(B1797&lt;30,"18-29",B1797&lt;45,"30-44",B1797&lt;60,"45-59",B1797&lt;75,"60-74",B1797&lt;=90,"75-90")</f>
        <v>30-44</v>
      </c>
      <c r="M1797" t="str">
        <f>IF(Table1[[#This Row],[length_of_stay_days]]&gt;7,"Yes","No")</f>
        <v>No</v>
      </c>
    </row>
    <row r="1798" spans="1:13" x14ac:dyDescent="0.3">
      <c r="A1798" t="s">
        <v>2197</v>
      </c>
      <c r="B1798">
        <v>58</v>
      </c>
      <c r="C1798" t="s">
        <v>20</v>
      </c>
      <c r="D1798" t="s">
        <v>55</v>
      </c>
      <c r="E1798" t="s">
        <v>28</v>
      </c>
      <c r="F1798" t="s">
        <v>174</v>
      </c>
      <c r="G1798" t="s">
        <v>928</v>
      </c>
      <c r="H1798">
        <v>8</v>
      </c>
      <c r="I1798" s="1">
        <v>13557.54</v>
      </c>
      <c r="J1798" t="s">
        <v>17</v>
      </c>
      <c r="K1798" t="s">
        <v>18</v>
      </c>
      <c r="L1798" t="str" cm="1">
        <f t="array" ref="L1798">_xlfn.IFS(B1798&lt;30,"18-29",B1798&lt;45,"30-44",B1798&lt;60,"45-59",B1798&lt;75,"60-74",B1798&lt;=90,"75-90")</f>
        <v>45-59</v>
      </c>
      <c r="M1798" t="str">
        <f>IF(Table1[[#This Row],[length_of_stay_days]]&gt;7,"Yes","No")</f>
        <v>Yes</v>
      </c>
    </row>
    <row r="1799" spans="1:13" x14ac:dyDescent="0.3">
      <c r="A1799" t="s">
        <v>2198</v>
      </c>
      <c r="B1799">
        <v>55</v>
      </c>
      <c r="C1799" t="s">
        <v>20</v>
      </c>
      <c r="D1799" t="s">
        <v>51</v>
      </c>
      <c r="E1799" t="s">
        <v>21</v>
      </c>
      <c r="F1799" t="s">
        <v>52</v>
      </c>
      <c r="G1799" t="s">
        <v>210</v>
      </c>
      <c r="H1799">
        <v>4</v>
      </c>
      <c r="I1799" s="1">
        <v>12402.53</v>
      </c>
      <c r="J1799" t="s">
        <v>17</v>
      </c>
      <c r="K1799" t="s">
        <v>44</v>
      </c>
      <c r="L1799" t="str" cm="1">
        <f t="array" ref="L1799">_xlfn.IFS(B1799&lt;30,"18-29",B1799&lt;45,"30-44",B1799&lt;60,"45-59",B1799&lt;75,"60-74",B1799&lt;=90,"75-90")</f>
        <v>45-59</v>
      </c>
      <c r="M1799" t="str">
        <f>IF(Table1[[#This Row],[length_of_stay_days]]&gt;7,"Yes","No")</f>
        <v>No</v>
      </c>
    </row>
    <row r="1800" spans="1:13" x14ac:dyDescent="0.3">
      <c r="A1800" t="s">
        <v>2199</v>
      </c>
      <c r="B1800">
        <v>41</v>
      </c>
      <c r="C1800" t="s">
        <v>20</v>
      </c>
      <c r="D1800" t="s">
        <v>46</v>
      </c>
      <c r="E1800" t="s">
        <v>28</v>
      </c>
      <c r="F1800" t="s">
        <v>327</v>
      </c>
      <c r="G1800" t="s">
        <v>152</v>
      </c>
      <c r="H1800">
        <v>10</v>
      </c>
      <c r="I1800" s="1">
        <v>19892.23</v>
      </c>
      <c r="J1800" t="s">
        <v>49</v>
      </c>
      <c r="K1800" t="s">
        <v>18</v>
      </c>
      <c r="L1800" t="str" cm="1">
        <f t="array" ref="L1800">_xlfn.IFS(B1800&lt;30,"18-29",B1800&lt;45,"30-44",B1800&lt;60,"45-59",B1800&lt;75,"60-74",B1800&lt;=90,"75-90")</f>
        <v>30-44</v>
      </c>
      <c r="M1800" t="str">
        <f>IF(Table1[[#This Row],[length_of_stay_days]]&gt;7,"Yes","No")</f>
        <v>Yes</v>
      </c>
    </row>
    <row r="1801" spans="1:13" x14ac:dyDescent="0.3">
      <c r="A1801" t="s">
        <v>2200</v>
      </c>
      <c r="B1801">
        <v>70</v>
      </c>
      <c r="C1801" t="s">
        <v>20</v>
      </c>
      <c r="D1801" t="s">
        <v>46</v>
      </c>
      <c r="E1801" t="s">
        <v>28</v>
      </c>
      <c r="F1801" t="s">
        <v>205</v>
      </c>
      <c r="G1801" t="s">
        <v>396</v>
      </c>
      <c r="H1801">
        <v>7</v>
      </c>
      <c r="I1801" s="1">
        <v>12274.57</v>
      </c>
      <c r="J1801" t="s">
        <v>17</v>
      </c>
      <c r="K1801" t="s">
        <v>18</v>
      </c>
      <c r="L1801" t="str" cm="1">
        <f t="array" ref="L1801">_xlfn.IFS(B1801&lt;30,"18-29",B1801&lt;45,"30-44",B1801&lt;60,"45-59",B1801&lt;75,"60-74",B1801&lt;=90,"75-90")</f>
        <v>60-74</v>
      </c>
      <c r="M1801" t="str">
        <f>IF(Table1[[#This Row],[length_of_stay_days]]&gt;7,"Yes","No")</f>
        <v>No</v>
      </c>
    </row>
    <row r="1802" spans="1:13" x14ac:dyDescent="0.3">
      <c r="A1802" t="s">
        <v>2201</v>
      </c>
      <c r="B1802">
        <v>26</v>
      </c>
      <c r="C1802" t="s">
        <v>12</v>
      </c>
      <c r="D1802" t="s">
        <v>13</v>
      </c>
      <c r="E1802" t="s">
        <v>21</v>
      </c>
      <c r="F1802" t="s">
        <v>364</v>
      </c>
      <c r="G1802" t="s">
        <v>330</v>
      </c>
      <c r="H1802">
        <v>6</v>
      </c>
      <c r="I1802" s="1">
        <v>6530.51</v>
      </c>
      <c r="J1802" t="s">
        <v>17</v>
      </c>
      <c r="K1802" t="s">
        <v>18</v>
      </c>
      <c r="L1802" t="str" cm="1">
        <f t="array" ref="L1802">_xlfn.IFS(B1802&lt;30,"18-29",B1802&lt;45,"30-44",B1802&lt;60,"45-59",B1802&lt;75,"60-74",B1802&lt;=90,"75-90")</f>
        <v>18-29</v>
      </c>
      <c r="M1802" t="str">
        <f>IF(Table1[[#This Row],[length_of_stay_days]]&gt;7,"Yes","No")</f>
        <v>No</v>
      </c>
    </row>
    <row r="1803" spans="1:13" x14ac:dyDescent="0.3">
      <c r="A1803" t="s">
        <v>2202</v>
      </c>
      <c r="B1803">
        <v>83</v>
      </c>
      <c r="C1803" t="s">
        <v>12</v>
      </c>
      <c r="D1803" t="s">
        <v>28</v>
      </c>
      <c r="E1803" t="s">
        <v>21</v>
      </c>
      <c r="F1803" t="s">
        <v>966</v>
      </c>
      <c r="G1803" t="s">
        <v>339</v>
      </c>
      <c r="H1803">
        <v>3</v>
      </c>
      <c r="I1803" s="1">
        <v>3491.52</v>
      </c>
      <c r="J1803" t="s">
        <v>17</v>
      </c>
      <c r="K1803" t="s">
        <v>18</v>
      </c>
      <c r="L1803" t="str" cm="1">
        <f t="array" ref="L1803">_xlfn.IFS(B1803&lt;30,"18-29",B1803&lt;45,"30-44",B1803&lt;60,"45-59",B1803&lt;75,"60-74",B1803&lt;=90,"75-90")</f>
        <v>75-90</v>
      </c>
      <c r="M1803" t="str">
        <f>IF(Table1[[#This Row],[length_of_stay_days]]&gt;7,"Yes","No")</f>
        <v>No</v>
      </c>
    </row>
    <row r="1804" spans="1:13" x14ac:dyDescent="0.3">
      <c r="A1804" t="s">
        <v>2203</v>
      </c>
      <c r="B1804">
        <v>20</v>
      </c>
      <c r="C1804" t="s">
        <v>12</v>
      </c>
      <c r="D1804" t="s">
        <v>32</v>
      </c>
      <c r="E1804" t="s">
        <v>14</v>
      </c>
      <c r="F1804" t="s">
        <v>26</v>
      </c>
      <c r="G1804" t="s">
        <v>109</v>
      </c>
      <c r="H1804">
        <v>7</v>
      </c>
      <c r="I1804" s="1">
        <v>11270.99</v>
      </c>
      <c r="J1804" t="s">
        <v>17</v>
      </c>
      <c r="K1804" t="s">
        <v>18</v>
      </c>
      <c r="L1804" t="str" cm="1">
        <f t="array" ref="L1804">_xlfn.IFS(B1804&lt;30,"18-29",B1804&lt;45,"30-44",B1804&lt;60,"45-59",B1804&lt;75,"60-74",B1804&lt;=90,"75-90")</f>
        <v>18-29</v>
      </c>
      <c r="M1804" t="str">
        <f>IF(Table1[[#This Row],[length_of_stay_days]]&gt;7,"Yes","No")</f>
        <v>No</v>
      </c>
    </row>
    <row r="1805" spans="1:13" x14ac:dyDescent="0.3">
      <c r="A1805" t="s">
        <v>2204</v>
      </c>
      <c r="B1805">
        <v>32</v>
      </c>
      <c r="C1805" t="s">
        <v>12</v>
      </c>
      <c r="D1805" t="s">
        <v>28</v>
      </c>
      <c r="E1805" t="s">
        <v>28</v>
      </c>
      <c r="F1805" t="s">
        <v>256</v>
      </c>
      <c r="G1805" t="s">
        <v>366</v>
      </c>
      <c r="H1805">
        <v>7</v>
      </c>
      <c r="I1805" s="1">
        <v>7054.01</v>
      </c>
      <c r="J1805" t="s">
        <v>49</v>
      </c>
      <c r="K1805" t="s">
        <v>18</v>
      </c>
      <c r="L1805" t="str" cm="1">
        <f t="array" ref="L1805">_xlfn.IFS(B1805&lt;30,"18-29",B1805&lt;45,"30-44",B1805&lt;60,"45-59",B1805&lt;75,"60-74",B1805&lt;=90,"75-90")</f>
        <v>30-44</v>
      </c>
      <c r="M1805" t="str">
        <f>IF(Table1[[#This Row],[length_of_stay_days]]&gt;7,"Yes","No")</f>
        <v>No</v>
      </c>
    </row>
    <row r="1806" spans="1:13" x14ac:dyDescent="0.3">
      <c r="A1806" t="s">
        <v>2205</v>
      </c>
      <c r="B1806">
        <v>80</v>
      </c>
      <c r="C1806" t="s">
        <v>12</v>
      </c>
      <c r="D1806" t="s">
        <v>46</v>
      </c>
      <c r="E1806" t="s">
        <v>28</v>
      </c>
      <c r="F1806" t="s">
        <v>547</v>
      </c>
      <c r="G1806" t="s">
        <v>678</v>
      </c>
      <c r="H1806">
        <v>8</v>
      </c>
      <c r="I1806" s="1">
        <v>16061.97</v>
      </c>
      <c r="J1806" t="s">
        <v>17</v>
      </c>
      <c r="K1806" t="s">
        <v>18</v>
      </c>
      <c r="L1806" t="str" cm="1">
        <f t="array" ref="L1806">_xlfn.IFS(B1806&lt;30,"18-29",B1806&lt;45,"30-44",B1806&lt;60,"45-59",B1806&lt;75,"60-74",B1806&lt;=90,"75-90")</f>
        <v>75-90</v>
      </c>
      <c r="M1806" t="str">
        <f>IF(Table1[[#This Row],[length_of_stay_days]]&gt;7,"Yes","No")</f>
        <v>Yes</v>
      </c>
    </row>
    <row r="1807" spans="1:13" x14ac:dyDescent="0.3">
      <c r="A1807" t="s">
        <v>2206</v>
      </c>
      <c r="B1807">
        <v>72</v>
      </c>
      <c r="C1807" t="s">
        <v>12</v>
      </c>
      <c r="D1807" t="s">
        <v>51</v>
      </c>
      <c r="E1807" t="s">
        <v>28</v>
      </c>
      <c r="F1807" t="s">
        <v>25</v>
      </c>
      <c r="G1807" t="s">
        <v>109</v>
      </c>
      <c r="H1807">
        <v>11</v>
      </c>
      <c r="I1807" s="1">
        <v>11648.9</v>
      </c>
      <c r="J1807" t="s">
        <v>17</v>
      </c>
      <c r="K1807" t="s">
        <v>18</v>
      </c>
      <c r="L1807" t="str" cm="1">
        <f t="array" ref="L1807">_xlfn.IFS(B1807&lt;30,"18-29",B1807&lt;45,"30-44",B1807&lt;60,"45-59",B1807&lt;75,"60-74",B1807&lt;=90,"75-90")</f>
        <v>60-74</v>
      </c>
      <c r="M1807" t="str">
        <f>IF(Table1[[#This Row],[length_of_stay_days]]&gt;7,"Yes","No")</f>
        <v>Yes</v>
      </c>
    </row>
    <row r="1808" spans="1:13" x14ac:dyDescent="0.3">
      <c r="A1808" t="s">
        <v>2207</v>
      </c>
      <c r="B1808">
        <v>55</v>
      </c>
      <c r="C1808" t="s">
        <v>12</v>
      </c>
      <c r="D1808" t="s">
        <v>51</v>
      </c>
      <c r="E1808" t="s">
        <v>21</v>
      </c>
      <c r="F1808" t="s">
        <v>1248</v>
      </c>
      <c r="G1808" t="s">
        <v>192</v>
      </c>
      <c r="H1808">
        <v>3</v>
      </c>
      <c r="I1808" s="1">
        <v>10031.879999999999</v>
      </c>
      <c r="J1808" t="s">
        <v>17</v>
      </c>
      <c r="K1808" t="s">
        <v>18</v>
      </c>
      <c r="L1808" t="str" cm="1">
        <f t="array" ref="L1808">_xlfn.IFS(B1808&lt;30,"18-29",B1808&lt;45,"30-44",B1808&lt;60,"45-59",B1808&lt;75,"60-74",B1808&lt;=90,"75-90")</f>
        <v>45-59</v>
      </c>
      <c r="M1808" t="str">
        <f>IF(Table1[[#This Row],[length_of_stay_days]]&gt;7,"Yes","No")</f>
        <v>No</v>
      </c>
    </row>
    <row r="1809" spans="1:13" x14ac:dyDescent="0.3">
      <c r="A1809" t="s">
        <v>2208</v>
      </c>
      <c r="B1809">
        <v>44</v>
      </c>
      <c r="C1809" t="s">
        <v>20</v>
      </c>
      <c r="D1809" t="s">
        <v>32</v>
      </c>
      <c r="E1809" t="s">
        <v>21</v>
      </c>
      <c r="F1809" t="s">
        <v>182</v>
      </c>
      <c r="G1809" t="s">
        <v>767</v>
      </c>
      <c r="H1809">
        <v>6</v>
      </c>
      <c r="I1809" s="1">
        <v>10707.95</v>
      </c>
      <c r="J1809" t="s">
        <v>17</v>
      </c>
      <c r="K1809" t="s">
        <v>18</v>
      </c>
      <c r="L1809" t="str" cm="1">
        <f t="array" ref="L1809">_xlfn.IFS(B1809&lt;30,"18-29",B1809&lt;45,"30-44",B1809&lt;60,"45-59",B1809&lt;75,"60-74",B1809&lt;=90,"75-90")</f>
        <v>30-44</v>
      </c>
      <c r="M1809" t="str">
        <f>IF(Table1[[#This Row],[length_of_stay_days]]&gt;7,"Yes","No")</f>
        <v>No</v>
      </c>
    </row>
    <row r="1810" spans="1:13" x14ac:dyDescent="0.3">
      <c r="A1810" t="s">
        <v>2209</v>
      </c>
      <c r="B1810">
        <v>86</v>
      </c>
      <c r="C1810" t="s">
        <v>12</v>
      </c>
      <c r="D1810" t="s">
        <v>13</v>
      </c>
      <c r="E1810" t="s">
        <v>21</v>
      </c>
      <c r="F1810" t="s">
        <v>189</v>
      </c>
      <c r="G1810" t="s">
        <v>141</v>
      </c>
      <c r="H1810">
        <v>5</v>
      </c>
      <c r="I1810" s="1">
        <v>6410.15</v>
      </c>
      <c r="J1810" t="s">
        <v>17</v>
      </c>
      <c r="K1810" t="s">
        <v>18</v>
      </c>
      <c r="L1810" t="str" cm="1">
        <f t="array" ref="L1810">_xlfn.IFS(B1810&lt;30,"18-29",B1810&lt;45,"30-44",B1810&lt;60,"45-59",B1810&lt;75,"60-74",B1810&lt;=90,"75-90")</f>
        <v>75-90</v>
      </c>
      <c r="M1810" t="str">
        <f>IF(Table1[[#This Row],[length_of_stay_days]]&gt;7,"Yes","No")</f>
        <v>No</v>
      </c>
    </row>
    <row r="1811" spans="1:13" x14ac:dyDescent="0.3">
      <c r="A1811" t="s">
        <v>2210</v>
      </c>
      <c r="B1811">
        <v>62</v>
      </c>
      <c r="C1811" t="s">
        <v>12</v>
      </c>
      <c r="D1811" t="s">
        <v>28</v>
      </c>
      <c r="E1811" t="s">
        <v>21</v>
      </c>
      <c r="F1811" t="s">
        <v>58</v>
      </c>
      <c r="G1811" t="s">
        <v>59</v>
      </c>
      <c r="H1811">
        <v>5</v>
      </c>
      <c r="I1811" s="1">
        <v>5236.3999999999996</v>
      </c>
      <c r="J1811" t="s">
        <v>17</v>
      </c>
      <c r="K1811" t="s">
        <v>18</v>
      </c>
      <c r="L1811" t="str" cm="1">
        <f t="array" ref="L1811">_xlfn.IFS(B1811&lt;30,"18-29",B1811&lt;45,"30-44",B1811&lt;60,"45-59",B1811&lt;75,"60-74",B1811&lt;=90,"75-90")</f>
        <v>60-74</v>
      </c>
      <c r="M1811" t="str">
        <f>IF(Table1[[#This Row],[length_of_stay_days]]&gt;7,"Yes","No")</f>
        <v>No</v>
      </c>
    </row>
    <row r="1812" spans="1:13" x14ac:dyDescent="0.3">
      <c r="A1812" t="s">
        <v>2211</v>
      </c>
      <c r="B1812">
        <v>34</v>
      </c>
      <c r="C1812" t="s">
        <v>20</v>
      </c>
      <c r="D1812" t="s">
        <v>55</v>
      </c>
      <c r="E1812" t="s">
        <v>21</v>
      </c>
      <c r="F1812" t="s">
        <v>364</v>
      </c>
      <c r="G1812" t="s">
        <v>62</v>
      </c>
      <c r="H1812">
        <v>7</v>
      </c>
      <c r="I1812" s="1">
        <v>9838.52</v>
      </c>
      <c r="J1812" t="s">
        <v>17</v>
      </c>
      <c r="K1812" t="s">
        <v>18</v>
      </c>
      <c r="L1812" t="str" cm="1">
        <f t="array" ref="L1812">_xlfn.IFS(B1812&lt;30,"18-29",B1812&lt;45,"30-44",B1812&lt;60,"45-59",B1812&lt;75,"60-74",B1812&lt;=90,"75-90")</f>
        <v>30-44</v>
      </c>
      <c r="M1812" t="str">
        <f>IF(Table1[[#This Row],[length_of_stay_days]]&gt;7,"Yes","No")</f>
        <v>No</v>
      </c>
    </row>
    <row r="1813" spans="1:13" x14ac:dyDescent="0.3">
      <c r="A1813" t="s">
        <v>2212</v>
      </c>
      <c r="B1813">
        <v>50</v>
      </c>
      <c r="C1813" t="s">
        <v>12</v>
      </c>
      <c r="D1813" t="s">
        <v>51</v>
      </c>
      <c r="E1813" t="s">
        <v>28</v>
      </c>
      <c r="F1813" t="s">
        <v>23</v>
      </c>
      <c r="G1813" t="s">
        <v>335</v>
      </c>
      <c r="H1813">
        <v>9</v>
      </c>
      <c r="I1813" s="1">
        <v>13969.15</v>
      </c>
      <c r="J1813" t="s">
        <v>17</v>
      </c>
      <c r="K1813" t="s">
        <v>18</v>
      </c>
      <c r="L1813" t="str" cm="1">
        <f t="array" ref="L1813">_xlfn.IFS(B1813&lt;30,"18-29",B1813&lt;45,"30-44",B1813&lt;60,"45-59",B1813&lt;75,"60-74",B1813&lt;=90,"75-90")</f>
        <v>45-59</v>
      </c>
      <c r="M1813" t="str">
        <f>IF(Table1[[#This Row],[length_of_stay_days]]&gt;7,"Yes","No")</f>
        <v>Yes</v>
      </c>
    </row>
    <row r="1814" spans="1:13" x14ac:dyDescent="0.3">
      <c r="A1814" t="s">
        <v>2213</v>
      </c>
      <c r="B1814">
        <v>82</v>
      </c>
      <c r="C1814" t="s">
        <v>12</v>
      </c>
      <c r="D1814" t="s">
        <v>13</v>
      </c>
      <c r="E1814" t="s">
        <v>21</v>
      </c>
      <c r="F1814" t="s">
        <v>225</v>
      </c>
      <c r="G1814" t="s">
        <v>96</v>
      </c>
      <c r="H1814">
        <v>4</v>
      </c>
      <c r="I1814" s="1">
        <v>7055.38</v>
      </c>
      <c r="J1814" t="s">
        <v>49</v>
      </c>
      <c r="K1814" t="s">
        <v>18</v>
      </c>
      <c r="L1814" t="str" cm="1">
        <f t="array" ref="L1814">_xlfn.IFS(B1814&lt;30,"18-29",B1814&lt;45,"30-44",B1814&lt;60,"45-59",B1814&lt;75,"60-74",B1814&lt;=90,"75-90")</f>
        <v>75-90</v>
      </c>
      <c r="M1814" t="str">
        <f>IF(Table1[[#This Row],[length_of_stay_days]]&gt;7,"Yes","No")</f>
        <v>No</v>
      </c>
    </row>
    <row r="1815" spans="1:13" x14ac:dyDescent="0.3">
      <c r="A1815" t="s">
        <v>2214</v>
      </c>
      <c r="B1815">
        <v>64</v>
      </c>
      <c r="C1815" t="s">
        <v>20</v>
      </c>
      <c r="D1815" t="s">
        <v>28</v>
      </c>
      <c r="E1815" t="s">
        <v>21</v>
      </c>
      <c r="F1815" t="s">
        <v>350</v>
      </c>
      <c r="G1815" t="s">
        <v>25</v>
      </c>
      <c r="H1815">
        <v>1</v>
      </c>
      <c r="I1815" s="1">
        <v>1269.75</v>
      </c>
      <c r="J1815" t="s">
        <v>17</v>
      </c>
      <c r="K1815" t="s">
        <v>18</v>
      </c>
      <c r="L1815" t="str" cm="1">
        <f t="array" ref="L1815">_xlfn.IFS(B1815&lt;30,"18-29",B1815&lt;45,"30-44",B1815&lt;60,"45-59",B1815&lt;75,"60-74",B1815&lt;=90,"75-90")</f>
        <v>60-74</v>
      </c>
      <c r="M1815" t="str">
        <f>IF(Table1[[#This Row],[length_of_stay_days]]&gt;7,"Yes","No")</f>
        <v>No</v>
      </c>
    </row>
    <row r="1816" spans="1:13" x14ac:dyDescent="0.3">
      <c r="A1816" t="s">
        <v>2215</v>
      </c>
      <c r="B1816">
        <v>75</v>
      </c>
      <c r="C1816" t="s">
        <v>12</v>
      </c>
      <c r="D1816" t="s">
        <v>32</v>
      </c>
      <c r="E1816" t="s">
        <v>14</v>
      </c>
      <c r="F1816" t="s">
        <v>526</v>
      </c>
      <c r="G1816" t="s">
        <v>65</v>
      </c>
      <c r="H1816">
        <v>5</v>
      </c>
      <c r="I1816" s="1">
        <v>9398.24</v>
      </c>
      <c r="J1816" t="s">
        <v>17</v>
      </c>
      <c r="K1816" t="s">
        <v>18</v>
      </c>
      <c r="L1816" t="str" cm="1">
        <f t="array" ref="L1816">_xlfn.IFS(B1816&lt;30,"18-29",B1816&lt;45,"30-44",B1816&lt;60,"45-59",B1816&lt;75,"60-74",B1816&lt;=90,"75-90")</f>
        <v>75-90</v>
      </c>
      <c r="M1816" t="str">
        <f>IF(Table1[[#This Row],[length_of_stay_days]]&gt;7,"Yes","No")</f>
        <v>No</v>
      </c>
    </row>
    <row r="1817" spans="1:13" x14ac:dyDescent="0.3">
      <c r="A1817" t="s">
        <v>2216</v>
      </c>
      <c r="B1817">
        <v>49</v>
      </c>
      <c r="C1817" t="s">
        <v>12</v>
      </c>
      <c r="D1817" t="s">
        <v>46</v>
      </c>
      <c r="E1817" t="s">
        <v>28</v>
      </c>
      <c r="F1817" t="s">
        <v>323</v>
      </c>
      <c r="G1817" t="s">
        <v>22</v>
      </c>
      <c r="H1817">
        <v>7</v>
      </c>
      <c r="I1817" s="1">
        <v>12434.07</v>
      </c>
      <c r="J1817" t="s">
        <v>17</v>
      </c>
      <c r="K1817" t="s">
        <v>18</v>
      </c>
      <c r="L1817" t="str" cm="1">
        <f t="array" ref="L1817">_xlfn.IFS(B1817&lt;30,"18-29",B1817&lt;45,"30-44",B1817&lt;60,"45-59",B1817&lt;75,"60-74",B1817&lt;=90,"75-90")</f>
        <v>45-59</v>
      </c>
      <c r="M1817" t="str">
        <f>IF(Table1[[#This Row],[length_of_stay_days]]&gt;7,"Yes","No")</f>
        <v>No</v>
      </c>
    </row>
    <row r="1818" spans="1:13" x14ac:dyDescent="0.3">
      <c r="A1818" t="s">
        <v>2217</v>
      </c>
      <c r="B1818">
        <v>71</v>
      </c>
      <c r="C1818" t="s">
        <v>12</v>
      </c>
      <c r="D1818" t="s">
        <v>32</v>
      </c>
      <c r="E1818" t="s">
        <v>14</v>
      </c>
      <c r="F1818" t="s">
        <v>656</v>
      </c>
      <c r="G1818" t="s">
        <v>584</v>
      </c>
      <c r="H1818">
        <v>3</v>
      </c>
      <c r="I1818" s="1">
        <v>9671.2199999999993</v>
      </c>
      <c r="J1818" t="s">
        <v>17</v>
      </c>
      <c r="K1818" t="s">
        <v>18</v>
      </c>
      <c r="L1818" t="str" cm="1">
        <f t="array" ref="L1818">_xlfn.IFS(B1818&lt;30,"18-29",B1818&lt;45,"30-44",B1818&lt;60,"45-59",B1818&lt;75,"60-74",B1818&lt;=90,"75-90")</f>
        <v>60-74</v>
      </c>
      <c r="M1818" t="str">
        <f>IF(Table1[[#This Row],[length_of_stay_days]]&gt;7,"Yes","No")</f>
        <v>No</v>
      </c>
    </row>
    <row r="1819" spans="1:13" x14ac:dyDescent="0.3">
      <c r="A1819" t="s">
        <v>2218</v>
      </c>
      <c r="B1819">
        <v>30</v>
      </c>
      <c r="C1819" t="s">
        <v>20</v>
      </c>
      <c r="D1819" t="s">
        <v>51</v>
      </c>
      <c r="E1819" t="s">
        <v>28</v>
      </c>
      <c r="F1819" t="s">
        <v>895</v>
      </c>
      <c r="G1819" t="s">
        <v>36</v>
      </c>
      <c r="H1819">
        <v>10</v>
      </c>
      <c r="I1819" s="1">
        <v>12966.76</v>
      </c>
      <c r="J1819" t="s">
        <v>49</v>
      </c>
      <c r="K1819" t="s">
        <v>18</v>
      </c>
      <c r="L1819" t="str" cm="1">
        <f t="array" ref="L1819">_xlfn.IFS(B1819&lt;30,"18-29",B1819&lt;45,"30-44",B1819&lt;60,"45-59",B1819&lt;75,"60-74",B1819&lt;=90,"75-90")</f>
        <v>30-44</v>
      </c>
      <c r="M1819" t="str">
        <f>IF(Table1[[#This Row],[length_of_stay_days]]&gt;7,"Yes","No")</f>
        <v>Yes</v>
      </c>
    </row>
    <row r="1820" spans="1:13" x14ac:dyDescent="0.3">
      <c r="A1820" t="s">
        <v>2219</v>
      </c>
      <c r="B1820">
        <v>36</v>
      </c>
      <c r="C1820" t="s">
        <v>12</v>
      </c>
      <c r="D1820" t="s">
        <v>28</v>
      </c>
      <c r="E1820" t="s">
        <v>28</v>
      </c>
      <c r="F1820" t="s">
        <v>333</v>
      </c>
      <c r="G1820" t="s">
        <v>742</v>
      </c>
      <c r="H1820">
        <v>1</v>
      </c>
      <c r="I1820" s="1">
        <v>3150.66</v>
      </c>
      <c r="J1820" t="s">
        <v>17</v>
      </c>
      <c r="K1820" t="s">
        <v>18</v>
      </c>
      <c r="L1820" t="str" cm="1">
        <f t="array" ref="L1820">_xlfn.IFS(B1820&lt;30,"18-29",B1820&lt;45,"30-44",B1820&lt;60,"45-59",B1820&lt;75,"60-74",B1820&lt;=90,"75-90")</f>
        <v>30-44</v>
      </c>
      <c r="M1820" t="str">
        <f>IF(Table1[[#This Row],[length_of_stay_days]]&gt;7,"Yes","No")</f>
        <v>No</v>
      </c>
    </row>
    <row r="1821" spans="1:13" x14ac:dyDescent="0.3">
      <c r="A1821" t="s">
        <v>2220</v>
      </c>
      <c r="B1821">
        <v>56</v>
      </c>
      <c r="C1821" t="s">
        <v>20</v>
      </c>
      <c r="D1821" t="s">
        <v>55</v>
      </c>
      <c r="E1821" t="s">
        <v>28</v>
      </c>
      <c r="F1821" t="s">
        <v>823</v>
      </c>
      <c r="G1821" t="s">
        <v>827</v>
      </c>
      <c r="H1821">
        <v>6</v>
      </c>
      <c r="I1821" s="1">
        <v>7877.27</v>
      </c>
      <c r="J1821" t="s">
        <v>17</v>
      </c>
      <c r="K1821" t="s">
        <v>18</v>
      </c>
      <c r="L1821" t="str" cm="1">
        <f t="array" ref="L1821">_xlfn.IFS(B1821&lt;30,"18-29",B1821&lt;45,"30-44",B1821&lt;60,"45-59",B1821&lt;75,"60-74",B1821&lt;=90,"75-90")</f>
        <v>45-59</v>
      </c>
      <c r="M1821" t="str">
        <f>IF(Table1[[#This Row],[length_of_stay_days]]&gt;7,"Yes","No")</f>
        <v>No</v>
      </c>
    </row>
    <row r="1822" spans="1:13" x14ac:dyDescent="0.3">
      <c r="A1822" t="s">
        <v>2221</v>
      </c>
      <c r="B1822">
        <v>81</v>
      </c>
      <c r="C1822" t="s">
        <v>20</v>
      </c>
      <c r="D1822" t="s">
        <v>13</v>
      </c>
      <c r="E1822" t="s">
        <v>21</v>
      </c>
      <c r="F1822" t="s">
        <v>266</v>
      </c>
      <c r="G1822" t="s">
        <v>39</v>
      </c>
      <c r="H1822">
        <v>4</v>
      </c>
      <c r="I1822" s="1">
        <v>4772.26</v>
      </c>
      <c r="J1822" t="s">
        <v>49</v>
      </c>
      <c r="K1822" t="s">
        <v>18</v>
      </c>
      <c r="L1822" t="str" cm="1">
        <f t="array" ref="L1822">_xlfn.IFS(B1822&lt;30,"18-29",B1822&lt;45,"30-44",B1822&lt;60,"45-59",B1822&lt;75,"60-74",B1822&lt;=90,"75-90")</f>
        <v>75-90</v>
      </c>
      <c r="M1822" t="str">
        <f>IF(Table1[[#This Row],[length_of_stay_days]]&gt;7,"Yes","No")</f>
        <v>No</v>
      </c>
    </row>
    <row r="1823" spans="1:13" x14ac:dyDescent="0.3">
      <c r="A1823" t="s">
        <v>2222</v>
      </c>
      <c r="B1823">
        <v>70</v>
      </c>
      <c r="C1823" t="s">
        <v>12</v>
      </c>
      <c r="D1823" t="s">
        <v>46</v>
      </c>
      <c r="E1823" t="s">
        <v>28</v>
      </c>
      <c r="F1823" t="s">
        <v>322</v>
      </c>
      <c r="G1823" t="s">
        <v>299</v>
      </c>
      <c r="H1823">
        <v>12</v>
      </c>
      <c r="I1823" s="1">
        <v>18274.37</v>
      </c>
      <c r="J1823" t="s">
        <v>17</v>
      </c>
      <c r="K1823" t="s">
        <v>18</v>
      </c>
      <c r="L1823" t="str" cm="1">
        <f t="array" ref="L1823">_xlfn.IFS(B1823&lt;30,"18-29",B1823&lt;45,"30-44",B1823&lt;60,"45-59",B1823&lt;75,"60-74",B1823&lt;=90,"75-90")</f>
        <v>60-74</v>
      </c>
      <c r="M1823" t="str">
        <f>IF(Table1[[#This Row],[length_of_stay_days]]&gt;7,"Yes","No")</f>
        <v>Yes</v>
      </c>
    </row>
    <row r="1824" spans="1:13" x14ac:dyDescent="0.3">
      <c r="A1824" t="s">
        <v>2223</v>
      </c>
      <c r="B1824">
        <v>73</v>
      </c>
      <c r="C1824" t="s">
        <v>20</v>
      </c>
      <c r="D1824" t="s">
        <v>46</v>
      </c>
      <c r="E1824" t="s">
        <v>14</v>
      </c>
      <c r="F1824" t="s">
        <v>124</v>
      </c>
      <c r="G1824" t="s">
        <v>751</v>
      </c>
      <c r="H1824">
        <v>1</v>
      </c>
      <c r="I1824" s="1">
        <v>9813.4</v>
      </c>
      <c r="J1824" t="s">
        <v>17</v>
      </c>
      <c r="K1824" t="s">
        <v>18</v>
      </c>
      <c r="L1824" t="str" cm="1">
        <f t="array" ref="L1824">_xlfn.IFS(B1824&lt;30,"18-29",B1824&lt;45,"30-44",B1824&lt;60,"45-59",B1824&lt;75,"60-74",B1824&lt;=90,"75-90")</f>
        <v>60-74</v>
      </c>
      <c r="M1824" t="str">
        <f>IF(Table1[[#This Row],[length_of_stay_days]]&gt;7,"Yes","No")</f>
        <v>No</v>
      </c>
    </row>
    <row r="1825" spans="1:13" x14ac:dyDescent="0.3">
      <c r="A1825" t="s">
        <v>2224</v>
      </c>
      <c r="B1825">
        <v>78</v>
      </c>
      <c r="C1825" t="s">
        <v>20</v>
      </c>
      <c r="D1825" t="s">
        <v>51</v>
      </c>
      <c r="E1825" t="s">
        <v>14</v>
      </c>
      <c r="F1825" t="s">
        <v>155</v>
      </c>
      <c r="G1825" t="s">
        <v>471</v>
      </c>
      <c r="H1825">
        <v>8</v>
      </c>
      <c r="I1825" s="1">
        <v>13109.62</v>
      </c>
      <c r="J1825" t="s">
        <v>49</v>
      </c>
      <c r="K1825" t="s">
        <v>18</v>
      </c>
      <c r="L1825" t="str" cm="1">
        <f t="array" ref="L1825">_xlfn.IFS(B1825&lt;30,"18-29",B1825&lt;45,"30-44",B1825&lt;60,"45-59",B1825&lt;75,"60-74",B1825&lt;=90,"75-90")</f>
        <v>75-90</v>
      </c>
      <c r="M1825" t="str">
        <f>IF(Table1[[#This Row],[length_of_stay_days]]&gt;7,"Yes","No")</f>
        <v>Yes</v>
      </c>
    </row>
    <row r="1826" spans="1:13" x14ac:dyDescent="0.3">
      <c r="A1826" t="s">
        <v>2225</v>
      </c>
      <c r="B1826">
        <v>31</v>
      </c>
      <c r="C1826" t="s">
        <v>12</v>
      </c>
      <c r="D1826" t="s">
        <v>46</v>
      </c>
      <c r="E1826" t="s">
        <v>28</v>
      </c>
      <c r="F1826" t="s">
        <v>625</v>
      </c>
      <c r="G1826" t="s">
        <v>386</v>
      </c>
      <c r="H1826">
        <v>7</v>
      </c>
      <c r="I1826" s="1">
        <v>12830.19</v>
      </c>
      <c r="J1826" t="s">
        <v>17</v>
      </c>
      <c r="K1826" t="s">
        <v>18</v>
      </c>
      <c r="L1826" t="str" cm="1">
        <f t="array" ref="L1826">_xlfn.IFS(B1826&lt;30,"18-29",B1826&lt;45,"30-44",B1826&lt;60,"45-59",B1826&lt;75,"60-74",B1826&lt;=90,"75-90")</f>
        <v>30-44</v>
      </c>
      <c r="M1826" t="str">
        <f>IF(Table1[[#This Row],[length_of_stay_days]]&gt;7,"Yes","No")</f>
        <v>No</v>
      </c>
    </row>
    <row r="1827" spans="1:13" x14ac:dyDescent="0.3">
      <c r="A1827" t="s">
        <v>2226</v>
      </c>
      <c r="B1827">
        <v>52</v>
      </c>
      <c r="C1827" t="s">
        <v>20</v>
      </c>
      <c r="D1827" t="s">
        <v>13</v>
      </c>
      <c r="E1827" t="s">
        <v>28</v>
      </c>
      <c r="F1827" t="s">
        <v>306</v>
      </c>
      <c r="G1827" t="s">
        <v>179</v>
      </c>
      <c r="H1827">
        <v>7</v>
      </c>
      <c r="I1827" s="1">
        <v>6754.69</v>
      </c>
      <c r="J1827" t="s">
        <v>49</v>
      </c>
      <c r="K1827" t="s">
        <v>18</v>
      </c>
      <c r="L1827" t="str" cm="1">
        <f t="array" ref="L1827">_xlfn.IFS(B1827&lt;30,"18-29",B1827&lt;45,"30-44",B1827&lt;60,"45-59",B1827&lt;75,"60-74",B1827&lt;=90,"75-90")</f>
        <v>45-59</v>
      </c>
      <c r="M1827" t="str">
        <f>IF(Table1[[#This Row],[length_of_stay_days]]&gt;7,"Yes","No")</f>
        <v>No</v>
      </c>
    </row>
    <row r="1828" spans="1:13" x14ac:dyDescent="0.3">
      <c r="A1828" t="s">
        <v>2227</v>
      </c>
      <c r="B1828">
        <v>20</v>
      </c>
      <c r="C1828" t="s">
        <v>20</v>
      </c>
      <c r="D1828" t="s">
        <v>13</v>
      </c>
      <c r="E1828" t="s">
        <v>14</v>
      </c>
      <c r="F1828" t="s">
        <v>105</v>
      </c>
      <c r="G1828" t="s">
        <v>663</v>
      </c>
      <c r="H1828">
        <v>4</v>
      </c>
      <c r="I1828" s="1">
        <v>9167.2000000000007</v>
      </c>
      <c r="J1828" t="s">
        <v>17</v>
      </c>
      <c r="K1828" t="s">
        <v>18</v>
      </c>
      <c r="L1828" t="str" cm="1">
        <f t="array" ref="L1828">_xlfn.IFS(B1828&lt;30,"18-29",B1828&lt;45,"30-44",B1828&lt;60,"45-59",B1828&lt;75,"60-74",B1828&lt;=90,"75-90")</f>
        <v>18-29</v>
      </c>
      <c r="M1828" t="str">
        <f>IF(Table1[[#This Row],[length_of_stay_days]]&gt;7,"Yes","No")</f>
        <v>No</v>
      </c>
    </row>
    <row r="1829" spans="1:13" x14ac:dyDescent="0.3">
      <c r="A1829" t="s">
        <v>2228</v>
      </c>
      <c r="B1829">
        <v>78</v>
      </c>
      <c r="C1829" t="s">
        <v>20</v>
      </c>
      <c r="D1829" t="s">
        <v>46</v>
      </c>
      <c r="E1829" t="s">
        <v>14</v>
      </c>
      <c r="F1829" t="s">
        <v>472</v>
      </c>
      <c r="G1829" t="s">
        <v>355</v>
      </c>
      <c r="H1829">
        <v>10</v>
      </c>
      <c r="I1829" s="1">
        <v>15157.52</v>
      </c>
      <c r="J1829" t="s">
        <v>17</v>
      </c>
      <c r="K1829" t="s">
        <v>44</v>
      </c>
      <c r="L1829" t="str" cm="1">
        <f t="array" ref="L1829">_xlfn.IFS(B1829&lt;30,"18-29",B1829&lt;45,"30-44",B1829&lt;60,"45-59",B1829&lt;75,"60-74",B1829&lt;=90,"75-90")</f>
        <v>75-90</v>
      </c>
      <c r="M1829" t="str">
        <f>IF(Table1[[#This Row],[length_of_stay_days]]&gt;7,"Yes","No")</f>
        <v>Yes</v>
      </c>
    </row>
    <row r="1830" spans="1:13" x14ac:dyDescent="0.3">
      <c r="A1830" t="s">
        <v>2229</v>
      </c>
      <c r="B1830">
        <v>43</v>
      </c>
      <c r="C1830" t="s">
        <v>20</v>
      </c>
      <c r="D1830" t="s">
        <v>55</v>
      </c>
      <c r="E1830" t="s">
        <v>14</v>
      </c>
      <c r="F1830" t="s">
        <v>67</v>
      </c>
      <c r="G1830" t="s">
        <v>169</v>
      </c>
      <c r="H1830">
        <v>4</v>
      </c>
      <c r="I1830" s="1">
        <v>9952.5400000000009</v>
      </c>
      <c r="J1830" t="s">
        <v>17</v>
      </c>
      <c r="K1830" t="s">
        <v>18</v>
      </c>
      <c r="L1830" t="str" cm="1">
        <f t="array" ref="L1830">_xlfn.IFS(B1830&lt;30,"18-29",B1830&lt;45,"30-44",B1830&lt;60,"45-59",B1830&lt;75,"60-74",B1830&lt;=90,"75-90")</f>
        <v>30-44</v>
      </c>
      <c r="M1830" t="str">
        <f>IF(Table1[[#This Row],[length_of_stay_days]]&gt;7,"Yes","No")</f>
        <v>No</v>
      </c>
    </row>
    <row r="1831" spans="1:13" x14ac:dyDescent="0.3">
      <c r="A1831" t="s">
        <v>2230</v>
      </c>
      <c r="B1831">
        <v>75</v>
      </c>
      <c r="C1831" t="s">
        <v>12</v>
      </c>
      <c r="D1831" t="s">
        <v>28</v>
      </c>
      <c r="E1831" t="s">
        <v>14</v>
      </c>
      <c r="F1831" t="s">
        <v>797</v>
      </c>
      <c r="G1831" t="s">
        <v>322</v>
      </c>
      <c r="H1831">
        <v>4</v>
      </c>
      <c r="I1831" s="1">
        <v>4608.99</v>
      </c>
      <c r="J1831" t="s">
        <v>49</v>
      </c>
      <c r="K1831" t="s">
        <v>18</v>
      </c>
      <c r="L1831" t="str" cm="1">
        <f t="array" ref="L1831">_xlfn.IFS(B1831&lt;30,"18-29",B1831&lt;45,"30-44",B1831&lt;60,"45-59",B1831&lt;75,"60-74",B1831&lt;=90,"75-90")</f>
        <v>75-90</v>
      </c>
      <c r="M1831" t="str">
        <f>IF(Table1[[#This Row],[length_of_stay_days]]&gt;7,"Yes","No")</f>
        <v>No</v>
      </c>
    </row>
    <row r="1832" spans="1:13" x14ac:dyDescent="0.3">
      <c r="A1832" t="s">
        <v>2231</v>
      </c>
      <c r="B1832">
        <v>66</v>
      </c>
      <c r="C1832" t="s">
        <v>20</v>
      </c>
      <c r="D1832" t="s">
        <v>28</v>
      </c>
      <c r="E1832" t="s">
        <v>28</v>
      </c>
      <c r="F1832" t="s">
        <v>151</v>
      </c>
      <c r="G1832" t="s">
        <v>126</v>
      </c>
      <c r="H1832">
        <v>8</v>
      </c>
      <c r="I1832" s="1">
        <v>6475.29</v>
      </c>
      <c r="J1832" t="s">
        <v>17</v>
      </c>
      <c r="K1832" t="s">
        <v>18</v>
      </c>
      <c r="L1832" t="str" cm="1">
        <f t="array" ref="L1832">_xlfn.IFS(B1832&lt;30,"18-29",B1832&lt;45,"30-44",B1832&lt;60,"45-59",B1832&lt;75,"60-74",B1832&lt;=90,"75-90")</f>
        <v>60-74</v>
      </c>
      <c r="M1832" t="str">
        <f>IF(Table1[[#This Row],[length_of_stay_days]]&gt;7,"Yes","No")</f>
        <v>Yes</v>
      </c>
    </row>
    <row r="1833" spans="1:13" x14ac:dyDescent="0.3">
      <c r="A1833" t="s">
        <v>2232</v>
      </c>
      <c r="B1833">
        <v>63</v>
      </c>
      <c r="C1833" t="s">
        <v>12</v>
      </c>
      <c r="D1833" t="s">
        <v>28</v>
      </c>
      <c r="E1833" t="s">
        <v>28</v>
      </c>
      <c r="F1833" t="s">
        <v>849</v>
      </c>
      <c r="G1833" t="s">
        <v>129</v>
      </c>
      <c r="H1833">
        <v>6</v>
      </c>
      <c r="I1833" s="1">
        <v>5473.94</v>
      </c>
      <c r="J1833" t="s">
        <v>17</v>
      </c>
      <c r="K1833" t="s">
        <v>18</v>
      </c>
      <c r="L1833" t="str" cm="1">
        <f t="array" ref="L1833">_xlfn.IFS(B1833&lt;30,"18-29",B1833&lt;45,"30-44",B1833&lt;60,"45-59",B1833&lt;75,"60-74",B1833&lt;=90,"75-90")</f>
        <v>60-74</v>
      </c>
      <c r="M1833" t="str">
        <f>IF(Table1[[#This Row],[length_of_stay_days]]&gt;7,"Yes","No")</f>
        <v>No</v>
      </c>
    </row>
    <row r="1834" spans="1:13" x14ac:dyDescent="0.3">
      <c r="A1834" t="s">
        <v>2233</v>
      </c>
      <c r="B1834">
        <v>72</v>
      </c>
      <c r="C1834" t="s">
        <v>12</v>
      </c>
      <c r="D1834" t="s">
        <v>46</v>
      </c>
      <c r="E1834" t="s">
        <v>28</v>
      </c>
      <c r="F1834" t="s">
        <v>837</v>
      </c>
      <c r="G1834" t="s">
        <v>609</v>
      </c>
      <c r="H1834">
        <v>9</v>
      </c>
      <c r="I1834" s="1">
        <v>17158.02</v>
      </c>
      <c r="J1834" t="s">
        <v>17</v>
      </c>
      <c r="K1834" t="s">
        <v>18</v>
      </c>
      <c r="L1834" t="str" cm="1">
        <f t="array" ref="L1834">_xlfn.IFS(B1834&lt;30,"18-29",B1834&lt;45,"30-44",B1834&lt;60,"45-59",B1834&lt;75,"60-74",B1834&lt;=90,"75-90")</f>
        <v>60-74</v>
      </c>
      <c r="M1834" t="str">
        <f>IF(Table1[[#This Row],[length_of_stay_days]]&gt;7,"Yes","No")</f>
        <v>Yes</v>
      </c>
    </row>
    <row r="1835" spans="1:13" x14ac:dyDescent="0.3">
      <c r="A1835" t="s">
        <v>2234</v>
      </c>
      <c r="B1835">
        <v>65</v>
      </c>
      <c r="C1835" t="s">
        <v>20</v>
      </c>
      <c r="D1835" t="s">
        <v>13</v>
      </c>
      <c r="E1835" t="s">
        <v>28</v>
      </c>
      <c r="F1835" t="s">
        <v>386</v>
      </c>
      <c r="G1835" t="s">
        <v>408</v>
      </c>
      <c r="H1835">
        <v>5</v>
      </c>
      <c r="I1835" s="1">
        <v>8330.4699999999993</v>
      </c>
      <c r="J1835" t="s">
        <v>17</v>
      </c>
      <c r="K1835" t="s">
        <v>18</v>
      </c>
      <c r="L1835" t="str" cm="1">
        <f t="array" ref="L1835">_xlfn.IFS(B1835&lt;30,"18-29",B1835&lt;45,"30-44",B1835&lt;60,"45-59",B1835&lt;75,"60-74",B1835&lt;=90,"75-90")</f>
        <v>60-74</v>
      </c>
      <c r="M1835" t="str">
        <f>IF(Table1[[#This Row],[length_of_stay_days]]&gt;7,"Yes","No")</f>
        <v>No</v>
      </c>
    </row>
    <row r="1836" spans="1:13" x14ac:dyDescent="0.3">
      <c r="A1836" t="s">
        <v>2235</v>
      </c>
      <c r="B1836">
        <v>50</v>
      </c>
      <c r="C1836" t="s">
        <v>12</v>
      </c>
      <c r="D1836" t="s">
        <v>51</v>
      </c>
      <c r="E1836" t="s">
        <v>28</v>
      </c>
      <c r="F1836" t="s">
        <v>547</v>
      </c>
      <c r="G1836" t="s">
        <v>72</v>
      </c>
      <c r="H1836">
        <v>6</v>
      </c>
      <c r="I1836" s="1">
        <v>13159.42</v>
      </c>
      <c r="J1836" t="s">
        <v>17</v>
      </c>
      <c r="K1836" t="s">
        <v>18</v>
      </c>
      <c r="L1836" t="str" cm="1">
        <f t="array" ref="L1836">_xlfn.IFS(B1836&lt;30,"18-29",B1836&lt;45,"30-44",B1836&lt;60,"45-59",B1836&lt;75,"60-74",B1836&lt;=90,"75-90")</f>
        <v>45-59</v>
      </c>
      <c r="M1836" t="str">
        <f>IF(Table1[[#This Row],[length_of_stay_days]]&gt;7,"Yes","No")</f>
        <v>No</v>
      </c>
    </row>
    <row r="1837" spans="1:13" x14ac:dyDescent="0.3">
      <c r="A1837" t="s">
        <v>2236</v>
      </c>
      <c r="B1837">
        <v>62</v>
      </c>
      <c r="C1837" t="s">
        <v>12</v>
      </c>
      <c r="D1837" t="s">
        <v>51</v>
      </c>
      <c r="E1837" t="s">
        <v>28</v>
      </c>
      <c r="F1837" t="s">
        <v>527</v>
      </c>
      <c r="G1837" t="s">
        <v>165</v>
      </c>
      <c r="H1837">
        <v>7</v>
      </c>
      <c r="I1837" s="1">
        <v>13242.78</v>
      </c>
      <c r="J1837" t="s">
        <v>49</v>
      </c>
      <c r="K1837" t="s">
        <v>18</v>
      </c>
      <c r="L1837" t="str" cm="1">
        <f t="array" ref="L1837">_xlfn.IFS(B1837&lt;30,"18-29",B1837&lt;45,"30-44",B1837&lt;60,"45-59",B1837&lt;75,"60-74",B1837&lt;=90,"75-90")</f>
        <v>60-74</v>
      </c>
      <c r="M1837" t="str">
        <f>IF(Table1[[#This Row],[length_of_stay_days]]&gt;7,"Yes","No")</f>
        <v>No</v>
      </c>
    </row>
    <row r="1838" spans="1:13" x14ac:dyDescent="0.3">
      <c r="A1838" t="s">
        <v>2237</v>
      </c>
      <c r="B1838">
        <v>71</v>
      </c>
      <c r="C1838" t="s">
        <v>12</v>
      </c>
      <c r="D1838" t="s">
        <v>28</v>
      </c>
      <c r="E1838" t="s">
        <v>21</v>
      </c>
      <c r="F1838" t="s">
        <v>263</v>
      </c>
      <c r="G1838" t="s">
        <v>509</v>
      </c>
      <c r="H1838">
        <v>8</v>
      </c>
      <c r="I1838" s="1">
        <v>6522.13</v>
      </c>
      <c r="J1838" t="s">
        <v>17</v>
      </c>
      <c r="K1838" t="s">
        <v>18</v>
      </c>
      <c r="L1838" t="str" cm="1">
        <f t="array" ref="L1838">_xlfn.IFS(B1838&lt;30,"18-29",B1838&lt;45,"30-44",B1838&lt;60,"45-59",B1838&lt;75,"60-74",B1838&lt;=90,"75-90")</f>
        <v>60-74</v>
      </c>
      <c r="M1838" t="str">
        <f>IF(Table1[[#This Row],[length_of_stay_days]]&gt;7,"Yes","No")</f>
        <v>Yes</v>
      </c>
    </row>
    <row r="1839" spans="1:13" x14ac:dyDescent="0.3">
      <c r="A1839" t="s">
        <v>2238</v>
      </c>
      <c r="B1839">
        <v>76</v>
      </c>
      <c r="C1839" t="s">
        <v>20</v>
      </c>
      <c r="D1839" t="s">
        <v>46</v>
      </c>
      <c r="E1839" t="s">
        <v>28</v>
      </c>
      <c r="F1839" t="s">
        <v>520</v>
      </c>
      <c r="G1839" t="s">
        <v>84</v>
      </c>
      <c r="H1839">
        <v>8</v>
      </c>
      <c r="I1839" s="1">
        <v>14018.71</v>
      </c>
      <c r="J1839" t="s">
        <v>49</v>
      </c>
      <c r="K1839" t="s">
        <v>18</v>
      </c>
      <c r="L1839" t="str" cm="1">
        <f t="array" ref="L1839">_xlfn.IFS(B1839&lt;30,"18-29",B1839&lt;45,"30-44",B1839&lt;60,"45-59",B1839&lt;75,"60-74",B1839&lt;=90,"75-90")</f>
        <v>75-90</v>
      </c>
      <c r="M1839" t="str">
        <f>IF(Table1[[#This Row],[length_of_stay_days]]&gt;7,"Yes","No")</f>
        <v>Yes</v>
      </c>
    </row>
    <row r="1840" spans="1:13" x14ac:dyDescent="0.3">
      <c r="A1840" t="s">
        <v>2239</v>
      </c>
      <c r="B1840">
        <v>90</v>
      </c>
      <c r="C1840" t="s">
        <v>20</v>
      </c>
      <c r="D1840" t="s">
        <v>13</v>
      </c>
      <c r="E1840" t="s">
        <v>14</v>
      </c>
      <c r="F1840" t="s">
        <v>617</v>
      </c>
      <c r="G1840" t="s">
        <v>174</v>
      </c>
      <c r="H1840">
        <v>3</v>
      </c>
      <c r="I1840" s="1">
        <v>5733.69</v>
      </c>
      <c r="J1840" t="s">
        <v>17</v>
      </c>
      <c r="K1840" t="s">
        <v>18</v>
      </c>
      <c r="L1840" t="str" cm="1">
        <f t="array" ref="L1840">_xlfn.IFS(B1840&lt;30,"18-29",B1840&lt;45,"30-44",B1840&lt;60,"45-59",B1840&lt;75,"60-74",B1840&lt;=90,"75-90")</f>
        <v>75-90</v>
      </c>
      <c r="M1840" t="str">
        <f>IF(Table1[[#This Row],[length_of_stay_days]]&gt;7,"Yes","No")</f>
        <v>No</v>
      </c>
    </row>
    <row r="1841" spans="1:13" x14ac:dyDescent="0.3">
      <c r="A1841" t="s">
        <v>2240</v>
      </c>
      <c r="B1841">
        <v>66</v>
      </c>
      <c r="C1841" t="s">
        <v>20</v>
      </c>
      <c r="D1841" t="s">
        <v>55</v>
      </c>
      <c r="E1841" t="s">
        <v>28</v>
      </c>
      <c r="F1841" t="s">
        <v>350</v>
      </c>
      <c r="G1841" t="s">
        <v>26</v>
      </c>
      <c r="H1841">
        <v>5</v>
      </c>
      <c r="I1841" s="1">
        <v>8508.08</v>
      </c>
      <c r="J1841" t="s">
        <v>17</v>
      </c>
      <c r="K1841" t="s">
        <v>18</v>
      </c>
      <c r="L1841" t="str" cm="1">
        <f t="array" ref="L1841">_xlfn.IFS(B1841&lt;30,"18-29",B1841&lt;45,"30-44",B1841&lt;60,"45-59",B1841&lt;75,"60-74",B1841&lt;=90,"75-90")</f>
        <v>60-74</v>
      </c>
      <c r="M1841" t="str">
        <f>IF(Table1[[#This Row],[length_of_stay_days]]&gt;7,"Yes","No")</f>
        <v>No</v>
      </c>
    </row>
    <row r="1842" spans="1:13" x14ac:dyDescent="0.3">
      <c r="A1842" t="s">
        <v>2241</v>
      </c>
      <c r="B1842">
        <v>44</v>
      </c>
      <c r="C1842" t="s">
        <v>20</v>
      </c>
      <c r="D1842" t="s">
        <v>51</v>
      </c>
      <c r="E1842" t="s">
        <v>21</v>
      </c>
      <c r="F1842" t="s">
        <v>543</v>
      </c>
      <c r="G1842" t="s">
        <v>234</v>
      </c>
      <c r="H1842">
        <v>8</v>
      </c>
      <c r="I1842" s="1">
        <v>13109.95</v>
      </c>
      <c r="J1842" t="s">
        <v>49</v>
      </c>
      <c r="K1842" t="s">
        <v>18</v>
      </c>
      <c r="L1842" t="str" cm="1">
        <f t="array" ref="L1842">_xlfn.IFS(B1842&lt;30,"18-29",B1842&lt;45,"30-44",B1842&lt;60,"45-59",B1842&lt;75,"60-74",B1842&lt;=90,"75-90")</f>
        <v>30-44</v>
      </c>
      <c r="M1842" t="str">
        <f>IF(Table1[[#This Row],[length_of_stay_days]]&gt;7,"Yes","No")</f>
        <v>Yes</v>
      </c>
    </row>
    <row r="1843" spans="1:13" x14ac:dyDescent="0.3">
      <c r="A1843" t="s">
        <v>2242</v>
      </c>
      <c r="B1843">
        <v>70</v>
      </c>
      <c r="C1843" t="s">
        <v>20</v>
      </c>
      <c r="D1843" t="s">
        <v>46</v>
      </c>
      <c r="E1843" t="s">
        <v>28</v>
      </c>
      <c r="F1843" t="s">
        <v>320</v>
      </c>
      <c r="G1843" t="s">
        <v>1054</v>
      </c>
      <c r="H1843">
        <v>8</v>
      </c>
      <c r="I1843" s="1">
        <v>15157.94</v>
      </c>
      <c r="J1843" t="s">
        <v>49</v>
      </c>
      <c r="K1843" t="s">
        <v>18</v>
      </c>
      <c r="L1843" t="str" cm="1">
        <f t="array" ref="L1843">_xlfn.IFS(B1843&lt;30,"18-29",B1843&lt;45,"30-44",B1843&lt;60,"45-59",B1843&lt;75,"60-74",B1843&lt;=90,"75-90")</f>
        <v>60-74</v>
      </c>
      <c r="M1843" t="str">
        <f>IF(Table1[[#This Row],[length_of_stay_days]]&gt;7,"Yes","No")</f>
        <v>Yes</v>
      </c>
    </row>
    <row r="1844" spans="1:13" x14ac:dyDescent="0.3">
      <c r="A1844" t="s">
        <v>2243</v>
      </c>
      <c r="B1844">
        <v>34</v>
      </c>
      <c r="C1844" t="s">
        <v>20</v>
      </c>
      <c r="D1844" t="s">
        <v>51</v>
      </c>
      <c r="E1844" t="s">
        <v>21</v>
      </c>
      <c r="F1844" t="s">
        <v>231</v>
      </c>
      <c r="G1844" t="s">
        <v>174</v>
      </c>
      <c r="H1844">
        <v>5</v>
      </c>
      <c r="I1844" s="1">
        <v>8794.17</v>
      </c>
      <c r="J1844" t="s">
        <v>17</v>
      </c>
      <c r="K1844" t="s">
        <v>18</v>
      </c>
      <c r="L1844" t="str" cm="1">
        <f t="array" ref="L1844">_xlfn.IFS(B1844&lt;30,"18-29",B1844&lt;45,"30-44",B1844&lt;60,"45-59",B1844&lt;75,"60-74",B1844&lt;=90,"75-90")</f>
        <v>30-44</v>
      </c>
      <c r="M1844" t="str">
        <f>IF(Table1[[#This Row],[length_of_stay_days]]&gt;7,"Yes","No")</f>
        <v>No</v>
      </c>
    </row>
    <row r="1845" spans="1:13" x14ac:dyDescent="0.3">
      <c r="A1845" t="s">
        <v>2244</v>
      </c>
      <c r="B1845">
        <v>54</v>
      </c>
      <c r="C1845" t="s">
        <v>12</v>
      </c>
      <c r="D1845" t="s">
        <v>55</v>
      </c>
      <c r="E1845" t="s">
        <v>14</v>
      </c>
      <c r="F1845" t="s">
        <v>355</v>
      </c>
      <c r="G1845" t="s">
        <v>575</v>
      </c>
      <c r="H1845">
        <v>8</v>
      </c>
      <c r="I1845" s="1">
        <v>12355.86</v>
      </c>
      <c r="J1845" t="s">
        <v>17</v>
      </c>
      <c r="K1845" t="s">
        <v>18</v>
      </c>
      <c r="L1845" t="str" cm="1">
        <f t="array" ref="L1845">_xlfn.IFS(B1845&lt;30,"18-29",B1845&lt;45,"30-44",B1845&lt;60,"45-59",B1845&lt;75,"60-74",B1845&lt;=90,"75-90")</f>
        <v>45-59</v>
      </c>
      <c r="M1845" t="str">
        <f>IF(Table1[[#This Row],[length_of_stay_days]]&gt;7,"Yes","No")</f>
        <v>Yes</v>
      </c>
    </row>
    <row r="1846" spans="1:13" x14ac:dyDescent="0.3">
      <c r="A1846" t="s">
        <v>2245</v>
      </c>
      <c r="B1846">
        <v>44</v>
      </c>
      <c r="C1846" t="s">
        <v>20</v>
      </c>
      <c r="D1846" t="s">
        <v>46</v>
      </c>
      <c r="E1846" t="s">
        <v>21</v>
      </c>
      <c r="F1846" t="s">
        <v>283</v>
      </c>
      <c r="G1846" t="s">
        <v>823</v>
      </c>
      <c r="H1846">
        <v>4</v>
      </c>
      <c r="I1846" s="1">
        <v>10670.41</v>
      </c>
      <c r="J1846" t="s">
        <v>17</v>
      </c>
      <c r="K1846" t="s">
        <v>18</v>
      </c>
      <c r="L1846" t="str" cm="1">
        <f t="array" ref="L1846">_xlfn.IFS(B1846&lt;30,"18-29",B1846&lt;45,"30-44",B1846&lt;60,"45-59",B1846&lt;75,"60-74",B1846&lt;=90,"75-90")</f>
        <v>30-44</v>
      </c>
      <c r="M1846" t="str">
        <f>IF(Table1[[#This Row],[length_of_stay_days]]&gt;7,"Yes","No")</f>
        <v>No</v>
      </c>
    </row>
    <row r="1847" spans="1:13" x14ac:dyDescent="0.3">
      <c r="A1847" t="s">
        <v>2246</v>
      </c>
      <c r="B1847">
        <v>44</v>
      </c>
      <c r="C1847" t="s">
        <v>20</v>
      </c>
      <c r="D1847" t="s">
        <v>13</v>
      </c>
      <c r="E1847" t="s">
        <v>28</v>
      </c>
      <c r="F1847" t="s">
        <v>314</v>
      </c>
      <c r="G1847" t="s">
        <v>765</v>
      </c>
      <c r="H1847">
        <v>1</v>
      </c>
      <c r="I1847" s="1">
        <v>5808.77</v>
      </c>
      <c r="J1847" t="s">
        <v>17</v>
      </c>
      <c r="K1847" t="s">
        <v>18</v>
      </c>
      <c r="L1847" t="str" cm="1">
        <f t="array" ref="L1847">_xlfn.IFS(B1847&lt;30,"18-29",B1847&lt;45,"30-44",B1847&lt;60,"45-59",B1847&lt;75,"60-74",B1847&lt;=90,"75-90")</f>
        <v>30-44</v>
      </c>
      <c r="M1847" t="str">
        <f>IF(Table1[[#This Row],[length_of_stay_days]]&gt;7,"Yes","No")</f>
        <v>No</v>
      </c>
    </row>
    <row r="1848" spans="1:13" x14ac:dyDescent="0.3">
      <c r="A1848" t="s">
        <v>2247</v>
      </c>
      <c r="B1848">
        <v>57</v>
      </c>
      <c r="C1848" t="s">
        <v>12</v>
      </c>
      <c r="D1848" t="s">
        <v>32</v>
      </c>
      <c r="E1848" t="s">
        <v>14</v>
      </c>
      <c r="F1848" t="s">
        <v>656</v>
      </c>
      <c r="G1848" t="s">
        <v>454</v>
      </c>
      <c r="H1848">
        <v>9</v>
      </c>
      <c r="I1848" s="1">
        <v>12922.33</v>
      </c>
      <c r="J1848" t="s">
        <v>17</v>
      </c>
      <c r="K1848" t="s">
        <v>18</v>
      </c>
      <c r="L1848" t="str" cm="1">
        <f t="array" ref="L1848">_xlfn.IFS(B1848&lt;30,"18-29",B1848&lt;45,"30-44",B1848&lt;60,"45-59",B1848&lt;75,"60-74",B1848&lt;=90,"75-90")</f>
        <v>45-59</v>
      </c>
      <c r="M1848" t="str">
        <f>IF(Table1[[#This Row],[length_of_stay_days]]&gt;7,"Yes","No")</f>
        <v>Yes</v>
      </c>
    </row>
    <row r="1849" spans="1:13" x14ac:dyDescent="0.3">
      <c r="A1849" t="s">
        <v>2248</v>
      </c>
      <c r="B1849">
        <v>58</v>
      </c>
      <c r="C1849" t="s">
        <v>20</v>
      </c>
      <c r="D1849" t="s">
        <v>32</v>
      </c>
      <c r="E1849" t="s">
        <v>21</v>
      </c>
      <c r="F1849" t="s">
        <v>413</v>
      </c>
      <c r="G1849" t="s">
        <v>497</v>
      </c>
      <c r="H1849">
        <v>6</v>
      </c>
      <c r="I1849" s="1">
        <v>9330.59</v>
      </c>
      <c r="J1849" t="s">
        <v>17</v>
      </c>
      <c r="K1849" t="s">
        <v>18</v>
      </c>
      <c r="L1849" t="str" cm="1">
        <f t="array" ref="L1849">_xlfn.IFS(B1849&lt;30,"18-29",B1849&lt;45,"30-44",B1849&lt;60,"45-59",B1849&lt;75,"60-74",B1849&lt;=90,"75-90")</f>
        <v>45-59</v>
      </c>
      <c r="M1849" t="str">
        <f>IF(Table1[[#This Row],[length_of_stay_days]]&gt;7,"Yes","No")</f>
        <v>No</v>
      </c>
    </row>
    <row r="1850" spans="1:13" x14ac:dyDescent="0.3">
      <c r="A1850" t="s">
        <v>2249</v>
      </c>
      <c r="B1850">
        <v>51</v>
      </c>
      <c r="C1850" t="s">
        <v>12</v>
      </c>
      <c r="D1850" t="s">
        <v>32</v>
      </c>
      <c r="E1850" t="s">
        <v>28</v>
      </c>
      <c r="F1850" t="s">
        <v>194</v>
      </c>
      <c r="G1850" t="s">
        <v>149</v>
      </c>
      <c r="H1850">
        <v>2</v>
      </c>
      <c r="I1850" s="1">
        <v>8244.35</v>
      </c>
      <c r="J1850" t="s">
        <v>17</v>
      </c>
      <c r="K1850" t="s">
        <v>18</v>
      </c>
      <c r="L1850" t="str" cm="1">
        <f t="array" ref="L1850">_xlfn.IFS(B1850&lt;30,"18-29",B1850&lt;45,"30-44",B1850&lt;60,"45-59",B1850&lt;75,"60-74",B1850&lt;=90,"75-90")</f>
        <v>45-59</v>
      </c>
      <c r="M1850" t="str">
        <f>IF(Table1[[#This Row],[length_of_stay_days]]&gt;7,"Yes","No")</f>
        <v>No</v>
      </c>
    </row>
    <row r="1851" spans="1:13" x14ac:dyDescent="0.3">
      <c r="A1851" t="s">
        <v>2250</v>
      </c>
      <c r="B1851">
        <v>60</v>
      </c>
      <c r="C1851" t="s">
        <v>20</v>
      </c>
      <c r="D1851" t="s">
        <v>32</v>
      </c>
      <c r="E1851" t="s">
        <v>28</v>
      </c>
      <c r="F1851" t="s">
        <v>629</v>
      </c>
      <c r="G1851" t="s">
        <v>68</v>
      </c>
      <c r="H1851">
        <v>2</v>
      </c>
      <c r="I1851" s="1">
        <v>9026.82</v>
      </c>
      <c r="J1851" t="s">
        <v>17</v>
      </c>
      <c r="K1851" t="s">
        <v>18</v>
      </c>
      <c r="L1851" t="str" cm="1">
        <f t="array" ref="L1851">_xlfn.IFS(B1851&lt;30,"18-29",B1851&lt;45,"30-44",B1851&lt;60,"45-59",B1851&lt;75,"60-74",B1851&lt;=90,"75-90")</f>
        <v>60-74</v>
      </c>
      <c r="M1851" t="str">
        <f>IF(Table1[[#This Row],[length_of_stay_days]]&gt;7,"Yes","No")</f>
        <v>No</v>
      </c>
    </row>
    <row r="1852" spans="1:13" x14ac:dyDescent="0.3">
      <c r="A1852" t="s">
        <v>2251</v>
      </c>
      <c r="B1852">
        <v>58</v>
      </c>
      <c r="C1852" t="s">
        <v>20</v>
      </c>
      <c r="D1852" t="s">
        <v>13</v>
      </c>
      <c r="E1852" t="s">
        <v>21</v>
      </c>
      <c r="F1852" t="s">
        <v>248</v>
      </c>
      <c r="G1852" t="s">
        <v>95</v>
      </c>
      <c r="H1852">
        <v>3</v>
      </c>
      <c r="I1852" s="1">
        <v>8179.57</v>
      </c>
      <c r="J1852" t="s">
        <v>17</v>
      </c>
      <c r="K1852" t="s">
        <v>18</v>
      </c>
      <c r="L1852" t="str" cm="1">
        <f t="array" ref="L1852">_xlfn.IFS(B1852&lt;30,"18-29",B1852&lt;45,"30-44",B1852&lt;60,"45-59",B1852&lt;75,"60-74",B1852&lt;=90,"75-90")</f>
        <v>45-59</v>
      </c>
      <c r="M1852" t="str">
        <f>IF(Table1[[#This Row],[length_of_stay_days]]&gt;7,"Yes","No")</f>
        <v>No</v>
      </c>
    </row>
    <row r="1853" spans="1:13" x14ac:dyDescent="0.3">
      <c r="A1853" t="s">
        <v>2252</v>
      </c>
      <c r="B1853">
        <v>59</v>
      </c>
      <c r="C1853" t="s">
        <v>12</v>
      </c>
      <c r="D1853" t="s">
        <v>51</v>
      </c>
      <c r="E1853" t="s">
        <v>28</v>
      </c>
      <c r="F1853" t="s">
        <v>124</v>
      </c>
      <c r="G1853" t="s">
        <v>683</v>
      </c>
      <c r="H1853">
        <v>9</v>
      </c>
      <c r="I1853" s="1">
        <v>15213.21</v>
      </c>
      <c r="J1853" t="s">
        <v>17</v>
      </c>
      <c r="K1853" t="s">
        <v>18</v>
      </c>
      <c r="L1853" t="str" cm="1">
        <f t="array" ref="L1853">_xlfn.IFS(B1853&lt;30,"18-29",B1853&lt;45,"30-44",B1853&lt;60,"45-59",B1853&lt;75,"60-74",B1853&lt;=90,"75-90")</f>
        <v>45-59</v>
      </c>
      <c r="M1853" t="str">
        <f>IF(Table1[[#This Row],[length_of_stay_days]]&gt;7,"Yes","No")</f>
        <v>Yes</v>
      </c>
    </row>
    <row r="1854" spans="1:13" x14ac:dyDescent="0.3">
      <c r="A1854" t="s">
        <v>2253</v>
      </c>
      <c r="B1854">
        <v>90</v>
      </c>
      <c r="C1854" t="s">
        <v>20</v>
      </c>
      <c r="D1854" t="s">
        <v>32</v>
      </c>
      <c r="E1854" t="s">
        <v>14</v>
      </c>
      <c r="F1854" t="s">
        <v>132</v>
      </c>
      <c r="G1854" t="s">
        <v>263</v>
      </c>
      <c r="H1854">
        <v>5</v>
      </c>
      <c r="I1854" s="1">
        <v>9338.08</v>
      </c>
      <c r="J1854" t="s">
        <v>17</v>
      </c>
      <c r="K1854" t="s">
        <v>18</v>
      </c>
      <c r="L1854" t="str" cm="1">
        <f t="array" ref="L1854">_xlfn.IFS(B1854&lt;30,"18-29",B1854&lt;45,"30-44",B1854&lt;60,"45-59",B1854&lt;75,"60-74",B1854&lt;=90,"75-90")</f>
        <v>75-90</v>
      </c>
      <c r="M1854" t="str">
        <f>IF(Table1[[#This Row],[length_of_stay_days]]&gt;7,"Yes","No")</f>
        <v>No</v>
      </c>
    </row>
    <row r="1855" spans="1:13" x14ac:dyDescent="0.3">
      <c r="A1855" t="s">
        <v>2254</v>
      </c>
      <c r="B1855">
        <v>59</v>
      </c>
      <c r="C1855" t="s">
        <v>12</v>
      </c>
      <c r="D1855" t="s">
        <v>13</v>
      </c>
      <c r="E1855" t="s">
        <v>14</v>
      </c>
      <c r="F1855" t="s">
        <v>43</v>
      </c>
      <c r="G1855" t="s">
        <v>315</v>
      </c>
      <c r="H1855">
        <v>4</v>
      </c>
      <c r="I1855" s="1">
        <v>9904.18</v>
      </c>
      <c r="J1855" t="s">
        <v>17</v>
      </c>
      <c r="K1855" t="s">
        <v>18</v>
      </c>
      <c r="L1855" t="str" cm="1">
        <f t="array" ref="L1855">_xlfn.IFS(B1855&lt;30,"18-29",B1855&lt;45,"30-44",B1855&lt;60,"45-59",B1855&lt;75,"60-74",B1855&lt;=90,"75-90")</f>
        <v>45-59</v>
      </c>
      <c r="M1855" t="str">
        <f>IF(Table1[[#This Row],[length_of_stay_days]]&gt;7,"Yes","No")</f>
        <v>No</v>
      </c>
    </row>
    <row r="1856" spans="1:13" x14ac:dyDescent="0.3">
      <c r="A1856" t="s">
        <v>2255</v>
      </c>
      <c r="B1856">
        <v>51</v>
      </c>
      <c r="C1856" t="s">
        <v>12</v>
      </c>
      <c r="D1856" t="s">
        <v>55</v>
      </c>
      <c r="E1856" t="s">
        <v>14</v>
      </c>
      <c r="F1856" t="s">
        <v>273</v>
      </c>
      <c r="G1856" t="s">
        <v>317</v>
      </c>
      <c r="H1856">
        <v>3</v>
      </c>
      <c r="I1856" s="1">
        <v>8092.81</v>
      </c>
      <c r="J1856" t="s">
        <v>17</v>
      </c>
      <c r="K1856" t="s">
        <v>18</v>
      </c>
      <c r="L1856" t="str" cm="1">
        <f t="array" ref="L1856">_xlfn.IFS(B1856&lt;30,"18-29",B1856&lt;45,"30-44",B1856&lt;60,"45-59",B1856&lt;75,"60-74",B1856&lt;=90,"75-90")</f>
        <v>45-59</v>
      </c>
      <c r="M1856" t="str">
        <f>IF(Table1[[#This Row],[length_of_stay_days]]&gt;7,"Yes","No")</f>
        <v>No</v>
      </c>
    </row>
    <row r="1857" spans="1:13" x14ac:dyDescent="0.3">
      <c r="A1857" t="s">
        <v>2256</v>
      </c>
      <c r="B1857">
        <v>76</v>
      </c>
      <c r="C1857" t="s">
        <v>12</v>
      </c>
      <c r="D1857" t="s">
        <v>28</v>
      </c>
      <c r="E1857" t="s">
        <v>14</v>
      </c>
      <c r="F1857" t="s">
        <v>701</v>
      </c>
      <c r="G1857" t="s">
        <v>16</v>
      </c>
      <c r="H1857">
        <v>3</v>
      </c>
      <c r="I1857" s="1">
        <v>4421.87</v>
      </c>
      <c r="J1857" t="s">
        <v>17</v>
      </c>
      <c r="K1857" t="s">
        <v>18</v>
      </c>
      <c r="L1857" t="str" cm="1">
        <f t="array" ref="L1857">_xlfn.IFS(B1857&lt;30,"18-29",B1857&lt;45,"30-44",B1857&lt;60,"45-59",B1857&lt;75,"60-74",B1857&lt;=90,"75-90")</f>
        <v>75-90</v>
      </c>
      <c r="M1857" t="str">
        <f>IF(Table1[[#This Row],[length_of_stay_days]]&gt;7,"Yes","No")</f>
        <v>No</v>
      </c>
    </row>
    <row r="1858" spans="1:13" x14ac:dyDescent="0.3">
      <c r="A1858" t="s">
        <v>2257</v>
      </c>
      <c r="B1858">
        <v>78</v>
      </c>
      <c r="C1858" t="s">
        <v>12</v>
      </c>
      <c r="D1858" t="s">
        <v>51</v>
      </c>
      <c r="E1858" t="s">
        <v>14</v>
      </c>
      <c r="F1858" t="s">
        <v>575</v>
      </c>
      <c r="G1858" t="s">
        <v>67</v>
      </c>
      <c r="H1858">
        <v>6</v>
      </c>
      <c r="I1858" s="1">
        <v>11793.09</v>
      </c>
      <c r="J1858" t="s">
        <v>17</v>
      </c>
      <c r="K1858" t="s">
        <v>18</v>
      </c>
      <c r="L1858" t="str" cm="1">
        <f t="array" ref="L1858">_xlfn.IFS(B1858&lt;30,"18-29",B1858&lt;45,"30-44",B1858&lt;60,"45-59",B1858&lt;75,"60-74",B1858&lt;=90,"75-90")</f>
        <v>75-90</v>
      </c>
      <c r="M1858" t="str">
        <f>IF(Table1[[#This Row],[length_of_stay_days]]&gt;7,"Yes","No")</f>
        <v>No</v>
      </c>
    </row>
    <row r="1859" spans="1:13" x14ac:dyDescent="0.3">
      <c r="A1859" t="s">
        <v>2258</v>
      </c>
      <c r="B1859">
        <v>67</v>
      </c>
      <c r="C1859" t="s">
        <v>20</v>
      </c>
      <c r="D1859" t="s">
        <v>55</v>
      </c>
      <c r="E1859" t="s">
        <v>28</v>
      </c>
      <c r="F1859" t="s">
        <v>648</v>
      </c>
      <c r="G1859" t="s">
        <v>1054</v>
      </c>
      <c r="H1859">
        <v>6</v>
      </c>
      <c r="I1859" s="1">
        <v>7987.47</v>
      </c>
      <c r="J1859" t="s">
        <v>17</v>
      </c>
      <c r="K1859" t="s">
        <v>18</v>
      </c>
      <c r="L1859" t="str" cm="1">
        <f t="array" ref="L1859">_xlfn.IFS(B1859&lt;30,"18-29",B1859&lt;45,"30-44",B1859&lt;60,"45-59",B1859&lt;75,"60-74",B1859&lt;=90,"75-90")</f>
        <v>60-74</v>
      </c>
      <c r="M1859" t="str">
        <f>IF(Table1[[#This Row],[length_of_stay_days]]&gt;7,"Yes","No")</f>
        <v>No</v>
      </c>
    </row>
    <row r="1860" spans="1:13" x14ac:dyDescent="0.3">
      <c r="A1860" t="s">
        <v>2259</v>
      </c>
      <c r="B1860">
        <v>60</v>
      </c>
      <c r="C1860" t="s">
        <v>20</v>
      </c>
      <c r="D1860" t="s">
        <v>51</v>
      </c>
      <c r="E1860" t="s">
        <v>14</v>
      </c>
      <c r="F1860" t="s">
        <v>58</v>
      </c>
      <c r="G1860" t="s">
        <v>151</v>
      </c>
      <c r="H1860">
        <v>6</v>
      </c>
      <c r="I1860" s="1">
        <v>12989.58</v>
      </c>
      <c r="J1860" t="s">
        <v>17</v>
      </c>
      <c r="K1860" t="s">
        <v>18</v>
      </c>
      <c r="L1860" t="str" cm="1">
        <f t="array" ref="L1860">_xlfn.IFS(B1860&lt;30,"18-29",B1860&lt;45,"30-44",B1860&lt;60,"45-59",B1860&lt;75,"60-74",B1860&lt;=90,"75-90")</f>
        <v>60-74</v>
      </c>
      <c r="M1860" t="str">
        <f>IF(Table1[[#This Row],[length_of_stay_days]]&gt;7,"Yes","No")</f>
        <v>No</v>
      </c>
    </row>
    <row r="1861" spans="1:13" x14ac:dyDescent="0.3">
      <c r="A1861" t="s">
        <v>2260</v>
      </c>
      <c r="B1861">
        <v>26</v>
      </c>
      <c r="C1861" t="s">
        <v>20</v>
      </c>
      <c r="D1861" t="s">
        <v>13</v>
      </c>
      <c r="E1861" t="s">
        <v>21</v>
      </c>
      <c r="F1861" t="s">
        <v>330</v>
      </c>
      <c r="G1861" t="s">
        <v>471</v>
      </c>
      <c r="H1861">
        <v>4</v>
      </c>
      <c r="I1861" s="1">
        <v>7896.58</v>
      </c>
      <c r="J1861" t="s">
        <v>17</v>
      </c>
      <c r="K1861" t="s">
        <v>18</v>
      </c>
      <c r="L1861" t="str" cm="1">
        <f t="array" ref="L1861">_xlfn.IFS(B1861&lt;30,"18-29",B1861&lt;45,"30-44",B1861&lt;60,"45-59",B1861&lt;75,"60-74",B1861&lt;=90,"75-90")</f>
        <v>18-29</v>
      </c>
      <c r="M1861" t="str">
        <f>IF(Table1[[#This Row],[length_of_stay_days]]&gt;7,"Yes","No")</f>
        <v>No</v>
      </c>
    </row>
    <row r="1862" spans="1:13" x14ac:dyDescent="0.3">
      <c r="A1862" t="s">
        <v>2261</v>
      </c>
      <c r="B1862">
        <v>18</v>
      </c>
      <c r="C1862" t="s">
        <v>12</v>
      </c>
      <c r="D1862" t="s">
        <v>13</v>
      </c>
      <c r="E1862" t="s">
        <v>21</v>
      </c>
      <c r="F1862" t="s">
        <v>501</v>
      </c>
      <c r="G1862" t="s">
        <v>146</v>
      </c>
      <c r="H1862">
        <v>7</v>
      </c>
      <c r="I1862" s="1">
        <v>6733.2</v>
      </c>
      <c r="J1862" t="s">
        <v>17</v>
      </c>
      <c r="K1862" t="s">
        <v>18</v>
      </c>
      <c r="L1862" t="str" cm="1">
        <f t="array" ref="L1862">_xlfn.IFS(B1862&lt;30,"18-29",B1862&lt;45,"30-44",B1862&lt;60,"45-59",B1862&lt;75,"60-74",B1862&lt;=90,"75-90")</f>
        <v>18-29</v>
      </c>
      <c r="M1862" t="str">
        <f>IF(Table1[[#This Row],[length_of_stay_days]]&gt;7,"Yes","No")</f>
        <v>No</v>
      </c>
    </row>
    <row r="1863" spans="1:13" x14ac:dyDescent="0.3">
      <c r="A1863" t="s">
        <v>2262</v>
      </c>
      <c r="B1863">
        <v>25</v>
      </c>
      <c r="C1863" t="s">
        <v>20</v>
      </c>
      <c r="D1863" t="s">
        <v>32</v>
      </c>
      <c r="E1863" t="s">
        <v>28</v>
      </c>
      <c r="F1863" t="s">
        <v>396</v>
      </c>
      <c r="G1863" t="s">
        <v>852</v>
      </c>
      <c r="H1863">
        <v>3</v>
      </c>
      <c r="I1863" s="1">
        <v>8917.3700000000008</v>
      </c>
      <c r="J1863" t="s">
        <v>17</v>
      </c>
      <c r="K1863" t="s">
        <v>18</v>
      </c>
      <c r="L1863" t="str" cm="1">
        <f t="array" ref="L1863">_xlfn.IFS(B1863&lt;30,"18-29",B1863&lt;45,"30-44",B1863&lt;60,"45-59",B1863&lt;75,"60-74",B1863&lt;=90,"75-90")</f>
        <v>18-29</v>
      </c>
      <c r="M1863" t="str">
        <f>IF(Table1[[#This Row],[length_of_stay_days]]&gt;7,"Yes","No")</f>
        <v>No</v>
      </c>
    </row>
    <row r="1864" spans="1:13" x14ac:dyDescent="0.3">
      <c r="A1864" t="s">
        <v>2263</v>
      </c>
      <c r="B1864">
        <v>56</v>
      </c>
      <c r="C1864" t="s">
        <v>20</v>
      </c>
      <c r="D1864" t="s">
        <v>55</v>
      </c>
      <c r="E1864" t="s">
        <v>28</v>
      </c>
      <c r="F1864" t="s">
        <v>774</v>
      </c>
      <c r="G1864" t="s">
        <v>143</v>
      </c>
      <c r="H1864">
        <v>5</v>
      </c>
      <c r="I1864" s="1">
        <v>9150.94</v>
      </c>
      <c r="J1864" t="s">
        <v>17</v>
      </c>
      <c r="K1864" t="s">
        <v>18</v>
      </c>
      <c r="L1864" t="str" cm="1">
        <f t="array" ref="L1864">_xlfn.IFS(B1864&lt;30,"18-29",B1864&lt;45,"30-44",B1864&lt;60,"45-59",B1864&lt;75,"60-74",B1864&lt;=90,"75-90")</f>
        <v>45-59</v>
      </c>
      <c r="M1864" t="str">
        <f>IF(Table1[[#This Row],[length_of_stay_days]]&gt;7,"Yes","No")</f>
        <v>No</v>
      </c>
    </row>
    <row r="1865" spans="1:13" x14ac:dyDescent="0.3">
      <c r="A1865" t="s">
        <v>2264</v>
      </c>
      <c r="B1865">
        <v>58</v>
      </c>
      <c r="C1865" t="s">
        <v>12</v>
      </c>
      <c r="D1865" t="s">
        <v>28</v>
      </c>
      <c r="E1865" t="s">
        <v>14</v>
      </c>
      <c r="F1865" t="s">
        <v>163</v>
      </c>
      <c r="G1865" t="s">
        <v>323</v>
      </c>
      <c r="H1865">
        <v>4</v>
      </c>
      <c r="I1865" s="1">
        <v>3962.55</v>
      </c>
      <c r="J1865" t="s">
        <v>17</v>
      </c>
      <c r="K1865" t="s">
        <v>18</v>
      </c>
      <c r="L1865" t="str" cm="1">
        <f t="array" ref="L1865">_xlfn.IFS(B1865&lt;30,"18-29",B1865&lt;45,"30-44",B1865&lt;60,"45-59",B1865&lt;75,"60-74",B1865&lt;=90,"75-90")</f>
        <v>45-59</v>
      </c>
      <c r="M1865" t="str">
        <f>IF(Table1[[#This Row],[length_of_stay_days]]&gt;7,"Yes","No")</f>
        <v>No</v>
      </c>
    </row>
    <row r="1866" spans="1:13" x14ac:dyDescent="0.3">
      <c r="A1866" t="s">
        <v>2265</v>
      </c>
      <c r="B1866">
        <v>78</v>
      </c>
      <c r="C1866" t="s">
        <v>12</v>
      </c>
      <c r="D1866" t="s">
        <v>13</v>
      </c>
      <c r="E1866" t="s">
        <v>28</v>
      </c>
      <c r="F1866" t="s">
        <v>579</v>
      </c>
      <c r="G1866" t="s">
        <v>360</v>
      </c>
      <c r="H1866">
        <v>8</v>
      </c>
      <c r="I1866" s="1">
        <v>9674.61</v>
      </c>
      <c r="J1866" t="s">
        <v>17</v>
      </c>
      <c r="K1866" t="s">
        <v>18</v>
      </c>
      <c r="L1866" t="str" cm="1">
        <f t="array" ref="L1866">_xlfn.IFS(B1866&lt;30,"18-29",B1866&lt;45,"30-44",B1866&lt;60,"45-59",B1866&lt;75,"60-74",B1866&lt;=90,"75-90")</f>
        <v>75-90</v>
      </c>
      <c r="M1866" t="str">
        <f>IF(Table1[[#This Row],[length_of_stay_days]]&gt;7,"Yes","No")</f>
        <v>Yes</v>
      </c>
    </row>
    <row r="1867" spans="1:13" x14ac:dyDescent="0.3">
      <c r="A1867" t="s">
        <v>2266</v>
      </c>
      <c r="B1867">
        <v>44</v>
      </c>
      <c r="C1867" t="s">
        <v>20</v>
      </c>
      <c r="D1867" t="s">
        <v>13</v>
      </c>
      <c r="E1867" t="s">
        <v>14</v>
      </c>
      <c r="F1867" t="s">
        <v>701</v>
      </c>
      <c r="G1867" t="s">
        <v>16</v>
      </c>
      <c r="H1867">
        <v>3</v>
      </c>
      <c r="I1867" s="1">
        <v>6547</v>
      </c>
      <c r="J1867" t="s">
        <v>17</v>
      </c>
      <c r="K1867" t="s">
        <v>18</v>
      </c>
      <c r="L1867" t="str" cm="1">
        <f t="array" ref="L1867">_xlfn.IFS(B1867&lt;30,"18-29",B1867&lt;45,"30-44",B1867&lt;60,"45-59",B1867&lt;75,"60-74",B1867&lt;=90,"75-90")</f>
        <v>30-44</v>
      </c>
      <c r="M1867" t="str">
        <f>IF(Table1[[#This Row],[length_of_stay_days]]&gt;7,"Yes","No")</f>
        <v>No</v>
      </c>
    </row>
    <row r="1868" spans="1:13" x14ac:dyDescent="0.3">
      <c r="A1868" t="s">
        <v>2267</v>
      </c>
      <c r="B1868">
        <v>82</v>
      </c>
      <c r="C1868" t="s">
        <v>20</v>
      </c>
      <c r="D1868" t="s">
        <v>13</v>
      </c>
      <c r="E1868" t="s">
        <v>14</v>
      </c>
      <c r="F1868" t="s">
        <v>169</v>
      </c>
      <c r="G1868" t="s">
        <v>638</v>
      </c>
      <c r="H1868">
        <v>4</v>
      </c>
      <c r="I1868" s="1">
        <v>5966.14</v>
      </c>
      <c r="J1868" t="s">
        <v>49</v>
      </c>
      <c r="K1868" t="s">
        <v>18</v>
      </c>
      <c r="L1868" t="str" cm="1">
        <f t="array" ref="L1868">_xlfn.IFS(B1868&lt;30,"18-29",B1868&lt;45,"30-44",B1868&lt;60,"45-59",B1868&lt;75,"60-74",B1868&lt;=90,"75-90")</f>
        <v>75-90</v>
      </c>
      <c r="M1868" t="str">
        <f>IF(Table1[[#This Row],[length_of_stay_days]]&gt;7,"Yes","No")</f>
        <v>No</v>
      </c>
    </row>
    <row r="1869" spans="1:13" x14ac:dyDescent="0.3">
      <c r="A1869" t="s">
        <v>2268</v>
      </c>
      <c r="B1869">
        <v>48</v>
      </c>
      <c r="C1869" t="s">
        <v>12</v>
      </c>
      <c r="D1869" t="s">
        <v>55</v>
      </c>
      <c r="E1869" t="s">
        <v>14</v>
      </c>
      <c r="F1869" t="s">
        <v>256</v>
      </c>
      <c r="G1869" t="s">
        <v>516</v>
      </c>
      <c r="H1869">
        <v>3</v>
      </c>
      <c r="I1869" s="1">
        <v>8938.0400000000009</v>
      </c>
      <c r="J1869" t="s">
        <v>17</v>
      </c>
      <c r="K1869" t="s">
        <v>18</v>
      </c>
      <c r="L1869" t="str" cm="1">
        <f t="array" ref="L1869">_xlfn.IFS(B1869&lt;30,"18-29",B1869&lt;45,"30-44",B1869&lt;60,"45-59",B1869&lt;75,"60-74",B1869&lt;=90,"75-90")</f>
        <v>45-59</v>
      </c>
      <c r="M1869" t="str">
        <f>IF(Table1[[#This Row],[length_of_stay_days]]&gt;7,"Yes","No")</f>
        <v>No</v>
      </c>
    </row>
    <row r="1870" spans="1:13" x14ac:dyDescent="0.3">
      <c r="A1870" t="s">
        <v>2269</v>
      </c>
      <c r="B1870">
        <v>49</v>
      </c>
      <c r="C1870" t="s">
        <v>12</v>
      </c>
      <c r="D1870" t="s">
        <v>32</v>
      </c>
      <c r="E1870" t="s">
        <v>14</v>
      </c>
      <c r="F1870" t="s">
        <v>395</v>
      </c>
      <c r="G1870" t="s">
        <v>941</v>
      </c>
      <c r="H1870">
        <v>3</v>
      </c>
      <c r="I1870" s="1">
        <v>10844.6</v>
      </c>
      <c r="J1870" t="s">
        <v>17</v>
      </c>
      <c r="K1870" t="s">
        <v>18</v>
      </c>
      <c r="L1870" t="str" cm="1">
        <f t="array" ref="L1870">_xlfn.IFS(B1870&lt;30,"18-29",B1870&lt;45,"30-44",B1870&lt;60,"45-59",B1870&lt;75,"60-74",B1870&lt;=90,"75-90")</f>
        <v>45-59</v>
      </c>
      <c r="M1870" t="str">
        <f>IF(Table1[[#This Row],[length_of_stay_days]]&gt;7,"Yes","No")</f>
        <v>No</v>
      </c>
    </row>
    <row r="1871" spans="1:13" x14ac:dyDescent="0.3">
      <c r="A1871" t="s">
        <v>2270</v>
      </c>
      <c r="B1871">
        <v>36</v>
      </c>
      <c r="C1871" t="s">
        <v>20</v>
      </c>
      <c r="D1871" t="s">
        <v>55</v>
      </c>
      <c r="E1871" t="s">
        <v>28</v>
      </c>
      <c r="F1871" t="s">
        <v>23</v>
      </c>
      <c r="G1871" t="s">
        <v>92</v>
      </c>
      <c r="H1871">
        <v>3</v>
      </c>
      <c r="I1871" s="1">
        <v>9107.9500000000007</v>
      </c>
      <c r="J1871" t="s">
        <v>17</v>
      </c>
      <c r="K1871" t="s">
        <v>18</v>
      </c>
      <c r="L1871" t="str" cm="1">
        <f t="array" ref="L1871">_xlfn.IFS(B1871&lt;30,"18-29",B1871&lt;45,"30-44",B1871&lt;60,"45-59",B1871&lt;75,"60-74",B1871&lt;=90,"75-90")</f>
        <v>30-44</v>
      </c>
      <c r="M1871" t="str">
        <f>IF(Table1[[#This Row],[length_of_stay_days]]&gt;7,"Yes","No")</f>
        <v>No</v>
      </c>
    </row>
    <row r="1872" spans="1:13" x14ac:dyDescent="0.3">
      <c r="A1872" t="s">
        <v>2271</v>
      </c>
      <c r="B1872">
        <v>53</v>
      </c>
      <c r="C1872" t="s">
        <v>12</v>
      </c>
      <c r="D1872" t="s">
        <v>46</v>
      </c>
      <c r="E1872" t="s">
        <v>28</v>
      </c>
      <c r="F1872" t="s">
        <v>489</v>
      </c>
      <c r="G1872" t="s">
        <v>481</v>
      </c>
      <c r="H1872">
        <v>4</v>
      </c>
      <c r="I1872" s="1">
        <v>10906.19</v>
      </c>
      <c r="J1872" t="s">
        <v>17</v>
      </c>
      <c r="K1872" t="s">
        <v>18</v>
      </c>
      <c r="L1872" t="str" cm="1">
        <f t="array" ref="L1872">_xlfn.IFS(B1872&lt;30,"18-29",B1872&lt;45,"30-44",B1872&lt;60,"45-59",B1872&lt;75,"60-74",B1872&lt;=90,"75-90")</f>
        <v>45-59</v>
      </c>
      <c r="M1872" t="str">
        <f>IF(Table1[[#This Row],[length_of_stay_days]]&gt;7,"Yes","No")</f>
        <v>No</v>
      </c>
    </row>
    <row r="1873" spans="1:13" x14ac:dyDescent="0.3">
      <c r="A1873" t="s">
        <v>2272</v>
      </c>
      <c r="B1873">
        <v>47</v>
      </c>
      <c r="C1873" t="s">
        <v>20</v>
      </c>
      <c r="D1873" t="s">
        <v>13</v>
      </c>
      <c r="E1873" t="s">
        <v>28</v>
      </c>
      <c r="F1873" t="s">
        <v>1229</v>
      </c>
      <c r="G1873" t="s">
        <v>549</v>
      </c>
      <c r="H1873">
        <v>8</v>
      </c>
      <c r="I1873" s="1">
        <v>7263.59</v>
      </c>
      <c r="J1873" t="s">
        <v>17</v>
      </c>
      <c r="K1873" t="s">
        <v>18</v>
      </c>
      <c r="L1873" t="str" cm="1">
        <f t="array" ref="L1873">_xlfn.IFS(B1873&lt;30,"18-29",B1873&lt;45,"30-44",B1873&lt;60,"45-59",B1873&lt;75,"60-74",B1873&lt;=90,"75-90")</f>
        <v>45-59</v>
      </c>
      <c r="M1873" t="str">
        <f>IF(Table1[[#This Row],[length_of_stay_days]]&gt;7,"Yes","No")</f>
        <v>Yes</v>
      </c>
    </row>
    <row r="1874" spans="1:13" x14ac:dyDescent="0.3">
      <c r="A1874" t="s">
        <v>2273</v>
      </c>
      <c r="B1874">
        <v>51</v>
      </c>
      <c r="C1874" t="s">
        <v>20</v>
      </c>
      <c r="D1874" t="s">
        <v>32</v>
      </c>
      <c r="E1874" t="s">
        <v>14</v>
      </c>
      <c r="F1874" t="s">
        <v>554</v>
      </c>
      <c r="G1874" t="s">
        <v>579</v>
      </c>
      <c r="H1874">
        <v>7</v>
      </c>
      <c r="I1874" s="1">
        <v>10863.96</v>
      </c>
      <c r="J1874" t="s">
        <v>17</v>
      </c>
      <c r="K1874" t="s">
        <v>18</v>
      </c>
      <c r="L1874" t="str" cm="1">
        <f t="array" ref="L1874">_xlfn.IFS(B1874&lt;30,"18-29",B1874&lt;45,"30-44",B1874&lt;60,"45-59",B1874&lt;75,"60-74",B1874&lt;=90,"75-90")</f>
        <v>45-59</v>
      </c>
      <c r="M1874" t="str">
        <f>IF(Table1[[#This Row],[length_of_stay_days]]&gt;7,"Yes","No")</f>
        <v>No</v>
      </c>
    </row>
    <row r="1875" spans="1:13" x14ac:dyDescent="0.3">
      <c r="A1875" t="s">
        <v>2274</v>
      </c>
      <c r="B1875">
        <v>63</v>
      </c>
      <c r="C1875" t="s">
        <v>12</v>
      </c>
      <c r="D1875" t="s">
        <v>28</v>
      </c>
      <c r="E1875" t="s">
        <v>28</v>
      </c>
      <c r="F1875" t="s">
        <v>767</v>
      </c>
      <c r="G1875" t="s">
        <v>207</v>
      </c>
      <c r="H1875">
        <v>5</v>
      </c>
      <c r="I1875" s="1">
        <v>5852.35</v>
      </c>
      <c r="J1875" t="s">
        <v>17</v>
      </c>
      <c r="K1875" t="s">
        <v>18</v>
      </c>
      <c r="L1875" t="str" cm="1">
        <f t="array" ref="L1875">_xlfn.IFS(B1875&lt;30,"18-29",B1875&lt;45,"30-44",B1875&lt;60,"45-59",B1875&lt;75,"60-74",B1875&lt;=90,"75-90")</f>
        <v>60-74</v>
      </c>
      <c r="M1875" t="str">
        <f>IF(Table1[[#This Row],[length_of_stay_days]]&gt;7,"Yes","No")</f>
        <v>No</v>
      </c>
    </row>
    <row r="1876" spans="1:13" x14ac:dyDescent="0.3">
      <c r="A1876" t="s">
        <v>2275</v>
      </c>
      <c r="B1876">
        <v>70</v>
      </c>
      <c r="C1876" t="s">
        <v>12</v>
      </c>
      <c r="D1876" t="s">
        <v>46</v>
      </c>
      <c r="E1876" t="s">
        <v>21</v>
      </c>
      <c r="F1876" t="s">
        <v>765</v>
      </c>
      <c r="G1876" t="s">
        <v>235</v>
      </c>
      <c r="H1876">
        <v>10</v>
      </c>
      <c r="I1876" s="1">
        <v>16900.849999999999</v>
      </c>
      <c r="J1876" t="s">
        <v>17</v>
      </c>
      <c r="K1876" t="s">
        <v>18</v>
      </c>
      <c r="L1876" t="str" cm="1">
        <f t="array" ref="L1876">_xlfn.IFS(B1876&lt;30,"18-29",B1876&lt;45,"30-44",B1876&lt;60,"45-59",B1876&lt;75,"60-74",B1876&lt;=90,"75-90")</f>
        <v>60-74</v>
      </c>
      <c r="M1876" t="str">
        <f>IF(Table1[[#This Row],[length_of_stay_days]]&gt;7,"Yes","No")</f>
        <v>Yes</v>
      </c>
    </row>
    <row r="1877" spans="1:13" x14ac:dyDescent="0.3">
      <c r="A1877" t="s">
        <v>2276</v>
      </c>
      <c r="B1877">
        <v>90</v>
      </c>
      <c r="C1877" t="s">
        <v>12</v>
      </c>
      <c r="D1877" t="s">
        <v>13</v>
      </c>
      <c r="E1877" t="s">
        <v>28</v>
      </c>
      <c r="F1877" t="s">
        <v>292</v>
      </c>
      <c r="G1877" t="s">
        <v>293</v>
      </c>
      <c r="H1877">
        <v>6</v>
      </c>
      <c r="I1877" s="1">
        <v>5390.23</v>
      </c>
      <c r="J1877" t="s">
        <v>17</v>
      </c>
      <c r="K1877" t="s">
        <v>18</v>
      </c>
      <c r="L1877" t="str" cm="1">
        <f t="array" ref="L1877">_xlfn.IFS(B1877&lt;30,"18-29",B1877&lt;45,"30-44",B1877&lt;60,"45-59",B1877&lt;75,"60-74",B1877&lt;=90,"75-90")</f>
        <v>75-90</v>
      </c>
      <c r="M1877" t="str">
        <f>IF(Table1[[#This Row],[length_of_stay_days]]&gt;7,"Yes","No")</f>
        <v>No</v>
      </c>
    </row>
    <row r="1878" spans="1:13" x14ac:dyDescent="0.3">
      <c r="A1878" t="s">
        <v>2277</v>
      </c>
      <c r="B1878">
        <v>70</v>
      </c>
      <c r="C1878" t="s">
        <v>12</v>
      </c>
      <c r="D1878" t="s">
        <v>32</v>
      </c>
      <c r="E1878" t="s">
        <v>14</v>
      </c>
      <c r="F1878" t="s">
        <v>547</v>
      </c>
      <c r="G1878" t="s">
        <v>72</v>
      </c>
      <c r="H1878">
        <v>6</v>
      </c>
      <c r="I1878" s="1">
        <v>8350.2999999999993</v>
      </c>
      <c r="J1878" t="s">
        <v>17</v>
      </c>
      <c r="K1878" t="s">
        <v>18</v>
      </c>
      <c r="L1878" t="str" cm="1">
        <f t="array" ref="L1878">_xlfn.IFS(B1878&lt;30,"18-29",B1878&lt;45,"30-44",B1878&lt;60,"45-59",B1878&lt;75,"60-74",B1878&lt;=90,"75-90")</f>
        <v>60-74</v>
      </c>
      <c r="M1878" t="str">
        <f>IF(Table1[[#This Row],[length_of_stay_days]]&gt;7,"Yes","No")</f>
        <v>No</v>
      </c>
    </row>
    <row r="1879" spans="1:13" x14ac:dyDescent="0.3">
      <c r="A1879" t="s">
        <v>2278</v>
      </c>
      <c r="B1879">
        <v>75</v>
      </c>
      <c r="C1879" t="s">
        <v>12</v>
      </c>
      <c r="D1879" t="s">
        <v>32</v>
      </c>
      <c r="E1879" t="s">
        <v>28</v>
      </c>
      <c r="F1879" t="s">
        <v>80</v>
      </c>
      <c r="G1879" t="s">
        <v>290</v>
      </c>
      <c r="H1879">
        <v>7</v>
      </c>
      <c r="I1879" s="1">
        <v>13253.65</v>
      </c>
      <c r="J1879" t="s">
        <v>49</v>
      </c>
      <c r="K1879" t="s">
        <v>18</v>
      </c>
      <c r="L1879" t="str" cm="1">
        <f t="array" ref="L1879">_xlfn.IFS(B1879&lt;30,"18-29",B1879&lt;45,"30-44",B1879&lt;60,"45-59",B1879&lt;75,"60-74",B1879&lt;=90,"75-90")</f>
        <v>75-90</v>
      </c>
      <c r="M1879" t="str">
        <f>IF(Table1[[#This Row],[length_of_stay_days]]&gt;7,"Yes","No")</f>
        <v>No</v>
      </c>
    </row>
    <row r="1880" spans="1:13" x14ac:dyDescent="0.3">
      <c r="A1880" t="s">
        <v>2279</v>
      </c>
      <c r="B1880">
        <v>81</v>
      </c>
      <c r="C1880" t="s">
        <v>12</v>
      </c>
      <c r="D1880" t="s">
        <v>46</v>
      </c>
      <c r="E1880" t="s">
        <v>28</v>
      </c>
      <c r="F1880" t="s">
        <v>388</v>
      </c>
      <c r="G1880" t="s">
        <v>342</v>
      </c>
      <c r="H1880">
        <v>9</v>
      </c>
      <c r="I1880" s="1">
        <v>14823.02</v>
      </c>
      <c r="J1880" t="s">
        <v>17</v>
      </c>
      <c r="K1880" t="s">
        <v>18</v>
      </c>
      <c r="L1880" t="str" cm="1">
        <f t="array" ref="L1880">_xlfn.IFS(B1880&lt;30,"18-29",B1880&lt;45,"30-44",B1880&lt;60,"45-59",B1880&lt;75,"60-74",B1880&lt;=90,"75-90")</f>
        <v>75-90</v>
      </c>
      <c r="M1880" t="str">
        <f>IF(Table1[[#This Row],[length_of_stay_days]]&gt;7,"Yes","No")</f>
        <v>Yes</v>
      </c>
    </row>
    <row r="1881" spans="1:13" x14ac:dyDescent="0.3">
      <c r="A1881" t="s">
        <v>2280</v>
      </c>
      <c r="B1881">
        <v>50</v>
      </c>
      <c r="C1881" t="s">
        <v>20</v>
      </c>
      <c r="D1881" t="s">
        <v>32</v>
      </c>
      <c r="E1881" t="s">
        <v>14</v>
      </c>
      <c r="F1881" t="s">
        <v>168</v>
      </c>
      <c r="G1881" t="s">
        <v>415</v>
      </c>
      <c r="H1881">
        <v>4</v>
      </c>
      <c r="I1881" s="1">
        <v>10579.93</v>
      </c>
      <c r="J1881" t="s">
        <v>49</v>
      </c>
      <c r="K1881" t="s">
        <v>18</v>
      </c>
      <c r="L1881" t="str" cm="1">
        <f t="array" ref="L1881">_xlfn.IFS(B1881&lt;30,"18-29",B1881&lt;45,"30-44",B1881&lt;60,"45-59",B1881&lt;75,"60-74",B1881&lt;=90,"75-90")</f>
        <v>45-59</v>
      </c>
      <c r="M1881" t="str">
        <f>IF(Table1[[#This Row],[length_of_stay_days]]&gt;7,"Yes","No")</f>
        <v>No</v>
      </c>
    </row>
    <row r="1882" spans="1:13" x14ac:dyDescent="0.3">
      <c r="A1882" t="s">
        <v>2281</v>
      </c>
      <c r="B1882">
        <v>52</v>
      </c>
      <c r="C1882" t="s">
        <v>12</v>
      </c>
      <c r="D1882" t="s">
        <v>28</v>
      </c>
      <c r="E1882" t="s">
        <v>14</v>
      </c>
      <c r="F1882" t="s">
        <v>496</v>
      </c>
      <c r="G1882" t="s">
        <v>293</v>
      </c>
      <c r="H1882">
        <v>2</v>
      </c>
      <c r="I1882" s="1">
        <v>3330.29</v>
      </c>
      <c r="J1882" t="s">
        <v>17</v>
      </c>
      <c r="K1882" t="s">
        <v>44</v>
      </c>
      <c r="L1882" t="str" cm="1">
        <f t="array" ref="L1882">_xlfn.IFS(B1882&lt;30,"18-29",B1882&lt;45,"30-44",B1882&lt;60,"45-59",B1882&lt;75,"60-74",B1882&lt;=90,"75-90")</f>
        <v>45-59</v>
      </c>
      <c r="M1882" t="str">
        <f>IF(Table1[[#This Row],[length_of_stay_days]]&gt;7,"Yes","No")</f>
        <v>No</v>
      </c>
    </row>
    <row r="1883" spans="1:13" x14ac:dyDescent="0.3">
      <c r="A1883" t="s">
        <v>2282</v>
      </c>
      <c r="B1883">
        <v>40</v>
      </c>
      <c r="C1883" t="s">
        <v>12</v>
      </c>
      <c r="D1883" t="s">
        <v>46</v>
      </c>
      <c r="E1883" t="s">
        <v>21</v>
      </c>
      <c r="F1883" t="s">
        <v>200</v>
      </c>
      <c r="G1883" t="s">
        <v>201</v>
      </c>
      <c r="H1883">
        <v>5</v>
      </c>
      <c r="I1883" s="1">
        <v>12477.94</v>
      </c>
      <c r="J1883" t="s">
        <v>49</v>
      </c>
      <c r="K1883" t="s">
        <v>18</v>
      </c>
      <c r="L1883" t="str" cm="1">
        <f t="array" ref="L1883">_xlfn.IFS(B1883&lt;30,"18-29",B1883&lt;45,"30-44",B1883&lt;60,"45-59",B1883&lt;75,"60-74",B1883&lt;=90,"75-90")</f>
        <v>30-44</v>
      </c>
      <c r="M1883" t="str">
        <f>IF(Table1[[#This Row],[length_of_stay_days]]&gt;7,"Yes","No")</f>
        <v>No</v>
      </c>
    </row>
    <row r="1884" spans="1:13" x14ac:dyDescent="0.3">
      <c r="A1884" t="s">
        <v>2283</v>
      </c>
      <c r="B1884">
        <v>38</v>
      </c>
      <c r="C1884" t="s">
        <v>12</v>
      </c>
      <c r="D1884" t="s">
        <v>28</v>
      </c>
      <c r="E1884" t="s">
        <v>21</v>
      </c>
      <c r="F1884" t="s">
        <v>596</v>
      </c>
      <c r="G1884" t="s">
        <v>252</v>
      </c>
      <c r="H1884">
        <v>3</v>
      </c>
      <c r="I1884" s="1">
        <v>3692.86</v>
      </c>
      <c r="J1884" t="s">
        <v>17</v>
      </c>
      <c r="K1884" t="s">
        <v>18</v>
      </c>
      <c r="L1884" t="str" cm="1">
        <f t="array" ref="L1884">_xlfn.IFS(B1884&lt;30,"18-29",B1884&lt;45,"30-44",B1884&lt;60,"45-59",B1884&lt;75,"60-74",B1884&lt;=90,"75-90")</f>
        <v>30-44</v>
      </c>
      <c r="M1884" t="str">
        <f>IF(Table1[[#This Row],[length_of_stay_days]]&gt;7,"Yes","No")</f>
        <v>No</v>
      </c>
    </row>
    <row r="1885" spans="1:13" x14ac:dyDescent="0.3">
      <c r="A1885" t="s">
        <v>2284</v>
      </c>
      <c r="B1885">
        <v>21</v>
      </c>
      <c r="C1885" t="s">
        <v>12</v>
      </c>
      <c r="D1885" t="s">
        <v>46</v>
      </c>
      <c r="E1885" t="s">
        <v>28</v>
      </c>
      <c r="F1885" t="s">
        <v>680</v>
      </c>
      <c r="G1885" t="s">
        <v>501</v>
      </c>
      <c r="H1885">
        <v>4</v>
      </c>
      <c r="I1885" s="1">
        <v>11082.98</v>
      </c>
      <c r="J1885" t="s">
        <v>17</v>
      </c>
      <c r="K1885" t="s">
        <v>18</v>
      </c>
      <c r="L1885" t="str" cm="1">
        <f t="array" ref="L1885">_xlfn.IFS(B1885&lt;30,"18-29",B1885&lt;45,"30-44",B1885&lt;60,"45-59",B1885&lt;75,"60-74",B1885&lt;=90,"75-90")</f>
        <v>18-29</v>
      </c>
      <c r="M1885" t="str">
        <f>IF(Table1[[#This Row],[length_of_stay_days]]&gt;7,"Yes","No")</f>
        <v>No</v>
      </c>
    </row>
    <row r="1886" spans="1:13" x14ac:dyDescent="0.3">
      <c r="A1886" t="s">
        <v>2285</v>
      </c>
      <c r="B1886">
        <v>71</v>
      </c>
      <c r="C1886" t="s">
        <v>12</v>
      </c>
      <c r="D1886" t="s">
        <v>28</v>
      </c>
      <c r="E1886" t="s">
        <v>28</v>
      </c>
      <c r="F1886" t="s">
        <v>179</v>
      </c>
      <c r="G1886" t="s">
        <v>474</v>
      </c>
      <c r="H1886">
        <v>5</v>
      </c>
      <c r="I1886" s="1">
        <v>9055.2199999999993</v>
      </c>
      <c r="J1886" t="s">
        <v>17</v>
      </c>
      <c r="K1886" t="s">
        <v>18</v>
      </c>
      <c r="L1886" t="str" cm="1">
        <f t="array" ref="L1886">_xlfn.IFS(B1886&lt;30,"18-29",B1886&lt;45,"30-44",B1886&lt;60,"45-59",B1886&lt;75,"60-74",B1886&lt;=90,"75-90")</f>
        <v>60-74</v>
      </c>
      <c r="M1886" t="str">
        <f>IF(Table1[[#This Row],[length_of_stay_days]]&gt;7,"Yes","No")</f>
        <v>No</v>
      </c>
    </row>
    <row r="1887" spans="1:13" x14ac:dyDescent="0.3">
      <c r="A1887" t="s">
        <v>2286</v>
      </c>
      <c r="B1887">
        <v>25</v>
      </c>
      <c r="C1887" t="s">
        <v>20</v>
      </c>
      <c r="D1887" t="s">
        <v>28</v>
      </c>
      <c r="E1887" t="s">
        <v>28</v>
      </c>
      <c r="F1887" t="s">
        <v>469</v>
      </c>
      <c r="G1887" t="s">
        <v>165</v>
      </c>
      <c r="H1887">
        <v>1</v>
      </c>
      <c r="I1887" s="1">
        <v>3879.71</v>
      </c>
      <c r="J1887" t="s">
        <v>17</v>
      </c>
      <c r="K1887" t="s">
        <v>18</v>
      </c>
      <c r="L1887" t="str" cm="1">
        <f t="array" ref="L1887">_xlfn.IFS(B1887&lt;30,"18-29",B1887&lt;45,"30-44",B1887&lt;60,"45-59",B1887&lt;75,"60-74",B1887&lt;=90,"75-90")</f>
        <v>18-29</v>
      </c>
      <c r="M1887" t="str">
        <f>IF(Table1[[#This Row],[length_of_stay_days]]&gt;7,"Yes","No")</f>
        <v>No</v>
      </c>
    </row>
    <row r="1888" spans="1:13" x14ac:dyDescent="0.3">
      <c r="A1888" t="s">
        <v>2287</v>
      </c>
      <c r="B1888">
        <v>82</v>
      </c>
      <c r="C1888" t="s">
        <v>20</v>
      </c>
      <c r="D1888" t="s">
        <v>32</v>
      </c>
      <c r="E1888" t="s">
        <v>28</v>
      </c>
      <c r="F1888" t="s">
        <v>22</v>
      </c>
      <c r="G1888" t="s">
        <v>280</v>
      </c>
      <c r="H1888">
        <v>9</v>
      </c>
      <c r="I1888" s="1">
        <v>12082.57</v>
      </c>
      <c r="J1888" t="s">
        <v>17</v>
      </c>
      <c r="K1888" t="s">
        <v>18</v>
      </c>
      <c r="L1888" t="str" cm="1">
        <f t="array" ref="L1888">_xlfn.IFS(B1888&lt;30,"18-29",B1888&lt;45,"30-44",B1888&lt;60,"45-59",B1888&lt;75,"60-74",B1888&lt;=90,"75-90")</f>
        <v>75-90</v>
      </c>
      <c r="M1888" t="str">
        <f>IF(Table1[[#This Row],[length_of_stay_days]]&gt;7,"Yes","No")</f>
        <v>Yes</v>
      </c>
    </row>
    <row r="1889" spans="1:13" x14ac:dyDescent="0.3">
      <c r="A1889" t="s">
        <v>2288</v>
      </c>
      <c r="B1889">
        <v>47</v>
      </c>
      <c r="C1889" t="s">
        <v>12</v>
      </c>
      <c r="D1889" t="s">
        <v>28</v>
      </c>
      <c r="E1889" t="s">
        <v>28</v>
      </c>
      <c r="F1889" t="s">
        <v>222</v>
      </c>
      <c r="G1889" t="s">
        <v>783</v>
      </c>
      <c r="H1889">
        <v>4</v>
      </c>
      <c r="I1889" s="1">
        <v>5155.1099999999997</v>
      </c>
      <c r="J1889" t="s">
        <v>17</v>
      </c>
      <c r="K1889" t="s">
        <v>18</v>
      </c>
      <c r="L1889" t="str" cm="1">
        <f t="array" ref="L1889">_xlfn.IFS(B1889&lt;30,"18-29",B1889&lt;45,"30-44",B1889&lt;60,"45-59",B1889&lt;75,"60-74",B1889&lt;=90,"75-90")</f>
        <v>45-59</v>
      </c>
      <c r="M1889" t="str">
        <f>IF(Table1[[#This Row],[length_of_stay_days]]&gt;7,"Yes","No")</f>
        <v>No</v>
      </c>
    </row>
    <row r="1890" spans="1:13" x14ac:dyDescent="0.3">
      <c r="A1890" t="s">
        <v>2289</v>
      </c>
      <c r="B1890">
        <v>34</v>
      </c>
      <c r="C1890" t="s">
        <v>20</v>
      </c>
      <c r="D1890" t="s">
        <v>32</v>
      </c>
      <c r="E1890" t="s">
        <v>21</v>
      </c>
      <c r="F1890" t="s">
        <v>98</v>
      </c>
      <c r="G1890" t="s">
        <v>458</v>
      </c>
      <c r="H1890">
        <v>4</v>
      </c>
      <c r="I1890" s="1">
        <v>8527.11</v>
      </c>
      <c r="J1890" t="s">
        <v>17</v>
      </c>
      <c r="K1890" t="s">
        <v>18</v>
      </c>
      <c r="L1890" t="str" cm="1">
        <f t="array" ref="L1890">_xlfn.IFS(B1890&lt;30,"18-29",B1890&lt;45,"30-44",B1890&lt;60,"45-59",B1890&lt;75,"60-74",B1890&lt;=90,"75-90")</f>
        <v>30-44</v>
      </c>
      <c r="M1890" t="str">
        <f>IF(Table1[[#This Row],[length_of_stay_days]]&gt;7,"Yes","No")</f>
        <v>No</v>
      </c>
    </row>
    <row r="1891" spans="1:13" x14ac:dyDescent="0.3">
      <c r="A1891" t="s">
        <v>2290</v>
      </c>
      <c r="B1891">
        <v>21</v>
      </c>
      <c r="C1891" t="s">
        <v>12</v>
      </c>
      <c r="D1891" t="s">
        <v>55</v>
      </c>
      <c r="E1891" t="s">
        <v>28</v>
      </c>
      <c r="F1891" t="s">
        <v>783</v>
      </c>
      <c r="G1891" t="s">
        <v>255</v>
      </c>
      <c r="H1891">
        <v>6</v>
      </c>
      <c r="I1891" s="1">
        <v>11014.4</v>
      </c>
      <c r="J1891" t="s">
        <v>17</v>
      </c>
      <c r="K1891" t="s">
        <v>18</v>
      </c>
      <c r="L1891" t="str" cm="1">
        <f t="array" ref="L1891">_xlfn.IFS(B1891&lt;30,"18-29",B1891&lt;45,"30-44",B1891&lt;60,"45-59",B1891&lt;75,"60-74",B1891&lt;=90,"75-90")</f>
        <v>18-29</v>
      </c>
      <c r="M1891" t="str">
        <f>IF(Table1[[#This Row],[length_of_stay_days]]&gt;7,"Yes","No")</f>
        <v>No</v>
      </c>
    </row>
    <row r="1892" spans="1:13" x14ac:dyDescent="0.3">
      <c r="A1892" t="s">
        <v>2291</v>
      </c>
      <c r="B1892">
        <v>51</v>
      </c>
      <c r="C1892" t="s">
        <v>12</v>
      </c>
      <c r="D1892" t="s">
        <v>46</v>
      </c>
      <c r="E1892" t="s">
        <v>21</v>
      </c>
      <c r="F1892" t="s">
        <v>219</v>
      </c>
      <c r="G1892" t="s">
        <v>83</v>
      </c>
      <c r="H1892">
        <v>7</v>
      </c>
      <c r="I1892" s="1">
        <v>14079.31</v>
      </c>
      <c r="J1892" t="s">
        <v>17</v>
      </c>
      <c r="K1892" t="s">
        <v>18</v>
      </c>
      <c r="L1892" t="str" cm="1">
        <f t="array" ref="L1892">_xlfn.IFS(B1892&lt;30,"18-29",B1892&lt;45,"30-44",B1892&lt;60,"45-59",B1892&lt;75,"60-74",B1892&lt;=90,"75-90")</f>
        <v>45-59</v>
      </c>
      <c r="M1892" t="str">
        <f>IF(Table1[[#This Row],[length_of_stay_days]]&gt;7,"Yes","No")</f>
        <v>No</v>
      </c>
    </row>
    <row r="1893" spans="1:13" x14ac:dyDescent="0.3">
      <c r="A1893" t="s">
        <v>2292</v>
      </c>
      <c r="B1893">
        <v>80</v>
      </c>
      <c r="C1893" t="s">
        <v>12</v>
      </c>
      <c r="D1893" t="s">
        <v>28</v>
      </c>
      <c r="E1893" t="s">
        <v>28</v>
      </c>
      <c r="F1893" t="s">
        <v>588</v>
      </c>
      <c r="G1893" t="s">
        <v>292</v>
      </c>
      <c r="H1893">
        <v>2</v>
      </c>
      <c r="I1893" s="1">
        <v>5973.53</v>
      </c>
      <c r="J1893" t="s">
        <v>17</v>
      </c>
      <c r="K1893" t="s">
        <v>18</v>
      </c>
      <c r="L1893" t="str" cm="1">
        <f t="array" ref="L1893">_xlfn.IFS(B1893&lt;30,"18-29",B1893&lt;45,"30-44",B1893&lt;60,"45-59",B1893&lt;75,"60-74",B1893&lt;=90,"75-90")</f>
        <v>75-90</v>
      </c>
      <c r="M1893" t="str">
        <f>IF(Table1[[#This Row],[length_of_stay_days]]&gt;7,"Yes","No")</f>
        <v>No</v>
      </c>
    </row>
    <row r="1894" spans="1:13" x14ac:dyDescent="0.3">
      <c r="A1894" t="s">
        <v>2293</v>
      </c>
      <c r="B1894">
        <v>27</v>
      </c>
      <c r="C1894" t="s">
        <v>20</v>
      </c>
      <c r="D1894" t="s">
        <v>13</v>
      </c>
      <c r="E1894" t="s">
        <v>28</v>
      </c>
      <c r="F1894" t="s">
        <v>1207</v>
      </c>
      <c r="H1894">
        <v>2</v>
      </c>
      <c r="I1894" s="1">
        <v>5730.98</v>
      </c>
      <c r="J1894" t="s">
        <v>17</v>
      </c>
      <c r="K1894" t="s">
        <v>18</v>
      </c>
      <c r="L1894" t="str" cm="1">
        <f t="array" ref="L1894">_xlfn.IFS(B1894&lt;30,"18-29",B1894&lt;45,"30-44",B1894&lt;60,"45-59",B1894&lt;75,"60-74",B1894&lt;=90,"75-90")</f>
        <v>18-29</v>
      </c>
      <c r="M1894" t="str">
        <f>IF(Table1[[#This Row],[length_of_stay_days]]&gt;7,"Yes","No")</f>
        <v>No</v>
      </c>
    </row>
    <row r="1895" spans="1:13" x14ac:dyDescent="0.3">
      <c r="A1895" t="s">
        <v>2294</v>
      </c>
      <c r="B1895">
        <v>71</v>
      </c>
      <c r="C1895" t="s">
        <v>70</v>
      </c>
      <c r="D1895" t="s">
        <v>28</v>
      </c>
      <c r="E1895" t="s">
        <v>28</v>
      </c>
      <c r="F1895" t="s">
        <v>339</v>
      </c>
      <c r="G1895" t="s">
        <v>463</v>
      </c>
      <c r="H1895">
        <v>4</v>
      </c>
      <c r="I1895" s="1">
        <v>8189.76</v>
      </c>
      <c r="J1895" t="s">
        <v>17</v>
      </c>
      <c r="K1895" t="s">
        <v>18</v>
      </c>
      <c r="L1895" t="str" cm="1">
        <f t="array" ref="L1895">_xlfn.IFS(B1895&lt;30,"18-29",B1895&lt;45,"30-44",B1895&lt;60,"45-59",B1895&lt;75,"60-74",B1895&lt;=90,"75-90")</f>
        <v>60-74</v>
      </c>
      <c r="M1895" t="str">
        <f>IF(Table1[[#This Row],[length_of_stay_days]]&gt;7,"Yes","No")</f>
        <v>No</v>
      </c>
    </row>
    <row r="1896" spans="1:13" x14ac:dyDescent="0.3">
      <c r="A1896" t="s">
        <v>2295</v>
      </c>
      <c r="B1896">
        <v>53</v>
      </c>
      <c r="C1896" t="s">
        <v>20</v>
      </c>
      <c r="D1896" t="s">
        <v>28</v>
      </c>
      <c r="E1896" t="s">
        <v>14</v>
      </c>
      <c r="F1896" t="s">
        <v>296</v>
      </c>
      <c r="G1896" t="s">
        <v>467</v>
      </c>
      <c r="H1896">
        <v>1</v>
      </c>
      <c r="I1896" s="1">
        <v>5583.36</v>
      </c>
      <c r="J1896" t="s">
        <v>17</v>
      </c>
      <c r="K1896" t="s">
        <v>18</v>
      </c>
      <c r="L1896" t="str" cm="1">
        <f t="array" ref="L1896">_xlfn.IFS(B1896&lt;30,"18-29",B1896&lt;45,"30-44",B1896&lt;60,"45-59",B1896&lt;75,"60-74",B1896&lt;=90,"75-90")</f>
        <v>45-59</v>
      </c>
      <c r="M1896" t="str">
        <f>IF(Table1[[#This Row],[length_of_stay_days]]&gt;7,"Yes","No")</f>
        <v>No</v>
      </c>
    </row>
    <row r="1897" spans="1:13" x14ac:dyDescent="0.3">
      <c r="A1897" t="s">
        <v>2296</v>
      </c>
      <c r="B1897">
        <v>40</v>
      </c>
      <c r="C1897" t="s">
        <v>20</v>
      </c>
      <c r="D1897" t="s">
        <v>28</v>
      </c>
      <c r="E1897" t="s">
        <v>28</v>
      </c>
      <c r="F1897" t="s">
        <v>503</v>
      </c>
      <c r="G1897" t="s">
        <v>504</v>
      </c>
      <c r="H1897">
        <v>5</v>
      </c>
      <c r="I1897" s="1">
        <v>8366.0400000000009</v>
      </c>
      <c r="J1897" t="s">
        <v>17</v>
      </c>
      <c r="K1897" t="s">
        <v>18</v>
      </c>
      <c r="L1897" t="str" cm="1">
        <f t="array" ref="L1897">_xlfn.IFS(B1897&lt;30,"18-29",B1897&lt;45,"30-44",B1897&lt;60,"45-59",B1897&lt;75,"60-74",B1897&lt;=90,"75-90")</f>
        <v>30-44</v>
      </c>
      <c r="M1897" t="str">
        <f>IF(Table1[[#This Row],[length_of_stay_days]]&gt;7,"Yes","No")</f>
        <v>No</v>
      </c>
    </row>
    <row r="1898" spans="1:13" x14ac:dyDescent="0.3">
      <c r="A1898" t="s">
        <v>2297</v>
      </c>
      <c r="B1898">
        <v>21</v>
      </c>
      <c r="C1898" t="s">
        <v>12</v>
      </c>
      <c r="D1898" t="s">
        <v>46</v>
      </c>
      <c r="E1898" t="s">
        <v>28</v>
      </c>
      <c r="F1898" t="s">
        <v>537</v>
      </c>
      <c r="G1898" t="s">
        <v>286</v>
      </c>
      <c r="H1898">
        <v>3</v>
      </c>
      <c r="I1898" s="1">
        <v>11002.92</v>
      </c>
      <c r="J1898" t="s">
        <v>17</v>
      </c>
      <c r="K1898" t="s">
        <v>223</v>
      </c>
      <c r="L1898" t="str" cm="1">
        <f t="array" ref="L1898">_xlfn.IFS(B1898&lt;30,"18-29",B1898&lt;45,"30-44",B1898&lt;60,"45-59",B1898&lt;75,"60-74",B1898&lt;=90,"75-90")</f>
        <v>18-29</v>
      </c>
      <c r="M1898" t="str">
        <f>IF(Table1[[#This Row],[length_of_stay_days]]&gt;7,"Yes","No")</f>
        <v>No</v>
      </c>
    </row>
    <row r="1899" spans="1:13" x14ac:dyDescent="0.3">
      <c r="A1899" t="s">
        <v>2298</v>
      </c>
      <c r="B1899">
        <v>27</v>
      </c>
      <c r="C1899" t="s">
        <v>20</v>
      </c>
      <c r="D1899" t="s">
        <v>46</v>
      </c>
      <c r="E1899" t="s">
        <v>14</v>
      </c>
      <c r="F1899" t="s">
        <v>941</v>
      </c>
      <c r="G1899" t="s">
        <v>129</v>
      </c>
      <c r="H1899">
        <v>7</v>
      </c>
      <c r="I1899" s="1">
        <v>13352</v>
      </c>
      <c r="J1899" t="s">
        <v>17</v>
      </c>
      <c r="K1899" t="s">
        <v>18</v>
      </c>
      <c r="L1899" t="str" cm="1">
        <f t="array" ref="L1899">_xlfn.IFS(B1899&lt;30,"18-29",B1899&lt;45,"30-44",B1899&lt;60,"45-59",B1899&lt;75,"60-74",B1899&lt;=90,"75-90")</f>
        <v>18-29</v>
      </c>
      <c r="M1899" t="str">
        <f>IF(Table1[[#This Row],[length_of_stay_days]]&gt;7,"Yes","No")</f>
        <v>No</v>
      </c>
    </row>
    <row r="1900" spans="1:13" x14ac:dyDescent="0.3">
      <c r="A1900" t="s">
        <v>2299</v>
      </c>
      <c r="B1900">
        <v>20</v>
      </c>
      <c r="C1900" t="s">
        <v>12</v>
      </c>
      <c r="D1900" t="s">
        <v>46</v>
      </c>
      <c r="E1900" t="s">
        <v>28</v>
      </c>
      <c r="F1900" t="s">
        <v>928</v>
      </c>
      <c r="G1900" t="s">
        <v>727</v>
      </c>
      <c r="H1900">
        <v>9</v>
      </c>
      <c r="I1900" s="1">
        <v>17320.5</v>
      </c>
      <c r="J1900" t="s">
        <v>49</v>
      </c>
      <c r="K1900" t="s">
        <v>18</v>
      </c>
      <c r="L1900" t="str" cm="1">
        <f t="array" ref="L1900">_xlfn.IFS(B1900&lt;30,"18-29",B1900&lt;45,"30-44",B1900&lt;60,"45-59",B1900&lt;75,"60-74",B1900&lt;=90,"75-90")</f>
        <v>18-29</v>
      </c>
      <c r="M1900" t="str">
        <f>IF(Table1[[#This Row],[length_of_stay_days]]&gt;7,"Yes","No")</f>
        <v>Yes</v>
      </c>
    </row>
    <row r="1901" spans="1:13" x14ac:dyDescent="0.3">
      <c r="A1901" t="s">
        <v>2300</v>
      </c>
      <c r="B1901">
        <v>33</v>
      </c>
      <c r="C1901" t="s">
        <v>12</v>
      </c>
      <c r="D1901" t="s">
        <v>55</v>
      </c>
      <c r="E1901" t="s">
        <v>21</v>
      </c>
      <c r="F1901" t="s">
        <v>1648</v>
      </c>
      <c r="G1901" t="s">
        <v>425</v>
      </c>
      <c r="H1901">
        <v>2</v>
      </c>
      <c r="I1901" s="1">
        <v>8643.41</v>
      </c>
      <c r="J1901" t="s">
        <v>17</v>
      </c>
      <c r="K1901" t="s">
        <v>44</v>
      </c>
      <c r="L1901" t="str" cm="1">
        <f t="array" ref="L1901">_xlfn.IFS(B1901&lt;30,"18-29",B1901&lt;45,"30-44",B1901&lt;60,"45-59",B1901&lt;75,"60-74",B1901&lt;=90,"75-90")</f>
        <v>30-44</v>
      </c>
      <c r="M1901" t="str">
        <f>IF(Table1[[#This Row],[length_of_stay_days]]&gt;7,"Yes","No")</f>
        <v>No</v>
      </c>
    </row>
    <row r="1902" spans="1:13" x14ac:dyDescent="0.3">
      <c r="A1902" t="s">
        <v>2301</v>
      </c>
      <c r="B1902">
        <v>75</v>
      </c>
      <c r="C1902" t="s">
        <v>12</v>
      </c>
      <c r="D1902" t="s">
        <v>28</v>
      </c>
      <c r="E1902" t="s">
        <v>28</v>
      </c>
      <c r="F1902" t="s">
        <v>620</v>
      </c>
      <c r="G1902" t="s">
        <v>72</v>
      </c>
      <c r="H1902">
        <v>5</v>
      </c>
      <c r="I1902" s="1">
        <v>4055.01</v>
      </c>
      <c r="J1902" t="s">
        <v>17</v>
      </c>
      <c r="K1902" t="s">
        <v>18</v>
      </c>
      <c r="L1902" t="str" cm="1">
        <f t="array" ref="L1902">_xlfn.IFS(B1902&lt;30,"18-29",B1902&lt;45,"30-44",B1902&lt;60,"45-59",B1902&lt;75,"60-74",B1902&lt;=90,"75-90")</f>
        <v>75-90</v>
      </c>
      <c r="M1902" t="str">
        <f>IF(Table1[[#This Row],[length_of_stay_days]]&gt;7,"Yes","No")</f>
        <v>No</v>
      </c>
    </row>
    <row r="1903" spans="1:13" x14ac:dyDescent="0.3">
      <c r="A1903" t="s">
        <v>2302</v>
      </c>
      <c r="B1903">
        <v>62</v>
      </c>
      <c r="C1903" t="s">
        <v>20</v>
      </c>
      <c r="D1903" t="s">
        <v>28</v>
      </c>
      <c r="E1903" t="s">
        <v>28</v>
      </c>
      <c r="F1903" t="s">
        <v>372</v>
      </c>
      <c r="G1903" t="s">
        <v>355</v>
      </c>
      <c r="H1903">
        <v>2</v>
      </c>
      <c r="I1903" s="1">
        <v>2791.96</v>
      </c>
      <c r="J1903" t="s">
        <v>17</v>
      </c>
      <c r="K1903" t="s">
        <v>18</v>
      </c>
      <c r="L1903" t="str" cm="1">
        <f t="array" ref="L1903">_xlfn.IFS(B1903&lt;30,"18-29",B1903&lt;45,"30-44",B1903&lt;60,"45-59",B1903&lt;75,"60-74",B1903&lt;=90,"75-90")</f>
        <v>60-74</v>
      </c>
      <c r="M1903" t="str">
        <f>IF(Table1[[#This Row],[length_of_stay_days]]&gt;7,"Yes","No")</f>
        <v>No</v>
      </c>
    </row>
    <row r="1904" spans="1:13" x14ac:dyDescent="0.3">
      <c r="A1904" t="s">
        <v>2303</v>
      </c>
      <c r="B1904">
        <v>47</v>
      </c>
      <c r="C1904" t="s">
        <v>12</v>
      </c>
      <c r="D1904" t="s">
        <v>55</v>
      </c>
      <c r="E1904" t="s">
        <v>14</v>
      </c>
      <c r="F1904" t="s">
        <v>532</v>
      </c>
      <c r="G1904" t="s">
        <v>52</v>
      </c>
      <c r="H1904">
        <v>5</v>
      </c>
      <c r="I1904" s="1">
        <v>10610.34</v>
      </c>
      <c r="J1904" t="s">
        <v>17</v>
      </c>
      <c r="K1904" t="s">
        <v>18</v>
      </c>
      <c r="L1904" t="str" cm="1">
        <f t="array" ref="L1904">_xlfn.IFS(B1904&lt;30,"18-29",B1904&lt;45,"30-44",B1904&lt;60,"45-59",B1904&lt;75,"60-74",B1904&lt;=90,"75-90")</f>
        <v>45-59</v>
      </c>
      <c r="M1904" t="str">
        <f>IF(Table1[[#This Row],[length_of_stay_days]]&gt;7,"Yes","No")</f>
        <v>No</v>
      </c>
    </row>
    <row r="1905" spans="1:13" x14ac:dyDescent="0.3">
      <c r="A1905" t="s">
        <v>2304</v>
      </c>
      <c r="B1905">
        <v>31</v>
      </c>
      <c r="C1905" t="s">
        <v>12</v>
      </c>
      <c r="D1905" t="s">
        <v>32</v>
      </c>
      <c r="E1905" t="s">
        <v>14</v>
      </c>
      <c r="F1905" t="s">
        <v>135</v>
      </c>
      <c r="G1905" t="s">
        <v>92</v>
      </c>
      <c r="H1905">
        <v>7</v>
      </c>
      <c r="I1905" s="1">
        <v>10810.88</v>
      </c>
      <c r="J1905" t="s">
        <v>17</v>
      </c>
      <c r="K1905" t="s">
        <v>18</v>
      </c>
      <c r="L1905" t="str" cm="1">
        <f t="array" ref="L1905">_xlfn.IFS(B1905&lt;30,"18-29",B1905&lt;45,"30-44",B1905&lt;60,"45-59",B1905&lt;75,"60-74",B1905&lt;=90,"75-90")</f>
        <v>30-44</v>
      </c>
      <c r="M1905" t="str">
        <f>IF(Table1[[#This Row],[length_of_stay_days]]&gt;7,"Yes","No")</f>
        <v>No</v>
      </c>
    </row>
    <row r="1906" spans="1:13" x14ac:dyDescent="0.3">
      <c r="A1906" t="s">
        <v>2305</v>
      </c>
      <c r="B1906">
        <v>45</v>
      </c>
      <c r="C1906" t="s">
        <v>20</v>
      </c>
      <c r="D1906" t="s">
        <v>28</v>
      </c>
      <c r="E1906" t="s">
        <v>28</v>
      </c>
      <c r="F1906" t="s">
        <v>382</v>
      </c>
      <c r="G1906" t="s">
        <v>879</v>
      </c>
      <c r="H1906">
        <v>1</v>
      </c>
      <c r="I1906" s="1">
        <v>3336.84</v>
      </c>
      <c r="J1906" t="s">
        <v>17</v>
      </c>
      <c r="K1906" t="s">
        <v>18</v>
      </c>
      <c r="L1906" t="str" cm="1">
        <f t="array" ref="L1906">_xlfn.IFS(B1906&lt;30,"18-29",B1906&lt;45,"30-44",B1906&lt;60,"45-59",B1906&lt;75,"60-74",B1906&lt;=90,"75-90")</f>
        <v>45-59</v>
      </c>
      <c r="M1906" t="str">
        <f>IF(Table1[[#This Row],[length_of_stay_days]]&gt;7,"Yes","No")</f>
        <v>No</v>
      </c>
    </row>
    <row r="1907" spans="1:13" x14ac:dyDescent="0.3">
      <c r="A1907" t="s">
        <v>2306</v>
      </c>
      <c r="B1907">
        <v>41</v>
      </c>
      <c r="C1907" t="s">
        <v>12</v>
      </c>
      <c r="D1907" t="s">
        <v>13</v>
      </c>
      <c r="E1907" t="s">
        <v>28</v>
      </c>
      <c r="F1907" t="s">
        <v>256</v>
      </c>
      <c r="G1907" t="s">
        <v>229</v>
      </c>
      <c r="H1907">
        <v>2</v>
      </c>
      <c r="I1907" s="1">
        <v>5665.34</v>
      </c>
      <c r="J1907" t="s">
        <v>17</v>
      </c>
      <c r="K1907" t="s">
        <v>18</v>
      </c>
      <c r="L1907" t="str" cm="1">
        <f t="array" ref="L1907">_xlfn.IFS(B1907&lt;30,"18-29",B1907&lt;45,"30-44",B1907&lt;60,"45-59",B1907&lt;75,"60-74",B1907&lt;=90,"75-90")</f>
        <v>30-44</v>
      </c>
      <c r="M1907" t="str">
        <f>IF(Table1[[#This Row],[length_of_stay_days]]&gt;7,"Yes","No")</f>
        <v>No</v>
      </c>
    </row>
    <row r="1908" spans="1:13" x14ac:dyDescent="0.3">
      <c r="A1908" t="s">
        <v>2307</v>
      </c>
      <c r="B1908">
        <v>65</v>
      </c>
      <c r="C1908" t="s">
        <v>12</v>
      </c>
      <c r="D1908" t="s">
        <v>13</v>
      </c>
      <c r="E1908" t="s">
        <v>21</v>
      </c>
      <c r="F1908" t="s">
        <v>149</v>
      </c>
      <c r="G1908" t="s">
        <v>245</v>
      </c>
      <c r="H1908">
        <v>5</v>
      </c>
      <c r="I1908" s="1">
        <v>9078.7900000000009</v>
      </c>
      <c r="J1908" t="s">
        <v>49</v>
      </c>
      <c r="K1908" t="s">
        <v>18</v>
      </c>
      <c r="L1908" t="str" cm="1">
        <f t="array" ref="L1908">_xlfn.IFS(B1908&lt;30,"18-29",B1908&lt;45,"30-44",B1908&lt;60,"45-59",B1908&lt;75,"60-74",B1908&lt;=90,"75-90")</f>
        <v>60-74</v>
      </c>
      <c r="M1908" t="str">
        <f>IF(Table1[[#This Row],[length_of_stay_days]]&gt;7,"Yes","No")</f>
        <v>No</v>
      </c>
    </row>
    <row r="1909" spans="1:13" x14ac:dyDescent="0.3">
      <c r="A1909" t="s">
        <v>2308</v>
      </c>
      <c r="B1909">
        <v>85</v>
      </c>
      <c r="C1909" t="s">
        <v>12</v>
      </c>
      <c r="D1909" t="s">
        <v>13</v>
      </c>
      <c r="E1909" t="s">
        <v>14</v>
      </c>
      <c r="F1909" t="s">
        <v>378</v>
      </c>
      <c r="G1909" t="s">
        <v>827</v>
      </c>
      <c r="H1909">
        <v>7</v>
      </c>
      <c r="I1909" s="1">
        <v>9034.99</v>
      </c>
      <c r="J1909" t="s">
        <v>49</v>
      </c>
      <c r="K1909" t="s">
        <v>18</v>
      </c>
      <c r="L1909" t="str" cm="1">
        <f t="array" ref="L1909">_xlfn.IFS(B1909&lt;30,"18-29",B1909&lt;45,"30-44",B1909&lt;60,"45-59",B1909&lt;75,"60-74",B1909&lt;=90,"75-90")</f>
        <v>75-90</v>
      </c>
      <c r="M1909" t="str">
        <f>IF(Table1[[#This Row],[length_of_stay_days]]&gt;7,"Yes","No")</f>
        <v>No</v>
      </c>
    </row>
    <row r="1910" spans="1:13" x14ac:dyDescent="0.3">
      <c r="A1910" t="s">
        <v>2309</v>
      </c>
      <c r="B1910">
        <v>18</v>
      </c>
      <c r="C1910" t="s">
        <v>20</v>
      </c>
      <c r="D1910" t="s">
        <v>28</v>
      </c>
      <c r="E1910" t="s">
        <v>28</v>
      </c>
      <c r="F1910" t="s">
        <v>75</v>
      </c>
      <c r="G1910" t="s">
        <v>514</v>
      </c>
      <c r="H1910">
        <v>3</v>
      </c>
      <c r="I1910" s="1">
        <v>5206.28</v>
      </c>
      <c r="J1910" t="s">
        <v>17</v>
      </c>
      <c r="K1910" t="s">
        <v>18</v>
      </c>
      <c r="L1910" t="str" cm="1">
        <f t="array" ref="L1910">_xlfn.IFS(B1910&lt;30,"18-29",B1910&lt;45,"30-44",B1910&lt;60,"45-59",B1910&lt;75,"60-74",B1910&lt;=90,"75-90")</f>
        <v>18-29</v>
      </c>
      <c r="M1910" t="str">
        <f>IF(Table1[[#This Row],[length_of_stay_days]]&gt;7,"Yes","No")</f>
        <v>No</v>
      </c>
    </row>
    <row r="1911" spans="1:13" x14ac:dyDescent="0.3">
      <c r="A1911" t="s">
        <v>2310</v>
      </c>
      <c r="B1911">
        <v>90</v>
      </c>
      <c r="C1911" t="s">
        <v>12</v>
      </c>
      <c r="D1911" t="s">
        <v>55</v>
      </c>
      <c r="E1911" t="s">
        <v>14</v>
      </c>
      <c r="F1911" t="s">
        <v>137</v>
      </c>
      <c r="G1911" t="s">
        <v>119</v>
      </c>
      <c r="H1911">
        <v>5</v>
      </c>
      <c r="I1911" s="1">
        <v>9351.82</v>
      </c>
      <c r="J1911" t="s">
        <v>49</v>
      </c>
      <c r="K1911" t="s">
        <v>18</v>
      </c>
      <c r="L1911" t="str" cm="1">
        <f t="array" ref="L1911">_xlfn.IFS(B1911&lt;30,"18-29",B1911&lt;45,"30-44",B1911&lt;60,"45-59",B1911&lt;75,"60-74",B1911&lt;=90,"75-90")</f>
        <v>75-90</v>
      </c>
      <c r="M1911" t="str">
        <f>IF(Table1[[#This Row],[length_of_stay_days]]&gt;7,"Yes","No")</f>
        <v>No</v>
      </c>
    </row>
    <row r="1912" spans="1:13" x14ac:dyDescent="0.3">
      <c r="A1912" t="s">
        <v>2311</v>
      </c>
      <c r="B1912">
        <v>27</v>
      </c>
      <c r="C1912" t="s">
        <v>12</v>
      </c>
      <c r="D1912" t="s">
        <v>55</v>
      </c>
      <c r="E1912" t="s">
        <v>14</v>
      </c>
      <c r="F1912" t="s">
        <v>742</v>
      </c>
      <c r="G1912" t="s">
        <v>436</v>
      </c>
      <c r="H1912">
        <v>5</v>
      </c>
      <c r="I1912" s="1">
        <v>8593.99</v>
      </c>
      <c r="J1912" t="s">
        <v>17</v>
      </c>
      <c r="K1912" t="s">
        <v>18</v>
      </c>
      <c r="L1912" t="str" cm="1">
        <f t="array" ref="L1912">_xlfn.IFS(B1912&lt;30,"18-29",B1912&lt;45,"30-44",B1912&lt;60,"45-59",B1912&lt;75,"60-74",B1912&lt;=90,"75-90")</f>
        <v>18-29</v>
      </c>
      <c r="M1912" t="str">
        <f>IF(Table1[[#This Row],[length_of_stay_days]]&gt;7,"Yes","No")</f>
        <v>No</v>
      </c>
    </row>
    <row r="1913" spans="1:13" x14ac:dyDescent="0.3">
      <c r="A1913" t="s">
        <v>2312</v>
      </c>
      <c r="B1913">
        <v>90</v>
      </c>
      <c r="C1913" t="s">
        <v>12</v>
      </c>
      <c r="D1913" t="s">
        <v>32</v>
      </c>
      <c r="E1913" t="s">
        <v>28</v>
      </c>
      <c r="F1913" t="s">
        <v>189</v>
      </c>
      <c r="G1913" t="s">
        <v>493</v>
      </c>
      <c r="H1913">
        <v>9</v>
      </c>
      <c r="I1913" s="1">
        <v>12352.66</v>
      </c>
      <c r="J1913" t="s">
        <v>49</v>
      </c>
      <c r="K1913" t="s">
        <v>18</v>
      </c>
      <c r="L1913" t="str" cm="1">
        <f t="array" ref="L1913">_xlfn.IFS(B1913&lt;30,"18-29",B1913&lt;45,"30-44",B1913&lt;60,"45-59",B1913&lt;75,"60-74",B1913&lt;=90,"75-90")</f>
        <v>75-90</v>
      </c>
      <c r="M1913" t="str">
        <f>IF(Table1[[#This Row],[length_of_stay_days]]&gt;7,"Yes","No")</f>
        <v>Yes</v>
      </c>
    </row>
    <row r="1914" spans="1:13" x14ac:dyDescent="0.3">
      <c r="A1914" t="s">
        <v>2313</v>
      </c>
      <c r="B1914">
        <v>90</v>
      </c>
      <c r="C1914" t="s">
        <v>20</v>
      </c>
      <c r="D1914" t="s">
        <v>28</v>
      </c>
      <c r="E1914" t="s">
        <v>28</v>
      </c>
      <c r="F1914" t="s">
        <v>99</v>
      </c>
      <c r="G1914" t="s">
        <v>604</v>
      </c>
      <c r="H1914">
        <v>4</v>
      </c>
      <c r="I1914" s="1">
        <v>5075.6899999999996</v>
      </c>
      <c r="J1914" t="s">
        <v>17</v>
      </c>
      <c r="K1914" t="s">
        <v>18</v>
      </c>
      <c r="L1914" t="str" cm="1">
        <f t="array" ref="L1914">_xlfn.IFS(B1914&lt;30,"18-29",B1914&lt;45,"30-44",B1914&lt;60,"45-59",B1914&lt;75,"60-74",B1914&lt;=90,"75-90")</f>
        <v>75-90</v>
      </c>
      <c r="M1914" t="str">
        <f>IF(Table1[[#This Row],[length_of_stay_days]]&gt;7,"Yes","No")</f>
        <v>No</v>
      </c>
    </row>
    <row r="1915" spans="1:13" x14ac:dyDescent="0.3">
      <c r="A1915" t="s">
        <v>2314</v>
      </c>
      <c r="B1915">
        <v>65</v>
      </c>
      <c r="C1915" t="s">
        <v>12</v>
      </c>
      <c r="D1915" t="s">
        <v>13</v>
      </c>
      <c r="E1915" t="s">
        <v>21</v>
      </c>
      <c r="F1915" t="s">
        <v>774</v>
      </c>
      <c r="G1915" t="s">
        <v>143</v>
      </c>
      <c r="H1915">
        <v>5</v>
      </c>
      <c r="I1915" s="1">
        <v>3014.7</v>
      </c>
      <c r="J1915" t="s">
        <v>17</v>
      </c>
      <c r="K1915" t="s">
        <v>18</v>
      </c>
      <c r="L1915" t="str" cm="1">
        <f t="array" ref="L1915">_xlfn.IFS(B1915&lt;30,"18-29",B1915&lt;45,"30-44",B1915&lt;60,"45-59",B1915&lt;75,"60-74",B1915&lt;=90,"75-90")</f>
        <v>60-74</v>
      </c>
      <c r="M1915" t="str">
        <f>IF(Table1[[#This Row],[length_of_stay_days]]&gt;7,"Yes","No")</f>
        <v>No</v>
      </c>
    </row>
    <row r="1916" spans="1:13" x14ac:dyDescent="0.3">
      <c r="A1916" t="s">
        <v>2315</v>
      </c>
      <c r="B1916">
        <v>84</v>
      </c>
      <c r="C1916" t="s">
        <v>12</v>
      </c>
      <c r="D1916" t="s">
        <v>13</v>
      </c>
      <c r="E1916" t="s">
        <v>21</v>
      </c>
      <c r="F1916" t="s">
        <v>625</v>
      </c>
      <c r="G1916" t="s">
        <v>895</v>
      </c>
      <c r="H1916">
        <v>3</v>
      </c>
      <c r="I1916" s="1">
        <v>4255.42</v>
      </c>
      <c r="J1916" t="s">
        <v>17</v>
      </c>
      <c r="K1916" t="s">
        <v>18</v>
      </c>
      <c r="L1916" t="str" cm="1">
        <f t="array" ref="L1916">_xlfn.IFS(B1916&lt;30,"18-29",B1916&lt;45,"30-44",B1916&lt;60,"45-59",B1916&lt;75,"60-74",B1916&lt;=90,"75-90")</f>
        <v>75-90</v>
      </c>
      <c r="M1916" t="str">
        <f>IF(Table1[[#This Row],[length_of_stay_days]]&gt;7,"Yes","No")</f>
        <v>No</v>
      </c>
    </row>
    <row r="1917" spans="1:13" x14ac:dyDescent="0.3">
      <c r="A1917" t="s">
        <v>2316</v>
      </c>
      <c r="B1917">
        <v>78</v>
      </c>
      <c r="C1917" t="s">
        <v>20</v>
      </c>
      <c r="D1917" t="s">
        <v>55</v>
      </c>
      <c r="E1917" t="s">
        <v>14</v>
      </c>
      <c r="F1917" t="s">
        <v>821</v>
      </c>
      <c r="G1917" t="s">
        <v>469</v>
      </c>
      <c r="H1917">
        <v>3</v>
      </c>
      <c r="I1917" s="1">
        <v>6286.05</v>
      </c>
      <c r="J1917" t="s">
        <v>17</v>
      </c>
      <c r="K1917" t="s">
        <v>18</v>
      </c>
      <c r="L1917" t="str" cm="1">
        <f t="array" ref="L1917">_xlfn.IFS(B1917&lt;30,"18-29",B1917&lt;45,"30-44",B1917&lt;60,"45-59",B1917&lt;75,"60-74",B1917&lt;=90,"75-90")</f>
        <v>75-90</v>
      </c>
      <c r="M1917" t="str">
        <f>IF(Table1[[#This Row],[length_of_stay_days]]&gt;7,"Yes","No")</f>
        <v>No</v>
      </c>
    </row>
    <row r="1918" spans="1:13" x14ac:dyDescent="0.3">
      <c r="A1918" t="s">
        <v>2317</v>
      </c>
      <c r="B1918">
        <v>82</v>
      </c>
      <c r="C1918" t="s">
        <v>12</v>
      </c>
      <c r="D1918" t="s">
        <v>55</v>
      </c>
      <c r="E1918" t="s">
        <v>28</v>
      </c>
      <c r="F1918" t="s">
        <v>563</v>
      </c>
      <c r="G1918" t="s">
        <v>146</v>
      </c>
      <c r="H1918">
        <v>8</v>
      </c>
      <c r="I1918" s="1">
        <v>10511.98</v>
      </c>
      <c r="J1918" t="s">
        <v>17</v>
      </c>
      <c r="K1918" t="s">
        <v>223</v>
      </c>
      <c r="L1918" t="str" cm="1">
        <f t="array" ref="L1918">_xlfn.IFS(B1918&lt;30,"18-29",B1918&lt;45,"30-44",B1918&lt;60,"45-59",B1918&lt;75,"60-74",B1918&lt;=90,"75-90")</f>
        <v>75-90</v>
      </c>
      <c r="M1918" t="str">
        <f>IF(Table1[[#This Row],[length_of_stay_days]]&gt;7,"Yes","No")</f>
        <v>Yes</v>
      </c>
    </row>
    <row r="1919" spans="1:13" x14ac:dyDescent="0.3">
      <c r="A1919" t="s">
        <v>2318</v>
      </c>
      <c r="B1919">
        <v>29</v>
      </c>
      <c r="C1919" t="s">
        <v>20</v>
      </c>
      <c r="D1919" t="s">
        <v>32</v>
      </c>
      <c r="E1919" t="s">
        <v>14</v>
      </c>
      <c r="F1919" t="s">
        <v>135</v>
      </c>
      <c r="H1919">
        <v>5</v>
      </c>
      <c r="I1919" s="1">
        <v>11954.71</v>
      </c>
      <c r="J1919" t="s">
        <v>17</v>
      </c>
      <c r="K1919" t="s">
        <v>18</v>
      </c>
      <c r="L1919" t="str" cm="1">
        <f t="array" ref="L1919">_xlfn.IFS(B1919&lt;30,"18-29",B1919&lt;45,"30-44",B1919&lt;60,"45-59",B1919&lt;75,"60-74",B1919&lt;=90,"75-90")</f>
        <v>18-29</v>
      </c>
      <c r="M1919" t="str">
        <f>IF(Table1[[#This Row],[length_of_stay_days]]&gt;7,"Yes","No")</f>
        <v>No</v>
      </c>
    </row>
    <row r="1920" spans="1:13" x14ac:dyDescent="0.3">
      <c r="A1920" t="s">
        <v>2319</v>
      </c>
      <c r="B1920">
        <v>19</v>
      </c>
      <c r="C1920" t="s">
        <v>12</v>
      </c>
      <c r="D1920" t="s">
        <v>28</v>
      </c>
      <c r="E1920" t="s">
        <v>28</v>
      </c>
      <c r="F1920" t="s">
        <v>112</v>
      </c>
      <c r="G1920" t="s">
        <v>395</v>
      </c>
      <c r="H1920">
        <v>6</v>
      </c>
      <c r="I1920" s="1">
        <v>7901.64</v>
      </c>
      <c r="J1920" t="s">
        <v>17</v>
      </c>
      <c r="K1920" t="s">
        <v>44</v>
      </c>
      <c r="L1920" t="str" cm="1">
        <f t="array" ref="L1920">_xlfn.IFS(B1920&lt;30,"18-29",B1920&lt;45,"30-44",B1920&lt;60,"45-59",B1920&lt;75,"60-74",B1920&lt;=90,"75-90")</f>
        <v>18-29</v>
      </c>
      <c r="M1920" t="str">
        <f>IF(Table1[[#This Row],[length_of_stay_days]]&gt;7,"Yes","No")</f>
        <v>No</v>
      </c>
    </row>
    <row r="1921" spans="1:13" x14ac:dyDescent="0.3">
      <c r="A1921" t="s">
        <v>2320</v>
      </c>
      <c r="B1921">
        <v>77</v>
      </c>
      <c r="C1921" t="s">
        <v>12</v>
      </c>
      <c r="D1921" t="s">
        <v>13</v>
      </c>
      <c r="E1921" t="s">
        <v>28</v>
      </c>
      <c r="F1921" t="s">
        <v>663</v>
      </c>
      <c r="G1921" t="s">
        <v>327</v>
      </c>
      <c r="H1921">
        <v>4</v>
      </c>
      <c r="I1921" s="1">
        <v>5121.1000000000004</v>
      </c>
      <c r="J1921" t="s">
        <v>49</v>
      </c>
      <c r="K1921" t="s">
        <v>18</v>
      </c>
      <c r="L1921" t="str" cm="1">
        <f t="array" ref="L1921">_xlfn.IFS(B1921&lt;30,"18-29",B1921&lt;45,"30-44",B1921&lt;60,"45-59",B1921&lt;75,"60-74",B1921&lt;=90,"75-90")</f>
        <v>75-90</v>
      </c>
      <c r="M1921" t="str">
        <f>IF(Table1[[#This Row],[length_of_stay_days]]&gt;7,"Yes","No")</f>
        <v>No</v>
      </c>
    </row>
    <row r="1922" spans="1:13" x14ac:dyDescent="0.3">
      <c r="A1922" t="s">
        <v>2321</v>
      </c>
      <c r="B1922">
        <v>67</v>
      </c>
      <c r="C1922" t="s">
        <v>20</v>
      </c>
      <c r="D1922" t="s">
        <v>32</v>
      </c>
      <c r="E1922" t="s">
        <v>21</v>
      </c>
      <c r="F1922" t="s">
        <v>410</v>
      </c>
      <c r="G1922" t="s">
        <v>465</v>
      </c>
      <c r="H1922">
        <v>5</v>
      </c>
      <c r="I1922" s="1">
        <v>9139.76</v>
      </c>
      <c r="J1922" t="s">
        <v>49</v>
      </c>
      <c r="K1922" t="s">
        <v>18</v>
      </c>
      <c r="L1922" t="str" cm="1">
        <f t="array" ref="L1922">_xlfn.IFS(B1922&lt;30,"18-29",B1922&lt;45,"30-44",B1922&lt;60,"45-59",B1922&lt;75,"60-74",B1922&lt;=90,"75-90")</f>
        <v>60-74</v>
      </c>
      <c r="M1922" t="str">
        <f>IF(Table1[[#This Row],[length_of_stay_days]]&gt;7,"Yes","No")</f>
        <v>No</v>
      </c>
    </row>
    <row r="1923" spans="1:13" x14ac:dyDescent="0.3">
      <c r="A1923" t="s">
        <v>2322</v>
      </c>
      <c r="B1923">
        <v>40</v>
      </c>
      <c r="C1923" t="s">
        <v>12</v>
      </c>
      <c r="D1923" t="s">
        <v>28</v>
      </c>
      <c r="E1923" t="s">
        <v>14</v>
      </c>
      <c r="F1923" t="s">
        <v>646</v>
      </c>
      <c r="G1923" t="s">
        <v>1207</v>
      </c>
      <c r="H1923">
        <v>4</v>
      </c>
      <c r="I1923" s="1">
        <v>6023.6</v>
      </c>
      <c r="J1923" t="s">
        <v>17</v>
      </c>
      <c r="K1923" t="s">
        <v>18</v>
      </c>
      <c r="L1923" t="str" cm="1">
        <f t="array" ref="L1923">_xlfn.IFS(B1923&lt;30,"18-29",B1923&lt;45,"30-44",B1923&lt;60,"45-59",B1923&lt;75,"60-74",B1923&lt;=90,"75-90")</f>
        <v>30-44</v>
      </c>
      <c r="M1923" t="str">
        <f>IF(Table1[[#This Row],[length_of_stay_days]]&gt;7,"Yes","No")</f>
        <v>No</v>
      </c>
    </row>
    <row r="1924" spans="1:13" x14ac:dyDescent="0.3">
      <c r="A1924" t="s">
        <v>2323</v>
      </c>
      <c r="B1924">
        <v>51</v>
      </c>
      <c r="C1924" t="s">
        <v>20</v>
      </c>
      <c r="D1924" t="s">
        <v>28</v>
      </c>
      <c r="E1924" t="s">
        <v>28</v>
      </c>
      <c r="F1924" t="s">
        <v>496</v>
      </c>
      <c r="G1924" t="s">
        <v>474</v>
      </c>
      <c r="H1924">
        <v>4</v>
      </c>
      <c r="I1924" s="1">
        <v>5147.8500000000004</v>
      </c>
      <c r="J1924" t="s">
        <v>17</v>
      </c>
      <c r="K1924" t="s">
        <v>18</v>
      </c>
      <c r="L1924" t="str" cm="1">
        <f t="array" ref="L1924">_xlfn.IFS(B1924&lt;30,"18-29",B1924&lt;45,"30-44",B1924&lt;60,"45-59",B1924&lt;75,"60-74",B1924&lt;=90,"75-90")</f>
        <v>45-59</v>
      </c>
      <c r="M1924" t="str">
        <f>IF(Table1[[#This Row],[length_of_stay_days]]&gt;7,"Yes","No")</f>
        <v>No</v>
      </c>
    </row>
    <row r="1925" spans="1:13" x14ac:dyDescent="0.3">
      <c r="A1925" t="s">
        <v>2324</v>
      </c>
      <c r="B1925">
        <v>77</v>
      </c>
      <c r="C1925" t="s">
        <v>12</v>
      </c>
      <c r="D1925" t="s">
        <v>13</v>
      </c>
      <c r="E1925" t="s">
        <v>28</v>
      </c>
      <c r="F1925" t="s">
        <v>762</v>
      </c>
      <c r="G1925" t="s">
        <v>174</v>
      </c>
      <c r="H1925">
        <v>8</v>
      </c>
      <c r="I1925" s="1">
        <v>11073.05</v>
      </c>
      <c r="J1925" t="s">
        <v>17</v>
      </c>
      <c r="K1925" t="s">
        <v>18</v>
      </c>
      <c r="L1925" t="str" cm="1">
        <f t="array" ref="L1925">_xlfn.IFS(B1925&lt;30,"18-29",B1925&lt;45,"30-44",B1925&lt;60,"45-59",B1925&lt;75,"60-74",B1925&lt;=90,"75-90")</f>
        <v>75-90</v>
      </c>
      <c r="M1925" t="str">
        <f>IF(Table1[[#This Row],[length_of_stay_days]]&gt;7,"Yes","No")</f>
        <v>Yes</v>
      </c>
    </row>
    <row r="1926" spans="1:13" x14ac:dyDescent="0.3">
      <c r="A1926" t="s">
        <v>2325</v>
      </c>
      <c r="B1926">
        <v>73</v>
      </c>
      <c r="C1926" t="s">
        <v>12</v>
      </c>
      <c r="D1926" t="s">
        <v>46</v>
      </c>
      <c r="E1926" t="s">
        <v>28</v>
      </c>
      <c r="F1926" t="s">
        <v>683</v>
      </c>
      <c r="G1926" t="s">
        <v>357</v>
      </c>
      <c r="H1926">
        <v>11</v>
      </c>
      <c r="I1926" s="1">
        <v>16459.080000000002</v>
      </c>
      <c r="J1926" t="s">
        <v>17</v>
      </c>
      <c r="K1926" t="s">
        <v>18</v>
      </c>
      <c r="L1926" t="str" cm="1">
        <f t="array" ref="L1926">_xlfn.IFS(B1926&lt;30,"18-29",B1926&lt;45,"30-44",B1926&lt;60,"45-59",B1926&lt;75,"60-74",B1926&lt;=90,"75-90")</f>
        <v>60-74</v>
      </c>
      <c r="M1926" t="str">
        <f>IF(Table1[[#This Row],[length_of_stay_days]]&gt;7,"Yes","No")</f>
        <v>Yes</v>
      </c>
    </row>
    <row r="1927" spans="1:13" x14ac:dyDescent="0.3">
      <c r="A1927" t="s">
        <v>2326</v>
      </c>
      <c r="B1927">
        <v>47</v>
      </c>
      <c r="C1927" t="s">
        <v>12</v>
      </c>
      <c r="D1927" t="s">
        <v>32</v>
      </c>
      <c r="E1927" t="s">
        <v>14</v>
      </c>
      <c r="F1927" t="s">
        <v>295</v>
      </c>
      <c r="G1927" t="s">
        <v>301</v>
      </c>
      <c r="H1927">
        <v>3</v>
      </c>
      <c r="I1927" s="1">
        <v>10457.290000000001</v>
      </c>
      <c r="J1927" t="s">
        <v>17</v>
      </c>
      <c r="K1927" t="s">
        <v>18</v>
      </c>
      <c r="L1927" t="str" cm="1">
        <f t="array" ref="L1927">_xlfn.IFS(B1927&lt;30,"18-29",B1927&lt;45,"30-44",B1927&lt;60,"45-59",B1927&lt;75,"60-74",B1927&lt;=90,"75-90")</f>
        <v>45-59</v>
      </c>
      <c r="M1927" t="str">
        <f>IF(Table1[[#This Row],[length_of_stay_days]]&gt;7,"Yes","No")</f>
        <v>No</v>
      </c>
    </row>
    <row r="1928" spans="1:13" x14ac:dyDescent="0.3">
      <c r="A1928" t="s">
        <v>2327</v>
      </c>
      <c r="B1928">
        <v>72</v>
      </c>
      <c r="C1928" t="s">
        <v>20</v>
      </c>
      <c r="D1928" t="s">
        <v>55</v>
      </c>
      <c r="E1928" t="s">
        <v>28</v>
      </c>
      <c r="F1928" t="s">
        <v>317</v>
      </c>
      <c r="G1928" t="s">
        <v>93</v>
      </c>
      <c r="H1928">
        <v>6</v>
      </c>
      <c r="I1928" s="1">
        <v>7695.77</v>
      </c>
      <c r="J1928" t="s">
        <v>17</v>
      </c>
      <c r="K1928" t="s">
        <v>18</v>
      </c>
      <c r="L1928" t="str" cm="1">
        <f t="array" ref="L1928">_xlfn.IFS(B1928&lt;30,"18-29",B1928&lt;45,"30-44",B1928&lt;60,"45-59",B1928&lt;75,"60-74",B1928&lt;=90,"75-90")</f>
        <v>60-74</v>
      </c>
      <c r="M1928" t="str">
        <f>IF(Table1[[#This Row],[length_of_stay_days]]&gt;7,"Yes","No")</f>
        <v>No</v>
      </c>
    </row>
    <row r="1929" spans="1:13" x14ac:dyDescent="0.3">
      <c r="A1929" t="s">
        <v>2328</v>
      </c>
      <c r="B1929">
        <v>31</v>
      </c>
      <c r="C1929" t="s">
        <v>12</v>
      </c>
      <c r="D1929" t="s">
        <v>13</v>
      </c>
      <c r="E1929" t="s">
        <v>21</v>
      </c>
      <c r="F1929" t="s">
        <v>366</v>
      </c>
      <c r="G1929" t="s">
        <v>40</v>
      </c>
      <c r="H1929">
        <v>4</v>
      </c>
      <c r="I1929" s="1">
        <v>6932.09</v>
      </c>
      <c r="J1929" t="s">
        <v>17</v>
      </c>
      <c r="K1929" t="s">
        <v>18</v>
      </c>
      <c r="L1929" t="str" cm="1">
        <f t="array" ref="L1929">_xlfn.IFS(B1929&lt;30,"18-29",B1929&lt;45,"30-44",B1929&lt;60,"45-59",B1929&lt;75,"60-74",B1929&lt;=90,"75-90")</f>
        <v>30-44</v>
      </c>
      <c r="M1929" t="str">
        <f>IF(Table1[[#This Row],[length_of_stay_days]]&gt;7,"Yes","No")</f>
        <v>No</v>
      </c>
    </row>
    <row r="1930" spans="1:13" x14ac:dyDescent="0.3">
      <c r="A1930" t="s">
        <v>2329</v>
      </c>
      <c r="B1930">
        <v>71</v>
      </c>
      <c r="C1930" t="s">
        <v>12</v>
      </c>
      <c r="D1930" t="s">
        <v>28</v>
      </c>
      <c r="E1930" t="s">
        <v>28</v>
      </c>
      <c r="F1930" t="s">
        <v>111</v>
      </c>
      <c r="G1930" t="s">
        <v>151</v>
      </c>
      <c r="H1930">
        <v>4</v>
      </c>
      <c r="I1930" s="1">
        <v>6948.07</v>
      </c>
      <c r="J1930" t="s">
        <v>17</v>
      </c>
      <c r="K1930" t="s">
        <v>18</v>
      </c>
      <c r="L1930" t="str" cm="1">
        <f t="array" ref="L1930">_xlfn.IFS(B1930&lt;30,"18-29",B1930&lt;45,"30-44",B1930&lt;60,"45-59",B1930&lt;75,"60-74",B1930&lt;=90,"75-90")</f>
        <v>60-74</v>
      </c>
      <c r="M1930" t="str">
        <f>IF(Table1[[#This Row],[length_of_stay_days]]&gt;7,"Yes","No")</f>
        <v>No</v>
      </c>
    </row>
    <row r="1931" spans="1:13" x14ac:dyDescent="0.3">
      <c r="A1931" t="s">
        <v>2330</v>
      </c>
      <c r="B1931">
        <v>29</v>
      </c>
      <c r="C1931" t="s">
        <v>12</v>
      </c>
      <c r="D1931" t="s">
        <v>55</v>
      </c>
      <c r="E1931" t="s">
        <v>14</v>
      </c>
      <c r="F1931" t="s">
        <v>787</v>
      </c>
      <c r="G1931" t="s">
        <v>157</v>
      </c>
      <c r="H1931">
        <v>3</v>
      </c>
      <c r="I1931" s="1">
        <v>9565.1299999999992</v>
      </c>
      <c r="J1931" t="s">
        <v>17</v>
      </c>
      <c r="K1931" t="s">
        <v>18</v>
      </c>
      <c r="L1931" t="str" cm="1">
        <f t="array" ref="L1931">_xlfn.IFS(B1931&lt;30,"18-29",B1931&lt;45,"30-44",B1931&lt;60,"45-59",B1931&lt;75,"60-74",B1931&lt;=90,"75-90")</f>
        <v>18-29</v>
      </c>
      <c r="M1931" t="str">
        <f>IF(Table1[[#This Row],[length_of_stay_days]]&gt;7,"Yes","No")</f>
        <v>No</v>
      </c>
    </row>
    <row r="1932" spans="1:13" x14ac:dyDescent="0.3">
      <c r="A1932" t="s">
        <v>2331</v>
      </c>
      <c r="B1932">
        <v>27</v>
      </c>
      <c r="C1932" t="s">
        <v>20</v>
      </c>
      <c r="D1932" t="s">
        <v>13</v>
      </c>
      <c r="E1932" t="s">
        <v>28</v>
      </c>
      <c r="F1932" t="s">
        <v>898</v>
      </c>
      <c r="G1932" t="s">
        <v>328</v>
      </c>
      <c r="H1932">
        <v>8</v>
      </c>
      <c r="I1932" s="1">
        <v>6866.78</v>
      </c>
      <c r="J1932" t="s">
        <v>17</v>
      </c>
      <c r="K1932" t="s">
        <v>18</v>
      </c>
      <c r="L1932" t="str" cm="1">
        <f t="array" ref="L1932">_xlfn.IFS(B1932&lt;30,"18-29",B1932&lt;45,"30-44",B1932&lt;60,"45-59",B1932&lt;75,"60-74",B1932&lt;=90,"75-90")</f>
        <v>18-29</v>
      </c>
      <c r="M1932" t="str">
        <f>IF(Table1[[#This Row],[length_of_stay_days]]&gt;7,"Yes","No")</f>
        <v>Yes</v>
      </c>
    </row>
    <row r="1933" spans="1:13" x14ac:dyDescent="0.3">
      <c r="A1933" t="s">
        <v>2332</v>
      </c>
      <c r="B1933">
        <v>66</v>
      </c>
      <c r="C1933" t="s">
        <v>20</v>
      </c>
      <c r="D1933" t="s">
        <v>13</v>
      </c>
      <c r="E1933" t="s">
        <v>28</v>
      </c>
      <c r="F1933" t="s">
        <v>827</v>
      </c>
      <c r="G1933" t="s">
        <v>56</v>
      </c>
      <c r="H1933">
        <v>5</v>
      </c>
      <c r="I1933" s="1">
        <v>7333.84</v>
      </c>
      <c r="J1933" t="s">
        <v>17</v>
      </c>
      <c r="K1933" t="s">
        <v>44</v>
      </c>
      <c r="L1933" t="str" cm="1">
        <f t="array" ref="L1933">_xlfn.IFS(B1933&lt;30,"18-29",B1933&lt;45,"30-44",B1933&lt;60,"45-59",B1933&lt;75,"60-74",B1933&lt;=90,"75-90")</f>
        <v>60-74</v>
      </c>
      <c r="M1933" t="str">
        <f>IF(Table1[[#This Row],[length_of_stay_days]]&gt;7,"Yes","No")</f>
        <v>No</v>
      </c>
    </row>
    <row r="1934" spans="1:13" x14ac:dyDescent="0.3">
      <c r="A1934" t="s">
        <v>2333</v>
      </c>
      <c r="B1934">
        <v>20</v>
      </c>
      <c r="C1934" t="s">
        <v>12</v>
      </c>
      <c r="D1934" t="s">
        <v>28</v>
      </c>
      <c r="E1934" t="s">
        <v>14</v>
      </c>
      <c r="F1934" t="s">
        <v>75</v>
      </c>
      <c r="G1934" t="s">
        <v>203</v>
      </c>
      <c r="H1934">
        <v>4</v>
      </c>
      <c r="I1934" s="1">
        <v>5183.37</v>
      </c>
      <c r="J1934" t="s">
        <v>17</v>
      </c>
      <c r="K1934" t="s">
        <v>18</v>
      </c>
      <c r="L1934" t="str" cm="1">
        <f t="array" ref="L1934">_xlfn.IFS(B1934&lt;30,"18-29",B1934&lt;45,"30-44",B1934&lt;60,"45-59",B1934&lt;75,"60-74",B1934&lt;=90,"75-90")</f>
        <v>18-29</v>
      </c>
      <c r="M1934" t="str">
        <f>IF(Table1[[#This Row],[length_of_stay_days]]&gt;7,"Yes","No")</f>
        <v>No</v>
      </c>
    </row>
    <row r="1935" spans="1:13" x14ac:dyDescent="0.3">
      <c r="A1935" t="s">
        <v>2334</v>
      </c>
      <c r="B1935">
        <v>34</v>
      </c>
      <c r="C1935" t="s">
        <v>20</v>
      </c>
      <c r="D1935" t="s">
        <v>13</v>
      </c>
      <c r="E1935" t="s">
        <v>21</v>
      </c>
      <c r="F1935" t="s">
        <v>366</v>
      </c>
      <c r="G1935" t="s">
        <v>517</v>
      </c>
      <c r="H1935">
        <v>3</v>
      </c>
      <c r="I1935" s="1">
        <v>7003.56</v>
      </c>
      <c r="J1935" t="s">
        <v>17</v>
      </c>
      <c r="K1935" t="s">
        <v>44</v>
      </c>
      <c r="L1935" t="str" cm="1">
        <f t="array" ref="L1935">_xlfn.IFS(B1935&lt;30,"18-29",B1935&lt;45,"30-44",B1935&lt;60,"45-59",B1935&lt;75,"60-74",B1935&lt;=90,"75-90")</f>
        <v>30-44</v>
      </c>
      <c r="M1935" t="str">
        <f>IF(Table1[[#This Row],[length_of_stay_days]]&gt;7,"Yes","No")</f>
        <v>No</v>
      </c>
    </row>
    <row r="1936" spans="1:13" x14ac:dyDescent="0.3">
      <c r="A1936" t="s">
        <v>2335</v>
      </c>
      <c r="B1936">
        <v>85</v>
      </c>
      <c r="C1936" t="s">
        <v>12</v>
      </c>
      <c r="D1936" t="s">
        <v>46</v>
      </c>
      <c r="E1936" t="s">
        <v>28</v>
      </c>
      <c r="F1936" t="s">
        <v>609</v>
      </c>
      <c r="G1936" t="s">
        <v>746</v>
      </c>
      <c r="H1936">
        <v>6</v>
      </c>
      <c r="I1936" s="1">
        <v>13326.75</v>
      </c>
      <c r="J1936" t="s">
        <v>17</v>
      </c>
      <c r="K1936" t="s">
        <v>18</v>
      </c>
      <c r="L1936" t="str" cm="1">
        <f t="array" ref="L1936">_xlfn.IFS(B1936&lt;30,"18-29",B1936&lt;45,"30-44",B1936&lt;60,"45-59",B1936&lt;75,"60-74",B1936&lt;=90,"75-90")</f>
        <v>75-90</v>
      </c>
      <c r="M1936" t="str">
        <f>IF(Table1[[#This Row],[length_of_stay_days]]&gt;7,"Yes","No")</f>
        <v>No</v>
      </c>
    </row>
    <row r="1937" spans="1:13" x14ac:dyDescent="0.3">
      <c r="A1937" t="s">
        <v>2336</v>
      </c>
      <c r="B1937">
        <v>37</v>
      </c>
      <c r="C1937" t="s">
        <v>20</v>
      </c>
      <c r="D1937" t="s">
        <v>28</v>
      </c>
      <c r="E1937" t="s">
        <v>14</v>
      </c>
      <c r="F1937" t="s">
        <v>712</v>
      </c>
      <c r="G1937" t="s">
        <v>304</v>
      </c>
      <c r="H1937">
        <v>1</v>
      </c>
      <c r="I1937" s="1">
        <v>2576.6999999999998</v>
      </c>
      <c r="J1937" t="s">
        <v>17</v>
      </c>
      <c r="K1937" t="s">
        <v>18</v>
      </c>
      <c r="L1937" t="str" cm="1">
        <f t="array" ref="L1937">_xlfn.IFS(B1937&lt;30,"18-29",B1937&lt;45,"30-44",B1937&lt;60,"45-59",B1937&lt;75,"60-74",B1937&lt;=90,"75-90")</f>
        <v>30-44</v>
      </c>
      <c r="M1937" t="str">
        <f>IF(Table1[[#This Row],[length_of_stay_days]]&gt;7,"Yes","No")</f>
        <v>No</v>
      </c>
    </row>
    <row r="1938" spans="1:13" x14ac:dyDescent="0.3">
      <c r="A1938" t="s">
        <v>2337</v>
      </c>
      <c r="B1938">
        <v>65</v>
      </c>
      <c r="C1938" t="s">
        <v>12</v>
      </c>
      <c r="D1938" t="s">
        <v>28</v>
      </c>
      <c r="E1938" t="s">
        <v>14</v>
      </c>
      <c r="F1938" t="s">
        <v>549</v>
      </c>
      <c r="G1938" t="s">
        <v>194</v>
      </c>
      <c r="H1938">
        <v>1</v>
      </c>
      <c r="I1938" s="1">
        <v>350</v>
      </c>
      <c r="J1938" t="s">
        <v>17</v>
      </c>
      <c r="K1938" t="s">
        <v>18</v>
      </c>
      <c r="L1938" t="str" cm="1">
        <f t="array" ref="L1938">_xlfn.IFS(B1938&lt;30,"18-29",B1938&lt;45,"30-44",B1938&lt;60,"45-59",B1938&lt;75,"60-74",B1938&lt;=90,"75-90")</f>
        <v>60-74</v>
      </c>
      <c r="M1938" t="str">
        <f>IF(Table1[[#This Row],[length_of_stay_days]]&gt;7,"Yes","No")</f>
        <v>No</v>
      </c>
    </row>
    <row r="1939" spans="1:13" x14ac:dyDescent="0.3">
      <c r="A1939" t="s">
        <v>2338</v>
      </c>
      <c r="B1939">
        <v>39</v>
      </c>
      <c r="C1939" t="s">
        <v>12</v>
      </c>
      <c r="D1939" t="s">
        <v>32</v>
      </c>
      <c r="E1939" t="s">
        <v>21</v>
      </c>
      <c r="F1939" t="s">
        <v>158</v>
      </c>
      <c r="G1939" t="s">
        <v>194</v>
      </c>
      <c r="H1939">
        <v>6</v>
      </c>
      <c r="I1939" s="1">
        <v>10459.25</v>
      </c>
      <c r="J1939" t="s">
        <v>49</v>
      </c>
      <c r="K1939" t="s">
        <v>18</v>
      </c>
      <c r="L1939" t="str" cm="1">
        <f t="array" ref="L1939">_xlfn.IFS(B1939&lt;30,"18-29",B1939&lt;45,"30-44",B1939&lt;60,"45-59",B1939&lt;75,"60-74",B1939&lt;=90,"75-90")</f>
        <v>30-44</v>
      </c>
      <c r="M1939" t="str">
        <f>IF(Table1[[#This Row],[length_of_stay_days]]&gt;7,"Yes","No")</f>
        <v>No</v>
      </c>
    </row>
    <row r="1940" spans="1:13" x14ac:dyDescent="0.3">
      <c r="A1940" t="s">
        <v>2339</v>
      </c>
      <c r="B1940">
        <v>71</v>
      </c>
      <c r="C1940" t="s">
        <v>12</v>
      </c>
      <c r="D1940" t="s">
        <v>28</v>
      </c>
      <c r="E1940" t="s">
        <v>28</v>
      </c>
      <c r="F1940" t="s">
        <v>138</v>
      </c>
      <c r="G1940" t="s">
        <v>609</v>
      </c>
      <c r="H1940">
        <v>5</v>
      </c>
      <c r="I1940" s="1">
        <v>6595.72</v>
      </c>
      <c r="J1940" t="s">
        <v>17</v>
      </c>
      <c r="K1940" t="s">
        <v>18</v>
      </c>
      <c r="L1940" t="str" cm="1">
        <f t="array" ref="L1940">_xlfn.IFS(B1940&lt;30,"18-29",B1940&lt;45,"30-44",B1940&lt;60,"45-59",B1940&lt;75,"60-74",B1940&lt;=90,"75-90")</f>
        <v>60-74</v>
      </c>
      <c r="M1940" t="str">
        <f>IF(Table1[[#This Row],[length_of_stay_days]]&gt;7,"Yes","No")</f>
        <v>No</v>
      </c>
    </row>
    <row r="1941" spans="1:13" x14ac:dyDescent="0.3">
      <c r="A1941" t="s">
        <v>2340</v>
      </c>
      <c r="B1941">
        <v>35</v>
      </c>
      <c r="C1941" t="s">
        <v>12</v>
      </c>
      <c r="D1941" t="s">
        <v>51</v>
      </c>
      <c r="E1941" t="s">
        <v>14</v>
      </c>
      <c r="F1941" t="s">
        <v>532</v>
      </c>
      <c r="G1941" t="s">
        <v>52</v>
      </c>
      <c r="H1941">
        <v>5</v>
      </c>
      <c r="I1941" s="1">
        <v>12498.65</v>
      </c>
      <c r="J1941" t="s">
        <v>17</v>
      </c>
      <c r="K1941" t="s">
        <v>18</v>
      </c>
      <c r="L1941" t="str" cm="1">
        <f t="array" ref="L1941">_xlfn.IFS(B1941&lt;30,"18-29",B1941&lt;45,"30-44",B1941&lt;60,"45-59",B1941&lt;75,"60-74",B1941&lt;=90,"75-90")</f>
        <v>30-44</v>
      </c>
      <c r="M1941" t="str">
        <f>IF(Table1[[#This Row],[length_of_stay_days]]&gt;7,"Yes","No")</f>
        <v>No</v>
      </c>
    </row>
    <row r="1942" spans="1:13" x14ac:dyDescent="0.3">
      <c r="A1942" t="s">
        <v>2341</v>
      </c>
      <c r="B1942">
        <v>67</v>
      </c>
      <c r="C1942" t="s">
        <v>12</v>
      </c>
      <c r="D1942" t="s">
        <v>32</v>
      </c>
      <c r="E1942" t="s">
        <v>28</v>
      </c>
      <c r="F1942" t="s">
        <v>293</v>
      </c>
      <c r="G1942" t="s">
        <v>462</v>
      </c>
      <c r="H1942">
        <v>6</v>
      </c>
      <c r="I1942" s="1">
        <v>12999.92</v>
      </c>
      <c r="J1942" t="s">
        <v>17</v>
      </c>
      <c r="K1942" t="s">
        <v>18</v>
      </c>
      <c r="L1942" t="str" cm="1">
        <f t="array" ref="L1942">_xlfn.IFS(B1942&lt;30,"18-29",B1942&lt;45,"30-44",B1942&lt;60,"45-59",B1942&lt;75,"60-74",B1942&lt;=90,"75-90")</f>
        <v>60-74</v>
      </c>
      <c r="M1942" t="str">
        <f>IF(Table1[[#This Row],[length_of_stay_days]]&gt;7,"Yes","No")</f>
        <v>No</v>
      </c>
    </row>
    <row r="1943" spans="1:13" x14ac:dyDescent="0.3">
      <c r="A1943" t="s">
        <v>2342</v>
      </c>
      <c r="B1943">
        <v>90</v>
      </c>
      <c r="C1943" t="s">
        <v>20</v>
      </c>
      <c r="D1943" t="s">
        <v>13</v>
      </c>
      <c r="E1943" t="s">
        <v>14</v>
      </c>
      <c r="F1943" t="s">
        <v>194</v>
      </c>
      <c r="G1943" t="s">
        <v>837</v>
      </c>
      <c r="H1943">
        <v>4</v>
      </c>
      <c r="I1943" s="1">
        <v>7615.84</v>
      </c>
      <c r="J1943" t="s">
        <v>17</v>
      </c>
      <c r="K1943" t="s">
        <v>18</v>
      </c>
      <c r="L1943" t="str" cm="1">
        <f t="array" ref="L1943">_xlfn.IFS(B1943&lt;30,"18-29",B1943&lt;45,"30-44",B1943&lt;60,"45-59",B1943&lt;75,"60-74",B1943&lt;=90,"75-90")</f>
        <v>75-90</v>
      </c>
      <c r="M1943" t="str">
        <f>IF(Table1[[#This Row],[length_of_stay_days]]&gt;7,"Yes","No")</f>
        <v>No</v>
      </c>
    </row>
    <row r="1944" spans="1:13" x14ac:dyDescent="0.3">
      <c r="A1944" t="s">
        <v>2343</v>
      </c>
      <c r="B1944">
        <v>84</v>
      </c>
      <c r="C1944" t="s">
        <v>20</v>
      </c>
      <c r="D1944" t="s">
        <v>13</v>
      </c>
      <c r="E1944" t="s">
        <v>28</v>
      </c>
      <c r="F1944" t="s">
        <v>767</v>
      </c>
      <c r="G1944" t="s">
        <v>485</v>
      </c>
      <c r="H1944">
        <v>6</v>
      </c>
      <c r="I1944" s="1">
        <v>7313.91</v>
      </c>
      <c r="J1944" t="s">
        <v>49</v>
      </c>
      <c r="K1944" t="s">
        <v>223</v>
      </c>
      <c r="L1944" t="str" cm="1">
        <f t="array" ref="L1944">_xlfn.IFS(B1944&lt;30,"18-29",B1944&lt;45,"30-44",B1944&lt;60,"45-59",B1944&lt;75,"60-74",B1944&lt;=90,"75-90")</f>
        <v>75-90</v>
      </c>
      <c r="M1944" t="str">
        <f>IF(Table1[[#This Row],[length_of_stay_days]]&gt;7,"Yes","No")</f>
        <v>No</v>
      </c>
    </row>
    <row r="1945" spans="1:13" x14ac:dyDescent="0.3">
      <c r="A1945" t="s">
        <v>2344</v>
      </c>
      <c r="B1945">
        <v>54</v>
      </c>
      <c r="C1945" t="s">
        <v>12</v>
      </c>
      <c r="D1945" t="s">
        <v>32</v>
      </c>
      <c r="E1945" t="s">
        <v>14</v>
      </c>
      <c r="F1945" t="s">
        <v>296</v>
      </c>
      <c r="G1945" t="s">
        <v>774</v>
      </c>
      <c r="H1945">
        <v>7</v>
      </c>
      <c r="I1945" s="1">
        <v>10665.73</v>
      </c>
      <c r="J1945" t="s">
        <v>17</v>
      </c>
      <c r="K1945" t="s">
        <v>18</v>
      </c>
      <c r="L1945" t="str" cm="1">
        <f t="array" ref="L1945">_xlfn.IFS(B1945&lt;30,"18-29",B1945&lt;45,"30-44",B1945&lt;60,"45-59",B1945&lt;75,"60-74",B1945&lt;=90,"75-90")</f>
        <v>45-59</v>
      </c>
      <c r="M1945" t="str">
        <f>IF(Table1[[#This Row],[length_of_stay_days]]&gt;7,"Yes","No")</f>
        <v>No</v>
      </c>
    </row>
    <row r="1946" spans="1:13" x14ac:dyDescent="0.3">
      <c r="A1946" t="s">
        <v>2345</v>
      </c>
      <c r="B1946">
        <v>45</v>
      </c>
      <c r="C1946" t="s">
        <v>12</v>
      </c>
      <c r="D1946" t="s">
        <v>13</v>
      </c>
      <c r="E1946" t="s">
        <v>28</v>
      </c>
      <c r="F1946" t="s">
        <v>86</v>
      </c>
      <c r="G1946" t="s">
        <v>25</v>
      </c>
      <c r="H1946">
        <v>8</v>
      </c>
      <c r="I1946" s="1">
        <v>9053.93</v>
      </c>
      <c r="J1946" t="s">
        <v>17</v>
      </c>
      <c r="K1946" t="s">
        <v>18</v>
      </c>
      <c r="L1946" t="str" cm="1">
        <f t="array" ref="L1946">_xlfn.IFS(B1946&lt;30,"18-29",B1946&lt;45,"30-44",B1946&lt;60,"45-59",B1946&lt;75,"60-74",B1946&lt;=90,"75-90")</f>
        <v>45-59</v>
      </c>
      <c r="M1946" t="str">
        <f>IF(Table1[[#This Row],[length_of_stay_days]]&gt;7,"Yes","No")</f>
        <v>Yes</v>
      </c>
    </row>
    <row r="1947" spans="1:13" x14ac:dyDescent="0.3">
      <c r="A1947" t="s">
        <v>2346</v>
      </c>
      <c r="B1947">
        <v>83</v>
      </c>
      <c r="C1947" t="s">
        <v>20</v>
      </c>
      <c r="D1947" t="s">
        <v>28</v>
      </c>
      <c r="E1947" t="s">
        <v>28</v>
      </c>
      <c r="F1947" t="s">
        <v>676</v>
      </c>
      <c r="G1947" t="s">
        <v>146</v>
      </c>
      <c r="H1947">
        <v>6</v>
      </c>
      <c r="I1947" s="1">
        <v>5600.77</v>
      </c>
      <c r="J1947" t="s">
        <v>17</v>
      </c>
      <c r="K1947" t="s">
        <v>18</v>
      </c>
      <c r="L1947" t="str" cm="1">
        <f t="array" ref="L1947">_xlfn.IFS(B1947&lt;30,"18-29",B1947&lt;45,"30-44",B1947&lt;60,"45-59",B1947&lt;75,"60-74",B1947&lt;=90,"75-90")</f>
        <v>75-90</v>
      </c>
      <c r="M1947" t="str">
        <f>IF(Table1[[#This Row],[length_of_stay_days]]&gt;7,"Yes","No")</f>
        <v>No</v>
      </c>
    </row>
    <row r="1948" spans="1:13" x14ac:dyDescent="0.3">
      <c r="A1948" t="s">
        <v>2347</v>
      </c>
      <c r="B1948">
        <v>70</v>
      </c>
      <c r="C1948" t="s">
        <v>20</v>
      </c>
      <c r="D1948" t="s">
        <v>55</v>
      </c>
      <c r="E1948" t="s">
        <v>28</v>
      </c>
      <c r="F1948" t="s">
        <v>258</v>
      </c>
      <c r="G1948" t="s">
        <v>298</v>
      </c>
      <c r="H1948">
        <v>5</v>
      </c>
      <c r="I1948" s="1">
        <v>9662.84</v>
      </c>
      <c r="J1948" t="s">
        <v>17</v>
      </c>
      <c r="K1948" t="s">
        <v>18</v>
      </c>
      <c r="L1948" t="str" cm="1">
        <f t="array" ref="L1948">_xlfn.IFS(B1948&lt;30,"18-29",B1948&lt;45,"30-44",B1948&lt;60,"45-59",B1948&lt;75,"60-74",B1948&lt;=90,"75-90")</f>
        <v>60-74</v>
      </c>
      <c r="M1948" t="str">
        <f>IF(Table1[[#This Row],[length_of_stay_days]]&gt;7,"Yes","No")</f>
        <v>No</v>
      </c>
    </row>
    <row r="1949" spans="1:13" x14ac:dyDescent="0.3">
      <c r="A1949" t="s">
        <v>2348</v>
      </c>
      <c r="B1949">
        <v>82</v>
      </c>
      <c r="C1949" t="s">
        <v>20</v>
      </c>
      <c r="D1949" t="s">
        <v>13</v>
      </c>
      <c r="E1949" t="s">
        <v>28</v>
      </c>
      <c r="F1949" t="s">
        <v>225</v>
      </c>
      <c r="G1949" t="s">
        <v>381</v>
      </c>
      <c r="H1949">
        <v>8</v>
      </c>
      <c r="I1949" s="1">
        <v>7561.3</v>
      </c>
      <c r="J1949" t="s">
        <v>17</v>
      </c>
      <c r="K1949" t="s">
        <v>18</v>
      </c>
      <c r="L1949" t="str" cm="1">
        <f t="array" ref="L1949">_xlfn.IFS(B1949&lt;30,"18-29",B1949&lt;45,"30-44",B1949&lt;60,"45-59",B1949&lt;75,"60-74",B1949&lt;=90,"75-90")</f>
        <v>75-90</v>
      </c>
      <c r="M1949" t="str">
        <f>IF(Table1[[#This Row],[length_of_stay_days]]&gt;7,"Yes","No")</f>
        <v>Yes</v>
      </c>
    </row>
    <row r="1950" spans="1:13" x14ac:dyDescent="0.3">
      <c r="A1950" t="s">
        <v>2349</v>
      </c>
      <c r="B1950">
        <v>28</v>
      </c>
      <c r="C1950" t="s">
        <v>12</v>
      </c>
      <c r="D1950" t="s">
        <v>28</v>
      </c>
      <c r="E1950" t="s">
        <v>28</v>
      </c>
      <c r="F1950" t="s">
        <v>225</v>
      </c>
      <c r="G1950" t="s">
        <v>96</v>
      </c>
      <c r="H1950">
        <v>4</v>
      </c>
      <c r="I1950" s="1">
        <v>6675.64</v>
      </c>
      <c r="J1950" t="s">
        <v>17</v>
      </c>
      <c r="K1950" t="s">
        <v>18</v>
      </c>
      <c r="L1950" t="str" cm="1">
        <f t="array" ref="L1950">_xlfn.IFS(B1950&lt;30,"18-29",B1950&lt;45,"30-44",B1950&lt;60,"45-59",B1950&lt;75,"60-74",B1950&lt;=90,"75-90")</f>
        <v>18-29</v>
      </c>
      <c r="M1950" t="str">
        <f>IF(Table1[[#This Row],[length_of_stay_days]]&gt;7,"Yes","No")</f>
        <v>No</v>
      </c>
    </row>
    <row r="1951" spans="1:13" x14ac:dyDescent="0.3">
      <c r="A1951" t="s">
        <v>2350</v>
      </c>
      <c r="B1951">
        <v>54</v>
      </c>
      <c r="C1951" t="s">
        <v>20</v>
      </c>
      <c r="D1951" t="s">
        <v>28</v>
      </c>
      <c r="E1951" t="s">
        <v>21</v>
      </c>
      <c r="F1951" t="s">
        <v>71</v>
      </c>
      <c r="G1951" t="s">
        <v>363</v>
      </c>
      <c r="H1951">
        <v>7</v>
      </c>
      <c r="I1951" s="1">
        <v>6699.48</v>
      </c>
      <c r="J1951" t="s">
        <v>17</v>
      </c>
      <c r="K1951" t="s">
        <v>18</v>
      </c>
      <c r="L1951" t="str" cm="1">
        <f t="array" ref="L1951">_xlfn.IFS(B1951&lt;30,"18-29",B1951&lt;45,"30-44",B1951&lt;60,"45-59",B1951&lt;75,"60-74",B1951&lt;=90,"75-90")</f>
        <v>45-59</v>
      </c>
      <c r="M1951" t="str">
        <f>IF(Table1[[#This Row],[length_of_stay_days]]&gt;7,"Yes","No")</f>
        <v>No</v>
      </c>
    </row>
    <row r="1952" spans="1:13" x14ac:dyDescent="0.3">
      <c r="A1952" t="s">
        <v>2351</v>
      </c>
      <c r="B1952">
        <v>72</v>
      </c>
      <c r="C1952" t="s">
        <v>20</v>
      </c>
      <c r="D1952" t="s">
        <v>55</v>
      </c>
      <c r="E1952" t="s">
        <v>14</v>
      </c>
      <c r="F1952" t="s">
        <v>620</v>
      </c>
      <c r="G1952" t="s">
        <v>72</v>
      </c>
      <c r="H1952">
        <v>5</v>
      </c>
      <c r="I1952" s="1">
        <v>10372.5</v>
      </c>
      <c r="J1952" t="s">
        <v>17</v>
      </c>
      <c r="K1952" t="s">
        <v>18</v>
      </c>
      <c r="L1952" t="str" cm="1">
        <f t="array" ref="L1952">_xlfn.IFS(B1952&lt;30,"18-29",B1952&lt;45,"30-44",B1952&lt;60,"45-59",B1952&lt;75,"60-74",B1952&lt;=90,"75-90")</f>
        <v>60-74</v>
      </c>
      <c r="M1952" t="str">
        <f>IF(Table1[[#This Row],[length_of_stay_days]]&gt;7,"Yes","No")</f>
        <v>No</v>
      </c>
    </row>
    <row r="1953" spans="1:13" x14ac:dyDescent="0.3">
      <c r="A1953" t="s">
        <v>2352</v>
      </c>
      <c r="B1953">
        <v>20</v>
      </c>
      <c r="C1953" t="s">
        <v>12</v>
      </c>
      <c r="D1953" t="s">
        <v>13</v>
      </c>
      <c r="E1953" t="s">
        <v>14</v>
      </c>
      <c r="F1953" t="s">
        <v>138</v>
      </c>
      <c r="G1953" t="s">
        <v>333</v>
      </c>
      <c r="H1953">
        <v>1</v>
      </c>
      <c r="I1953" s="1">
        <v>6503.32</v>
      </c>
      <c r="J1953" t="s">
        <v>17</v>
      </c>
      <c r="K1953" t="s">
        <v>18</v>
      </c>
      <c r="L1953" t="str" cm="1">
        <f t="array" ref="L1953">_xlfn.IFS(B1953&lt;30,"18-29",B1953&lt;45,"30-44",B1953&lt;60,"45-59",B1953&lt;75,"60-74",B1953&lt;=90,"75-90")</f>
        <v>18-29</v>
      </c>
      <c r="M1953" t="str">
        <f>IF(Table1[[#This Row],[length_of_stay_days]]&gt;7,"Yes","No")</f>
        <v>No</v>
      </c>
    </row>
    <row r="1954" spans="1:13" x14ac:dyDescent="0.3">
      <c r="A1954" t="s">
        <v>2353</v>
      </c>
      <c r="B1954">
        <v>87</v>
      </c>
      <c r="C1954" t="s">
        <v>12</v>
      </c>
      <c r="D1954" t="s">
        <v>46</v>
      </c>
      <c r="E1954" t="s">
        <v>28</v>
      </c>
      <c r="F1954" t="s">
        <v>61</v>
      </c>
      <c r="G1954" t="s">
        <v>471</v>
      </c>
      <c r="H1954">
        <v>5</v>
      </c>
      <c r="I1954" s="1">
        <v>10929.57</v>
      </c>
      <c r="J1954" t="s">
        <v>17</v>
      </c>
      <c r="K1954" t="s">
        <v>18</v>
      </c>
      <c r="L1954" t="str" cm="1">
        <f t="array" ref="L1954">_xlfn.IFS(B1954&lt;30,"18-29",B1954&lt;45,"30-44",B1954&lt;60,"45-59",B1954&lt;75,"60-74",B1954&lt;=90,"75-90")</f>
        <v>75-90</v>
      </c>
      <c r="M1954" t="str">
        <f>IF(Table1[[#This Row],[length_of_stay_days]]&gt;7,"Yes","No")</f>
        <v>No</v>
      </c>
    </row>
    <row r="1955" spans="1:13" x14ac:dyDescent="0.3">
      <c r="A1955" t="s">
        <v>2354</v>
      </c>
      <c r="B1955">
        <v>43</v>
      </c>
      <c r="C1955" t="s">
        <v>20</v>
      </c>
      <c r="D1955" t="s">
        <v>28</v>
      </c>
      <c r="E1955" t="s">
        <v>28</v>
      </c>
      <c r="F1955" t="s">
        <v>512</v>
      </c>
      <c r="G1955" t="s">
        <v>180</v>
      </c>
      <c r="H1955">
        <v>5</v>
      </c>
      <c r="I1955" s="1">
        <v>4254.91</v>
      </c>
      <c r="J1955" t="s">
        <v>17</v>
      </c>
      <c r="K1955" t="s">
        <v>18</v>
      </c>
      <c r="L1955" t="str" cm="1">
        <f t="array" ref="L1955">_xlfn.IFS(B1955&lt;30,"18-29",B1955&lt;45,"30-44",B1955&lt;60,"45-59",B1955&lt;75,"60-74",B1955&lt;=90,"75-90")</f>
        <v>30-44</v>
      </c>
      <c r="M1955" t="str">
        <f>IF(Table1[[#This Row],[length_of_stay_days]]&gt;7,"Yes","No")</f>
        <v>No</v>
      </c>
    </row>
    <row r="1956" spans="1:13" x14ac:dyDescent="0.3">
      <c r="A1956" t="s">
        <v>2355</v>
      </c>
      <c r="B1956">
        <v>56</v>
      </c>
      <c r="C1956" t="s">
        <v>12</v>
      </c>
      <c r="D1956" t="s">
        <v>28</v>
      </c>
      <c r="E1956" t="s">
        <v>14</v>
      </c>
      <c r="F1956" t="s">
        <v>16</v>
      </c>
      <c r="G1956" t="s">
        <v>746</v>
      </c>
      <c r="H1956">
        <v>2</v>
      </c>
      <c r="I1956" s="1">
        <v>6824.5</v>
      </c>
      <c r="J1956" t="s">
        <v>17</v>
      </c>
      <c r="K1956" t="s">
        <v>18</v>
      </c>
      <c r="L1956" t="str" cm="1">
        <f t="array" ref="L1956">_xlfn.IFS(B1956&lt;30,"18-29",B1956&lt;45,"30-44",B1956&lt;60,"45-59",B1956&lt;75,"60-74",B1956&lt;=90,"75-90")</f>
        <v>45-59</v>
      </c>
      <c r="M1956" t="str">
        <f>IF(Table1[[#This Row],[length_of_stay_days]]&gt;7,"Yes","No")</f>
        <v>No</v>
      </c>
    </row>
    <row r="1957" spans="1:13" x14ac:dyDescent="0.3">
      <c r="A1957" t="s">
        <v>2356</v>
      </c>
      <c r="B1957">
        <v>87</v>
      </c>
      <c r="C1957" t="s">
        <v>12</v>
      </c>
      <c r="D1957" t="s">
        <v>51</v>
      </c>
      <c r="E1957" t="s">
        <v>28</v>
      </c>
      <c r="F1957" t="s">
        <v>357</v>
      </c>
      <c r="G1957" t="s">
        <v>433</v>
      </c>
      <c r="H1957">
        <v>7</v>
      </c>
      <c r="I1957" s="1">
        <v>12689.37</v>
      </c>
      <c r="J1957" t="s">
        <v>17</v>
      </c>
      <c r="K1957" t="s">
        <v>18</v>
      </c>
      <c r="L1957" t="str" cm="1">
        <f t="array" ref="L1957">_xlfn.IFS(B1957&lt;30,"18-29",B1957&lt;45,"30-44",B1957&lt;60,"45-59",B1957&lt;75,"60-74",B1957&lt;=90,"75-90")</f>
        <v>75-90</v>
      </c>
      <c r="M1957" t="str">
        <f>IF(Table1[[#This Row],[length_of_stay_days]]&gt;7,"Yes","No")</f>
        <v>No</v>
      </c>
    </row>
    <row r="1958" spans="1:13" x14ac:dyDescent="0.3">
      <c r="A1958" t="s">
        <v>2357</v>
      </c>
      <c r="B1958">
        <v>29</v>
      </c>
      <c r="C1958" t="s">
        <v>12</v>
      </c>
      <c r="D1958" t="s">
        <v>28</v>
      </c>
      <c r="E1958" t="s">
        <v>21</v>
      </c>
      <c r="F1958" t="s">
        <v>221</v>
      </c>
      <c r="G1958" t="s">
        <v>222</v>
      </c>
      <c r="H1958">
        <v>4</v>
      </c>
      <c r="I1958" s="1">
        <v>3607.75</v>
      </c>
      <c r="J1958" t="s">
        <v>17</v>
      </c>
      <c r="K1958" t="s">
        <v>44</v>
      </c>
      <c r="L1958" t="str" cm="1">
        <f t="array" ref="L1958">_xlfn.IFS(B1958&lt;30,"18-29",B1958&lt;45,"30-44",B1958&lt;60,"45-59",B1958&lt;75,"60-74",B1958&lt;=90,"75-90")</f>
        <v>18-29</v>
      </c>
      <c r="M1958" t="str">
        <f>IF(Table1[[#This Row],[length_of_stay_days]]&gt;7,"Yes","No")</f>
        <v>No</v>
      </c>
    </row>
    <row r="1959" spans="1:13" x14ac:dyDescent="0.3">
      <c r="A1959" t="s">
        <v>2358</v>
      </c>
      <c r="B1959">
        <v>49</v>
      </c>
      <c r="C1959" t="s">
        <v>12</v>
      </c>
      <c r="D1959" t="s">
        <v>13</v>
      </c>
      <c r="E1959" t="s">
        <v>28</v>
      </c>
      <c r="F1959" t="s">
        <v>328</v>
      </c>
      <c r="G1959" t="s">
        <v>288</v>
      </c>
      <c r="H1959">
        <v>6</v>
      </c>
      <c r="I1959" s="1">
        <v>6946.21</v>
      </c>
      <c r="J1959" t="s">
        <v>17</v>
      </c>
      <c r="K1959" t="s">
        <v>18</v>
      </c>
      <c r="L1959" t="str" cm="1">
        <f t="array" ref="L1959">_xlfn.IFS(B1959&lt;30,"18-29",B1959&lt;45,"30-44",B1959&lt;60,"45-59",B1959&lt;75,"60-74",B1959&lt;=90,"75-90")</f>
        <v>45-59</v>
      </c>
      <c r="M1959" t="str">
        <f>IF(Table1[[#This Row],[length_of_stay_days]]&gt;7,"Yes","No")</f>
        <v>No</v>
      </c>
    </row>
    <row r="1960" spans="1:13" x14ac:dyDescent="0.3">
      <c r="A1960" t="s">
        <v>2359</v>
      </c>
      <c r="B1960">
        <v>34</v>
      </c>
      <c r="C1960" t="s">
        <v>20</v>
      </c>
      <c r="D1960" t="s">
        <v>32</v>
      </c>
      <c r="E1960" t="s">
        <v>28</v>
      </c>
      <c r="F1960" t="s">
        <v>212</v>
      </c>
      <c r="G1960" t="s">
        <v>1248</v>
      </c>
      <c r="H1960">
        <v>8</v>
      </c>
      <c r="I1960" s="1">
        <v>12914.73</v>
      </c>
      <c r="J1960" t="s">
        <v>17</v>
      </c>
      <c r="K1960" t="s">
        <v>18</v>
      </c>
      <c r="L1960" t="str" cm="1">
        <f t="array" ref="L1960">_xlfn.IFS(B1960&lt;30,"18-29",B1960&lt;45,"30-44",B1960&lt;60,"45-59",B1960&lt;75,"60-74",B1960&lt;=90,"75-90")</f>
        <v>30-44</v>
      </c>
      <c r="M1960" t="str">
        <f>IF(Table1[[#This Row],[length_of_stay_days]]&gt;7,"Yes","No")</f>
        <v>Yes</v>
      </c>
    </row>
    <row r="1961" spans="1:13" x14ac:dyDescent="0.3">
      <c r="A1961" t="s">
        <v>2360</v>
      </c>
      <c r="B1961">
        <v>56</v>
      </c>
      <c r="C1961" t="s">
        <v>12</v>
      </c>
      <c r="D1961" t="s">
        <v>28</v>
      </c>
      <c r="E1961" t="s">
        <v>28</v>
      </c>
      <c r="F1961" t="s">
        <v>831</v>
      </c>
      <c r="G1961" t="s">
        <v>846</v>
      </c>
      <c r="H1961">
        <v>3</v>
      </c>
      <c r="I1961" s="1">
        <v>5242.25</v>
      </c>
      <c r="J1961" t="s">
        <v>49</v>
      </c>
      <c r="K1961" t="s">
        <v>18</v>
      </c>
      <c r="L1961" t="str" cm="1">
        <f t="array" ref="L1961">_xlfn.IFS(B1961&lt;30,"18-29",B1961&lt;45,"30-44",B1961&lt;60,"45-59",B1961&lt;75,"60-74",B1961&lt;=90,"75-90")</f>
        <v>45-59</v>
      </c>
      <c r="M1961" t="str">
        <f>IF(Table1[[#This Row],[length_of_stay_days]]&gt;7,"Yes","No")</f>
        <v>No</v>
      </c>
    </row>
    <row r="1962" spans="1:13" x14ac:dyDescent="0.3">
      <c r="A1962" t="s">
        <v>2361</v>
      </c>
      <c r="B1962">
        <v>26</v>
      </c>
      <c r="C1962" t="s">
        <v>20</v>
      </c>
      <c r="D1962" t="s">
        <v>32</v>
      </c>
      <c r="E1962" t="s">
        <v>21</v>
      </c>
      <c r="F1962" t="s">
        <v>129</v>
      </c>
      <c r="G1962" t="s">
        <v>386</v>
      </c>
      <c r="H1962">
        <v>6</v>
      </c>
      <c r="I1962" s="1">
        <v>11666.65</v>
      </c>
      <c r="J1962" t="s">
        <v>17</v>
      </c>
      <c r="K1962" t="s">
        <v>18</v>
      </c>
      <c r="L1962" t="str" cm="1">
        <f t="array" ref="L1962">_xlfn.IFS(B1962&lt;30,"18-29",B1962&lt;45,"30-44",B1962&lt;60,"45-59",B1962&lt;75,"60-74",B1962&lt;=90,"75-90")</f>
        <v>18-29</v>
      </c>
      <c r="M1962" t="str">
        <f>IF(Table1[[#This Row],[length_of_stay_days]]&gt;7,"Yes","No")</f>
        <v>No</v>
      </c>
    </row>
    <row r="1963" spans="1:13" x14ac:dyDescent="0.3">
      <c r="A1963" t="s">
        <v>2362</v>
      </c>
      <c r="B1963">
        <v>59</v>
      </c>
      <c r="C1963" t="s">
        <v>12</v>
      </c>
      <c r="D1963" t="s">
        <v>28</v>
      </c>
      <c r="E1963" t="s">
        <v>21</v>
      </c>
      <c r="F1963" t="s">
        <v>453</v>
      </c>
      <c r="G1963" t="s">
        <v>596</v>
      </c>
      <c r="H1963">
        <v>5</v>
      </c>
      <c r="I1963" s="1">
        <v>6877.25</v>
      </c>
      <c r="J1963" t="s">
        <v>17</v>
      </c>
      <c r="K1963" t="s">
        <v>18</v>
      </c>
      <c r="L1963" t="str" cm="1">
        <f t="array" ref="L1963">_xlfn.IFS(B1963&lt;30,"18-29",B1963&lt;45,"30-44",B1963&lt;60,"45-59",B1963&lt;75,"60-74",B1963&lt;=90,"75-90")</f>
        <v>45-59</v>
      </c>
      <c r="M1963" t="str">
        <f>IF(Table1[[#This Row],[length_of_stay_days]]&gt;7,"Yes","No")</f>
        <v>No</v>
      </c>
    </row>
    <row r="1964" spans="1:13" x14ac:dyDescent="0.3">
      <c r="A1964" t="s">
        <v>2363</v>
      </c>
      <c r="B1964">
        <v>74</v>
      </c>
      <c r="C1964" t="s">
        <v>20</v>
      </c>
      <c r="D1964" t="s">
        <v>13</v>
      </c>
      <c r="E1964" t="s">
        <v>21</v>
      </c>
      <c r="F1964" t="s">
        <v>360</v>
      </c>
      <c r="G1964" t="s">
        <v>730</v>
      </c>
      <c r="H1964">
        <v>10</v>
      </c>
      <c r="I1964" s="1">
        <v>10434.6</v>
      </c>
      <c r="J1964" t="s">
        <v>49</v>
      </c>
      <c r="K1964" t="s">
        <v>18</v>
      </c>
      <c r="L1964" t="str" cm="1">
        <f t="array" ref="L1964">_xlfn.IFS(B1964&lt;30,"18-29",B1964&lt;45,"30-44",B1964&lt;60,"45-59",B1964&lt;75,"60-74",B1964&lt;=90,"75-90")</f>
        <v>60-74</v>
      </c>
      <c r="M1964" t="str">
        <f>IF(Table1[[#This Row],[length_of_stay_days]]&gt;7,"Yes","No")</f>
        <v>Yes</v>
      </c>
    </row>
    <row r="1965" spans="1:13" x14ac:dyDescent="0.3">
      <c r="A1965" t="s">
        <v>2364</v>
      </c>
      <c r="B1965">
        <v>82</v>
      </c>
      <c r="C1965" t="s">
        <v>20</v>
      </c>
      <c r="D1965" t="s">
        <v>51</v>
      </c>
      <c r="E1965" t="s">
        <v>28</v>
      </c>
      <c r="F1965" t="s">
        <v>259</v>
      </c>
      <c r="G1965" t="s">
        <v>299</v>
      </c>
      <c r="H1965">
        <v>9</v>
      </c>
      <c r="I1965" s="1">
        <v>12596.48</v>
      </c>
      <c r="J1965" t="s">
        <v>17</v>
      </c>
      <c r="K1965" t="s">
        <v>18</v>
      </c>
      <c r="L1965" t="str" cm="1">
        <f t="array" ref="L1965">_xlfn.IFS(B1965&lt;30,"18-29",B1965&lt;45,"30-44",B1965&lt;60,"45-59",B1965&lt;75,"60-74",B1965&lt;=90,"75-90")</f>
        <v>75-90</v>
      </c>
      <c r="M1965" t="str">
        <f>IF(Table1[[#This Row],[length_of_stay_days]]&gt;7,"Yes","No")</f>
        <v>Yes</v>
      </c>
    </row>
    <row r="1966" spans="1:13" x14ac:dyDescent="0.3">
      <c r="A1966" t="s">
        <v>2365</v>
      </c>
      <c r="B1966">
        <v>60</v>
      </c>
      <c r="C1966" t="s">
        <v>12</v>
      </c>
      <c r="D1966" t="s">
        <v>46</v>
      </c>
      <c r="E1966" t="s">
        <v>28</v>
      </c>
      <c r="F1966" t="s">
        <v>617</v>
      </c>
      <c r="G1966" t="s">
        <v>323</v>
      </c>
      <c r="H1966">
        <v>6</v>
      </c>
      <c r="I1966" s="1">
        <v>14048.36</v>
      </c>
      <c r="J1966" t="s">
        <v>49</v>
      </c>
      <c r="K1966" t="s">
        <v>18</v>
      </c>
      <c r="L1966" t="str" cm="1">
        <f t="array" ref="L1966">_xlfn.IFS(B1966&lt;30,"18-29",B1966&lt;45,"30-44",B1966&lt;60,"45-59",B1966&lt;75,"60-74",B1966&lt;=90,"75-90")</f>
        <v>60-74</v>
      </c>
      <c r="M1966" t="str">
        <f>IF(Table1[[#This Row],[length_of_stay_days]]&gt;7,"Yes","No")</f>
        <v>No</v>
      </c>
    </row>
    <row r="1967" spans="1:13" x14ac:dyDescent="0.3">
      <c r="A1967" t="s">
        <v>2366</v>
      </c>
      <c r="B1967">
        <v>19</v>
      </c>
      <c r="C1967" t="s">
        <v>20</v>
      </c>
      <c r="D1967" t="s">
        <v>32</v>
      </c>
      <c r="E1967" t="s">
        <v>21</v>
      </c>
      <c r="F1967" t="s">
        <v>304</v>
      </c>
      <c r="G1967" t="s">
        <v>121</v>
      </c>
      <c r="H1967">
        <v>8</v>
      </c>
      <c r="I1967" s="1">
        <v>11935.25</v>
      </c>
      <c r="J1967" t="s">
        <v>49</v>
      </c>
      <c r="K1967" t="s">
        <v>18</v>
      </c>
      <c r="L1967" t="str" cm="1">
        <f t="array" ref="L1967">_xlfn.IFS(B1967&lt;30,"18-29",B1967&lt;45,"30-44",B1967&lt;60,"45-59",B1967&lt;75,"60-74",B1967&lt;=90,"75-90")</f>
        <v>18-29</v>
      </c>
      <c r="M1967" t="str">
        <f>IF(Table1[[#This Row],[length_of_stay_days]]&gt;7,"Yes","No")</f>
        <v>Yes</v>
      </c>
    </row>
    <row r="1968" spans="1:13" x14ac:dyDescent="0.3">
      <c r="A1968" t="s">
        <v>2367</v>
      </c>
      <c r="B1968">
        <v>74</v>
      </c>
      <c r="C1968" t="s">
        <v>12</v>
      </c>
      <c r="D1968" t="s">
        <v>28</v>
      </c>
      <c r="E1968" t="s">
        <v>28</v>
      </c>
      <c r="F1968" t="s">
        <v>751</v>
      </c>
      <c r="G1968" t="s">
        <v>654</v>
      </c>
      <c r="H1968">
        <v>3</v>
      </c>
      <c r="I1968" s="1">
        <v>3619.8</v>
      </c>
      <c r="J1968" t="s">
        <v>17</v>
      </c>
      <c r="K1968" t="s">
        <v>18</v>
      </c>
      <c r="L1968" t="str" cm="1">
        <f t="array" ref="L1968">_xlfn.IFS(B1968&lt;30,"18-29",B1968&lt;45,"30-44",B1968&lt;60,"45-59",B1968&lt;75,"60-74",B1968&lt;=90,"75-90")</f>
        <v>60-74</v>
      </c>
      <c r="M1968" t="str">
        <f>IF(Table1[[#This Row],[length_of_stay_days]]&gt;7,"Yes","No")</f>
        <v>No</v>
      </c>
    </row>
    <row r="1969" spans="1:13" x14ac:dyDescent="0.3">
      <c r="A1969" t="s">
        <v>2368</v>
      </c>
      <c r="B1969">
        <v>61</v>
      </c>
      <c r="C1969" t="s">
        <v>20</v>
      </c>
      <c r="D1969" t="s">
        <v>46</v>
      </c>
      <c r="E1969" t="s">
        <v>28</v>
      </c>
      <c r="F1969" t="s">
        <v>633</v>
      </c>
      <c r="G1969" t="s">
        <v>846</v>
      </c>
      <c r="H1969">
        <v>11</v>
      </c>
      <c r="I1969" s="1">
        <v>18399.55</v>
      </c>
      <c r="J1969" t="s">
        <v>49</v>
      </c>
      <c r="K1969" t="s">
        <v>18</v>
      </c>
      <c r="L1969" t="str" cm="1">
        <f t="array" ref="L1969">_xlfn.IFS(B1969&lt;30,"18-29",B1969&lt;45,"30-44",B1969&lt;60,"45-59",B1969&lt;75,"60-74",B1969&lt;=90,"75-90")</f>
        <v>60-74</v>
      </c>
      <c r="M1969" t="str">
        <f>IF(Table1[[#This Row],[length_of_stay_days]]&gt;7,"Yes","No")</f>
        <v>Yes</v>
      </c>
    </row>
    <row r="1970" spans="1:13" x14ac:dyDescent="0.3">
      <c r="A1970" t="s">
        <v>2369</v>
      </c>
      <c r="B1970">
        <v>72</v>
      </c>
      <c r="C1970" t="s">
        <v>12</v>
      </c>
      <c r="D1970" t="s">
        <v>28</v>
      </c>
      <c r="E1970" t="s">
        <v>28</v>
      </c>
      <c r="F1970" t="s">
        <v>42</v>
      </c>
      <c r="G1970" t="s">
        <v>472</v>
      </c>
      <c r="H1970">
        <v>7</v>
      </c>
      <c r="I1970" s="1">
        <v>7028.19</v>
      </c>
      <c r="J1970" t="s">
        <v>49</v>
      </c>
      <c r="K1970" t="s">
        <v>18</v>
      </c>
      <c r="L1970" t="str" cm="1">
        <f t="array" ref="L1970">_xlfn.IFS(B1970&lt;30,"18-29",B1970&lt;45,"30-44",B1970&lt;60,"45-59",B1970&lt;75,"60-74",B1970&lt;=90,"75-90")</f>
        <v>60-74</v>
      </c>
      <c r="M1970" t="str">
        <f>IF(Table1[[#This Row],[length_of_stay_days]]&gt;7,"Yes","No")</f>
        <v>No</v>
      </c>
    </row>
    <row r="1971" spans="1:13" x14ac:dyDescent="0.3">
      <c r="A1971" t="s">
        <v>2370</v>
      </c>
      <c r="B1971">
        <v>80</v>
      </c>
      <c r="C1971" t="s">
        <v>20</v>
      </c>
      <c r="D1971" t="s">
        <v>28</v>
      </c>
      <c r="E1971" t="s">
        <v>28</v>
      </c>
      <c r="F1971" t="s">
        <v>443</v>
      </c>
      <c r="G1971" t="s">
        <v>1181</v>
      </c>
      <c r="H1971">
        <v>2</v>
      </c>
      <c r="I1971" s="1">
        <v>5177.49</v>
      </c>
      <c r="J1971" t="s">
        <v>17</v>
      </c>
      <c r="K1971" t="s">
        <v>18</v>
      </c>
      <c r="L1971" t="str" cm="1">
        <f t="array" ref="L1971">_xlfn.IFS(B1971&lt;30,"18-29",B1971&lt;45,"30-44",B1971&lt;60,"45-59",B1971&lt;75,"60-74",B1971&lt;=90,"75-90")</f>
        <v>75-90</v>
      </c>
      <c r="M1971" t="str">
        <f>IF(Table1[[#This Row],[length_of_stay_days]]&gt;7,"Yes","No")</f>
        <v>No</v>
      </c>
    </row>
    <row r="1972" spans="1:13" x14ac:dyDescent="0.3">
      <c r="A1972" t="s">
        <v>2371</v>
      </c>
      <c r="B1972">
        <v>68</v>
      </c>
      <c r="C1972" t="s">
        <v>20</v>
      </c>
      <c r="D1972" t="s">
        <v>13</v>
      </c>
      <c r="E1972" t="s">
        <v>14</v>
      </c>
      <c r="F1972" t="s">
        <v>526</v>
      </c>
      <c r="G1972" t="s">
        <v>821</v>
      </c>
      <c r="H1972">
        <v>4</v>
      </c>
      <c r="I1972" s="1">
        <v>7373.59</v>
      </c>
      <c r="J1972" t="s">
        <v>17</v>
      </c>
      <c r="K1972" t="s">
        <v>18</v>
      </c>
      <c r="L1972" t="str" cm="1">
        <f t="array" ref="L1972">_xlfn.IFS(B1972&lt;30,"18-29",B1972&lt;45,"30-44",B1972&lt;60,"45-59",B1972&lt;75,"60-74",B1972&lt;=90,"75-90")</f>
        <v>60-74</v>
      </c>
      <c r="M1972" t="str">
        <f>IF(Table1[[#This Row],[length_of_stay_days]]&gt;7,"Yes","No")</f>
        <v>No</v>
      </c>
    </row>
    <row r="1973" spans="1:13" x14ac:dyDescent="0.3">
      <c r="A1973" t="s">
        <v>2372</v>
      </c>
      <c r="B1973">
        <v>61</v>
      </c>
      <c r="C1973" t="s">
        <v>20</v>
      </c>
      <c r="D1973" t="s">
        <v>13</v>
      </c>
      <c r="E1973" t="s">
        <v>28</v>
      </c>
      <c r="F1973" t="s">
        <v>449</v>
      </c>
      <c r="G1973" t="s">
        <v>366</v>
      </c>
      <c r="H1973">
        <v>2</v>
      </c>
      <c r="I1973" s="1">
        <v>6552.44</v>
      </c>
      <c r="J1973" t="s">
        <v>17</v>
      </c>
      <c r="K1973" t="s">
        <v>18</v>
      </c>
      <c r="L1973" t="str" cm="1">
        <f t="array" ref="L1973">_xlfn.IFS(B1973&lt;30,"18-29",B1973&lt;45,"30-44",B1973&lt;60,"45-59",B1973&lt;75,"60-74",B1973&lt;=90,"75-90")</f>
        <v>60-74</v>
      </c>
      <c r="M1973" t="str">
        <f>IF(Table1[[#This Row],[length_of_stay_days]]&gt;7,"Yes","No")</f>
        <v>No</v>
      </c>
    </row>
    <row r="1974" spans="1:13" x14ac:dyDescent="0.3">
      <c r="A1974" t="s">
        <v>2373</v>
      </c>
      <c r="B1974">
        <v>86</v>
      </c>
      <c r="C1974" t="s">
        <v>20</v>
      </c>
      <c r="D1974" t="s">
        <v>32</v>
      </c>
      <c r="E1974" t="s">
        <v>28</v>
      </c>
      <c r="F1974" t="s">
        <v>701</v>
      </c>
      <c r="G1974" t="s">
        <v>319</v>
      </c>
      <c r="H1974">
        <v>4</v>
      </c>
      <c r="I1974" s="1">
        <v>9676.41</v>
      </c>
      <c r="J1974" t="s">
        <v>17</v>
      </c>
      <c r="K1974" t="s">
        <v>18</v>
      </c>
      <c r="L1974" t="str" cm="1">
        <f t="array" ref="L1974">_xlfn.IFS(B1974&lt;30,"18-29",B1974&lt;45,"30-44",B1974&lt;60,"45-59",B1974&lt;75,"60-74",B1974&lt;=90,"75-90")</f>
        <v>75-90</v>
      </c>
      <c r="M1974" t="str">
        <f>IF(Table1[[#This Row],[length_of_stay_days]]&gt;7,"Yes","No")</f>
        <v>No</v>
      </c>
    </row>
    <row r="1975" spans="1:13" x14ac:dyDescent="0.3">
      <c r="A1975" t="s">
        <v>2374</v>
      </c>
      <c r="B1975">
        <v>60</v>
      </c>
      <c r="C1975" t="s">
        <v>20</v>
      </c>
      <c r="D1975" t="s">
        <v>28</v>
      </c>
      <c r="E1975" t="s">
        <v>28</v>
      </c>
      <c r="F1975" t="s">
        <v>140</v>
      </c>
      <c r="G1975" t="s">
        <v>48</v>
      </c>
      <c r="H1975">
        <v>3</v>
      </c>
      <c r="I1975" s="1">
        <v>5819.76</v>
      </c>
      <c r="J1975" t="s">
        <v>49</v>
      </c>
      <c r="K1975" t="s">
        <v>18</v>
      </c>
      <c r="L1975" t="str" cm="1">
        <f t="array" ref="L1975">_xlfn.IFS(B1975&lt;30,"18-29",B1975&lt;45,"30-44",B1975&lt;60,"45-59",B1975&lt;75,"60-74",B1975&lt;=90,"75-90")</f>
        <v>60-74</v>
      </c>
      <c r="M1975" t="str">
        <f>IF(Table1[[#This Row],[length_of_stay_days]]&gt;7,"Yes","No")</f>
        <v>No</v>
      </c>
    </row>
    <row r="1976" spans="1:13" x14ac:dyDescent="0.3">
      <c r="A1976" t="s">
        <v>2375</v>
      </c>
      <c r="B1976">
        <v>90</v>
      </c>
      <c r="C1976" t="s">
        <v>20</v>
      </c>
      <c r="D1976" t="s">
        <v>28</v>
      </c>
      <c r="E1976" t="s">
        <v>14</v>
      </c>
      <c r="F1976" t="s">
        <v>730</v>
      </c>
      <c r="G1976" t="s">
        <v>42</v>
      </c>
      <c r="H1976">
        <v>4</v>
      </c>
      <c r="I1976" s="1">
        <v>3240.73</v>
      </c>
      <c r="J1976" t="s">
        <v>17</v>
      </c>
      <c r="K1976" t="s">
        <v>18</v>
      </c>
      <c r="L1976" t="str" cm="1">
        <f t="array" ref="L1976">_xlfn.IFS(B1976&lt;30,"18-29",B1976&lt;45,"30-44",B1976&lt;60,"45-59",B1976&lt;75,"60-74",B1976&lt;=90,"75-90")</f>
        <v>75-90</v>
      </c>
      <c r="M1976" t="str">
        <f>IF(Table1[[#This Row],[length_of_stay_days]]&gt;7,"Yes","No")</f>
        <v>No</v>
      </c>
    </row>
    <row r="1977" spans="1:13" x14ac:dyDescent="0.3">
      <c r="A1977" t="s">
        <v>2376</v>
      </c>
      <c r="B1977">
        <v>70</v>
      </c>
      <c r="C1977" t="s">
        <v>12</v>
      </c>
      <c r="D1977" t="s">
        <v>28</v>
      </c>
      <c r="E1977" t="s">
        <v>28</v>
      </c>
      <c r="F1977" t="s">
        <v>212</v>
      </c>
      <c r="G1977" t="s">
        <v>425</v>
      </c>
      <c r="H1977">
        <v>6</v>
      </c>
      <c r="I1977" s="1">
        <v>6436.95</v>
      </c>
      <c r="J1977" t="s">
        <v>17</v>
      </c>
      <c r="K1977" t="s">
        <v>44</v>
      </c>
      <c r="L1977" t="str" cm="1">
        <f t="array" ref="L1977">_xlfn.IFS(B1977&lt;30,"18-29",B1977&lt;45,"30-44",B1977&lt;60,"45-59",B1977&lt;75,"60-74",B1977&lt;=90,"75-90")</f>
        <v>60-74</v>
      </c>
      <c r="M1977" t="str">
        <f>IF(Table1[[#This Row],[length_of_stay_days]]&gt;7,"Yes","No")</f>
        <v>No</v>
      </c>
    </row>
    <row r="1978" spans="1:13" x14ac:dyDescent="0.3">
      <c r="A1978" t="s">
        <v>2377</v>
      </c>
      <c r="B1978">
        <v>27</v>
      </c>
      <c r="C1978" t="s">
        <v>70</v>
      </c>
      <c r="D1978" t="s">
        <v>32</v>
      </c>
      <c r="E1978" t="s">
        <v>14</v>
      </c>
      <c r="F1978" t="s">
        <v>26</v>
      </c>
      <c r="G1978" t="s">
        <v>228</v>
      </c>
      <c r="H1978">
        <v>4</v>
      </c>
      <c r="I1978" s="1">
        <v>9685.6299999999992</v>
      </c>
      <c r="J1978" t="s">
        <v>17</v>
      </c>
      <c r="K1978" t="s">
        <v>44</v>
      </c>
      <c r="L1978" t="str" cm="1">
        <f t="array" ref="L1978">_xlfn.IFS(B1978&lt;30,"18-29",B1978&lt;45,"30-44",B1978&lt;60,"45-59",B1978&lt;75,"60-74",B1978&lt;=90,"75-90")</f>
        <v>18-29</v>
      </c>
      <c r="M1978" t="str">
        <f>IF(Table1[[#This Row],[length_of_stay_days]]&gt;7,"Yes","No")</f>
        <v>No</v>
      </c>
    </row>
    <row r="1979" spans="1:13" x14ac:dyDescent="0.3">
      <c r="A1979" t="s">
        <v>2378</v>
      </c>
      <c r="B1979">
        <v>40</v>
      </c>
      <c r="C1979" t="s">
        <v>12</v>
      </c>
      <c r="D1979" t="s">
        <v>55</v>
      </c>
      <c r="E1979" t="s">
        <v>21</v>
      </c>
      <c r="F1979" t="s">
        <v>298</v>
      </c>
      <c r="G1979" t="s">
        <v>928</v>
      </c>
      <c r="H1979">
        <v>2</v>
      </c>
      <c r="I1979" s="1">
        <v>10163.540000000001</v>
      </c>
      <c r="J1979" t="s">
        <v>17</v>
      </c>
      <c r="K1979" t="s">
        <v>18</v>
      </c>
      <c r="L1979" t="str" cm="1">
        <f t="array" ref="L1979">_xlfn.IFS(B1979&lt;30,"18-29",B1979&lt;45,"30-44",B1979&lt;60,"45-59",B1979&lt;75,"60-74",B1979&lt;=90,"75-90")</f>
        <v>30-44</v>
      </c>
      <c r="M1979" t="str">
        <f>IF(Table1[[#This Row],[length_of_stay_days]]&gt;7,"Yes","No")</f>
        <v>No</v>
      </c>
    </row>
    <row r="1980" spans="1:13" x14ac:dyDescent="0.3">
      <c r="A1980" t="s">
        <v>2379</v>
      </c>
      <c r="B1980">
        <v>34</v>
      </c>
      <c r="C1980" t="s">
        <v>12</v>
      </c>
      <c r="D1980" t="s">
        <v>28</v>
      </c>
      <c r="E1980" t="s">
        <v>28</v>
      </c>
      <c r="F1980" t="s">
        <v>282</v>
      </c>
      <c r="G1980" t="s">
        <v>146</v>
      </c>
      <c r="H1980">
        <v>3</v>
      </c>
      <c r="I1980" s="1">
        <v>6295.53</v>
      </c>
      <c r="J1980" t="s">
        <v>49</v>
      </c>
      <c r="K1980" t="s">
        <v>44</v>
      </c>
      <c r="L1980" t="str" cm="1">
        <f t="array" ref="L1980">_xlfn.IFS(B1980&lt;30,"18-29",B1980&lt;45,"30-44",B1980&lt;60,"45-59",B1980&lt;75,"60-74",B1980&lt;=90,"75-90")</f>
        <v>30-44</v>
      </c>
      <c r="M1980" t="str">
        <f>IF(Table1[[#This Row],[length_of_stay_days]]&gt;7,"Yes","No")</f>
        <v>No</v>
      </c>
    </row>
    <row r="1981" spans="1:13" x14ac:dyDescent="0.3">
      <c r="A1981" t="s">
        <v>2380</v>
      </c>
      <c r="B1981">
        <v>30</v>
      </c>
      <c r="C1981" t="s">
        <v>20</v>
      </c>
      <c r="D1981" t="s">
        <v>51</v>
      </c>
      <c r="E1981" t="s">
        <v>28</v>
      </c>
      <c r="F1981" t="s">
        <v>283</v>
      </c>
      <c r="G1981" t="s">
        <v>823</v>
      </c>
      <c r="H1981">
        <v>4</v>
      </c>
      <c r="I1981" s="1">
        <v>12975.64</v>
      </c>
      <c r="J1981" t="s">
        <v>17</v>
      </c>
      <c r="K1981" t="s">
        <v>18</v>
      </c>
      <c r="L1981" t="str" cm="1">
        <f t="array" ref="L1981">_xlfn.IFS(B1981&lt;30,"18-29",B1981&lt;45,"30-44",B1981&lt;60,"45-59",B1981&lt;75,"60-74",B1981&lt;=90,"75-90")</f>
        <v>30-44</v>
      </c>
      <c r="M1981" t="str">
        <f>IF(Table1[[#This Row],[length_of_stay_days]]&gt;7,"Yes","No")</f>
        <v>No</v>
      </c>
    </row>
    <row r="1982" spans="1:13" x14ac:dyDescent="0.3">
      <c r="A1982" t="s">
        <v>2381</v>
      </c>
      <c r="B1982">
        <v>70</v>
      </c>
      <c r="C1982" t="s">
        <v>12</v>
      </c>
      <c r="D1982" t="s">
        <v>55</v>
      </c>
      <c r="E1982" t="s">
        <v>14</v>
      </c>
      <c r="F1982" t="s">
        <v>315</v>
      </c>
      <c r="G1982" t="s">
        <v>1018</v>
      </c>
      <c r="H1982">
        <v>6</v>
      </c>
      <c r="I1982" s="1">
        <v>12109.33</v>
      </c>
      <c r="J1982" t="s">
        <v>17</v>
      </c>
      <c r="K1982" t="s">
        <v>44</v>
      </c>
      <c r="L1982" t="str" cm="1">
        <f t="array" ref="L1982">_xlfn.IFS(B1982&lt;30,"18-29",B1982&lt;45,"30-44",B1982&lt;60,"45-59",B1982&lt;75,"60-74",B1982&lt;=90,"75-90")</f>
        <v>60-74</v>
      </c>
      <c r="M1982" t="str">
        <f>IF(Table1[[#This Row],[length_of_stay_days]]&gt;7,"Yes","No")</f>
        <v>No</v>
      </c>
    </row>
    <row r="1983" spans="1:13" x14ac:dyDescent="0.3">
      <c r="A1983" t="s">
        <v>2382</v>
      </c>
      <c r="B1983">
        <v>36</v>
      </c>
      <c r="C1983" t="s">
        <v>20</v>
      </c>
      <c r="D1983" t="s">
        <v>13</v>
      </c>
      <c r="E1983" t="s">
        <v>21</v>
      </c>
      <c r="F1983" t="s">
        <v>827</v>
      </c>
      <c r="G1983" t="s">
        <v>388</v>
      </c>
      <c r="H1983">
        <v>4</v>
      </c>
      <c r="I1983" s="1">
        <v>2955.61</v>
      </c>
      <c r="J1983" t="s">
        <v>17</v>
      </c>
      <c r="K1983" t="s">
        <v>18</v>
      </c>
      <c r="L1983" t="str" cm="1">
        <f t="array" ref="L1983">_xlfn.IFS(B1983&lt;30,"18-29",B1983&lt;45,"30-44",B1983&lt;60,"45-59",B1983&lt;75,"60-74",B1983&lt;=90,"75-90")</f>
        <v>30-44</v>
      </c>
      <c r="M1983" t="str">
        <f>IF(Table1[[#This Row],[length_of_stay_days]]&gt;7,"Yes","No")</f>
        <v>No</v>
      </c>
    </row>
    <row r="1984" spans="1:13" x14ac:dyDescent="0.3">
      <c r="A1984" t="s">
        <v>2383</v>
      </c>
      <c r="B1984">
        <v>30</v>
      </c>
      <c r="C1984" t="s">
        <v>12</v>
      </c>
      <c r="D1984" t="s">
        <v>46</v>
      </c>
      <c r="E1984" t="s">
        <v>14</v>
      </c>
      <c r="F1984" t="s">
        <v>787</v>
      </c>
      <c r="G1984" t="s">
        <v>428</v>
      </c>
      <c r="H1984">
        <v>4</v>
      </c>
      <c r="I1984" s="1">
        <v>12673.32</v>
      </c>
      <c r="J1984" t="s">
        <v>17</v>
      </c>
      <c r="K1984" t="s">
        <v>18</v>
      </c>
      <c r="L1984" t="str" cm="1">
        <f t="array" ref="L1984">_xlfn.IFS(B1984&lt;30,"18-29",B1984&lt;45,"30-44",B1984&lt;60,"45-59",B1984&lt;75,"60-74",B1984&lt;=90,"75-90")</f>
        <v>30-44</v>
      </c>
      <c r="M1984" t="str">
        <f>IF(Table1[[#This Row],[length_of_stay_days]]&gt;7,"Yes","No")</f>
        <v>No</v>
      </c>
    </row>
    <row r="1985" spans="1:13" x14ac:dyDescent="0.3">
      <c r="A1985" t="s">
        <v>2384</v>
      </c>
      <c r="B1985">
        <v>70</v>
      </c>
      <c r="C1985" t="s">
        <v>20</v>
      </c>
      <c r="D1985" t="s">
        <v>13</v>
      </c>
      <c r="E1985" t="s">
        <v>21</v>
      </c>
      <c r="F1985" t="s">
        <v>40</v>
      </c>
      <c r="G1985" t="s">
        <v>467</v>
      </c>
      <c r="H1985">
        <v>4</v>
      </c>
      <c r="I1985" s="1">
        <v>7737.33</v>
      </c>
      <c r="J1985" t="s">
        <v>49</v>
      </c>
      <c r="K1985" t="s">
        <v>18</v>
      </c>
      <c r="L1985" t="str" cm="1">
        <f t="array" ref="L1985">_xlfn.IFS(B1985&lt;30,"18-29",B1985&lt;45,"30-44",B1985&lt;60,"45-59",B1985&lt;75,"60-74",B1985&lt;=90,"75-90")</f>
        <v>60-74</v>
      </c>
      <c r="M1985" t="str">
        <f>IF(Table1[[#This Row],[length_of_stay_days]]&gt;7,"Yes","No")</f>
        <v>No</v>
      </c>
    </row>
    <row r="1986" spans="1:13" x14ac:dyDescent="0.3">
      <c r="A1986" t="s">
        <v>2385</v>
      </c>
      <c r="B1986">
        <v>31</v>
      </c>
      <c r="C1986" t="s">
        <v>12</v>
      </c>
      <c r="D1986" t="s">
        <v>51</v>
      </c>
      <c r="E1986" t="s">
        <v>28</v>
      </c>
      <c r="F1986" t="s">
        <v>296</v>
      </c>
      <c r="G1986" t="s">
        <v>367</v>
      </c>
      <c r="H1986">
        <v>4</v>
      </c>
      <c r="I1986" s="1">
        <v>11403.77</v>
      </c>
      <c r="J1986" t="s">
        <v>17</v>
      </c>
      <c r="K1986" t="s">
        <v>18</v>
      </c>
      <c r="L1986" t="str" cm="1">
        <f t="array" ref="L1986">_xlfn.IFS(B1986&lt;30,"18-29",B1986&lt;45,"30-44",B1986&lt;60,"45-59",B1986&lt;75,"60-74",B1986&lt;=90,"75-90")</f>
        <v>30-44</v>
      </c>
      <c r="M1986" t="str">
        <f>IF(Table1[[#This Row],[length_of_stay_days]]&gt;7,"Yes","No")</f>
        <v>No</v>
      </c>
    </row>
    <row r="1987" spans="1:13" x14ac:dyDescent="0.3">
      <c r="A1987" t="s">
        <v>2386</v>
      </c>
      <c r="B1987">
        <v>88</v>
      </c>
      <c r="C1987" t="s">
        <v>20</v>
      </c>
      <c r="D1987" t="s">
        <v>13</v>
      </c>
      <c r="E1987" t="s">
        <v>14</v>
      </c>
      <c r="F1987" t="s">
        <v>363</v>
      </c>
      <c r="G1987" t="s">
        <v>606</v>
      </c>
      <c r="H1987">
        <v>3</v>
      </c>
      <c r="I1987" s="1">
        <v>4577.8599999999997</v>
      </c>
      <c r="J1987" t="s">
        <v>17</v>
      </c>
      <c r="K1987" t="s">
        <v>18</v>
      </c>
      <c r="L1987" t="str" cm="1">
        <f t="array" ref="L1987">_xlfn.IFS(B1987&lt;30,"18-29",B1987&lt;45,"30-44",B1987&lt;60,"45-59",B1987&lt;75,"60-74",B1987&lt;=90,"75-90")</f>
        <v>75-90</v>
      </c>
      <c r="M1987" t="str">
        <f>IF(Table1[[#This Row],[length_of_stay_days]]&gt;7,"Yes","No")</f>
        <v>No</v>
      </c>
    </row>
    <row r="1988" spans="1:13" x14ac:dyDescent="0.3">
      <c r="A1988" t="s">
        <v>2387</v>
      </c>
      <c r="B1988">
        <v>69</v>
      </c>
      <c r="C1988" t="s">
        <v>20</v>
      </c>
      <c r="D1988" t="s">
        <v>13</v>
      </c>
      <c r="E1988" t="s">
        <v>14</v>
      </c>
      <c r="F1988" t="s">
        <v>344</v>
      </c>
      <c r="G1988" t="s">
        <v>821</v>
      </c>
      <c r="H1988">
        <v>7</v>
      </c>
      <c r="I1988" s="1">
        <v>6724.96</v>
      </c>
      <c r="J1988" t="s">
        <v>49</v>
      </c>
      <c r="K1988" t="s">
        <v>18</v>
      </c>
      <c r="L1988" t="str" cm="1">
        <f t="array" ref="L1988">_xlfn.IFS(B1988&lt;30,"18-29",B1988&lt;45,"30-44",B1988&lt;60,"45-59",B1988&lt;75,"60-74",B1988&lt;=90,"75-90")</f>
        <v>60-74</v>
      </c>
      <c r="M1988" t="str">
        <f>IF(Table1[[#This Row],[length_of_stay_days]]&gt;7,"Yes","No")</f>
        <v>No</v>
      </c>
    </row>
    <row r="1989" spans="1:13" x14ac:dyDescent="0.3">
      <c r="A1989" t="s">
        <v>2388</v>
      </c>
      <c r="B1989">
        <v>63</v>
      </c>
      <c r="C1989" t="s">
        <v>20</v>
      </c>
      <c r="D1989" t="s">
        <v>51</v>
      </c>
      <c r="E1989" t="s">
        <v>14</v>
      </c>
      <c r="F1989" t="s">
        <v>323</v>
      </c>
      <c r="G1989" t="s">
        <v>308</v>
      </c>
      <c r="H1989">
        <v>4</v>
      </c>
      <c r="I1989" s="1">
        <v>11655.48</v>
      </c>
      <c r="J1989" t="s">
        <v>17</v>
      </c>
      <c r="K1989" t="s">
        <v>18</v>
      </c>
      <c r="L1989" t="str" cm="1">
        <f t="array" ref="L1989">_xlfn.IFS(B1989&lt;30,"18-29",B1989&lt;45,"30-44",B1989&lt;60,"45-59",B1989&lt;75,"60-74",B1989&lt;=90,"75-90")</f>
        <v>60-74</v>
      </c>
      <c r="M1989" t="str">
        <f>IF(Table1[[#This Row],[length_of_stay_days]]&gt;7,"Yes","No")</f>
        <v>No</v>
      </c>
    </row>
    <row r="1990" spans="1:13" x14ac:dyDescent="0.3">
      <c r="A1990" t="s">
        <v>2389</v>
      </c>
      <c r="B1990">
        <v>83</v>
      </c>
      <c r="C1990" t="s">
        <v>12</v>
      </c>
      <c r="D1990" t="s">
        <v>51</v>
      </c>
      <c r="E1990" t="s">
        <v>14</v>
      </c>
      <c r="F1990" t="s">
        <v>447</v>
      </c>
      <c r="G1990" t="s">
        <v>402</v>
      </c>
      <c r="H1990">
        <v>3</v>
      </c>
      <c r="I1990" s="1">
        <v>9044.0400000000009</v>
      </c>
      <c r="J1990" t="s">
        <v>17</v>
      </c>
      <c r="K1990" t="s">
        <v>18</v>
      </c>
      <c r="L1990" t="str" cm="1">
        <f t="array" ref="L1990">_xlfn.IFS(B1990&lt;30,"18-29",B1990&lt;45,"30-44",B1990&lt;60,"45-59",B1990&lt;75,"60-74",B1990&lt;=90,"75-90")</f>
        <v>75-90</v>
      </c>
      <c r="M1990" t="str">
        <f>IF(Table1[[#This Row],[length_of_stay_days]]&gt;7,"Yes","No")</f>
        <v>No</v>
      </c>
    </row>
    <row r="1991" spans="1:13" x14ac:dyDescent="0.3">
      <c r="A1991" t="s">
        <v>2390</v>
      </c>
      <c r="B1991">
        <v>31</v>
      </c>
      <c r="C1991" t="s">
        <v>12</v>
      </c>
      <c r="D1991" t="s">
        <v>28</v>
      </c>
      <c r="E1991" t="s">
        <v>28</v>
      </c>
      <c r="F1991" t="s">
        <v>143</v>
      </c>
      <c r="G1991" t="s">
        <v>807</v>
      </c>
      <c r="H1991">
        <v>3</v>
      </c>
      <c r="I1991" s="1">
        <v>5067.34</v>
      </c>
      <c r="J1991" t="s">
        <v>17</v>
      </c>
      <c r="K1991" t="s">
        <v>18</v>
      </c>
      <c r="L1991" t="str" cm="1">
        <f t="array" ref="L1991">_xlfn.IFS(B1991&lt;30,"18-29",B1991&lt;45,"30-44",B1991&lt;60,"45-59",B1991&lt;75,"60-74",B1991&lt;=90,"75-90")</f>
        <v>30-44</v>
      </c>
      <c r="M1991" t="str">
        <f>IF(Table1[[#This Row],[length_of_stay_days]]&gt;7,"Yes","No")</f>
        <v>No</v>
      </c>
    </row>
    <row r="1992" spans="1:13" x14ac:dyDescent="0.3">
      <c r="A1992" t="s">
        <v>2391</v>
      </c>
      <c r="B1992">
        <v>72</v>
      </c>
      <c r="C1992" t="s">
        <v>20</v>
      </c>
      <c r="D1992" t="s">
        <v>13</v>
      </c>
      <c r="E1992" t="s">
        <v>14</v>
      </c>
      <c r="F1992" t="s">
        <v>499</v>
      </c>
      <c r="G1992" t="s">
        <v>114</v>
      </c>
      <c r="H1992">
        <v>3</v>
      </c>
      <c r="I1992" s="1">
        <v>3866.57</v>
      </c>
      <c r="J1992" t="s">
        <v>17</v>
      </c>
      <c r="K1992" t="s">
        <v>18</v>
      </c>
      <c r="L1992" t="str" cm="1">
        <f t="array" ref="L1992">_xlfn.IFS(B1992&lt;30,"18-29",B1992&lt;45,"30-44",B1992&lt;60,"45-59",B1992&lt;75,"60-74",B1992&lt;=90,"75-90")</f>
        <v>60-74</v>
      </c>
      <c r="M1992" t="str">
        <f>IF(Table1[[#This Row],[length_of_stay_days]]&gt;7,"Yes","No")</f>
        <v>No</v>
      </c>
    </row>
    <row r="1993" spans="1:13" x14ac:dyDescent="0.3">
      <c r="A1993" t="s">
        <v>2392</v>
      </c>
      <c r="B1993">
        <v>56</v>
      </c>
      <c r="C1993" t="s">
        <v>20</v>
      </c>
      <c r="D1993" t="s">
        <v>28</v>
      </c>
      <c r="E1993" t="s">
        <v>14</v>
      </c>
      <c r="F1993" t="s">
        <v>165</v>
      </c>
      <c r="G1993" t="s">
        <v>166</v>
      </c>
      <c r="H1993">
        <v>1</v>
      </c>
      <c r="I1993" s="1">
        <v>4823.6000000000004</v>
      </c>
      <c r="J1993" t="s">
        <v>17</v>
      </c>
      <c r="K1993" t="s">
        <v>18</v>
      </c>
      <c r="L1993" t="str" cm="1">
        <f t="array" ref="L1993">_xlfn.IFS(B1993&lt;30,"18-29",B1993&lt;45,"30-44",B1993&lt;60,"45-59",B1993&lt;75,"60-74",B1993&lt;=90,"75-90")</f>
        <v>45-59</v>
      </c>
      <c r="M1993" t="str">
        <f>IF(Table1[[#This Row],[length_of_stay_days]]&gt;7,"Yes","No")</f>
        <v>No</v>
      </c>
    </row>
    <row r="1994" spans="1:13" x14ac:dyDescent="0.3">
      <c r="A1994" t="s">
        <v>2393</v>
      </c>
      <c r="B1994">
        <v>29</v>
      </c>
      <c r="C1994" t="s">
        <v>20</v>
      </c>
      <c r="D1994" t="s">
        <v>32</v>
      </c>
      <c r="E1994" t="s">
        <v>28</v>
      </c>
      <c r="F1994" t="s">
        <v>276</v>
      </c>
      <c r="G1994" t="s">
        <v>422</v>
      </c>
      <c r="H1994">
        <v>6</v>
      </c>
      <c r="I1994" s="1">
        <v>10556.4</v>
      </c>
      <c r="J1994" t="s">
        <v>17</v>
      </c>
      <c r="K1994" t="s">
        <v>18</v>
      </c>
      <c r="L1994" t="str" cm="1">
        <f t="array" ref="L1994">_xlfn.IFS(B1994&lt;30,"18-29",B1994&lt;45,"30-44",B1994&lt;60,"45-59",B1994&lt;75,"60-74",B1994&lt;=90,"75-90")</f>
        <v>18-29</v>
      </c>
      <c r="M1994" t="str">
        <f>IF(Table1[[#This Row],[length_of_stay_days]]&gt;7,"Yes","No")</f>
        <v>No</v>
      </c>
    </row>
    <row r="1995" spans="1:13" x14ac:dyDescent="0.3">
      <c r="A1995" t="s">
        <v>2394</v>
      </c>
      <c r="B1995">
        <v>82</v>
      </c>
      <c r="C1995" t="s">
        <v>20</v>
      </c>
      <c r="D1995" t="s">
        <v>28</v>
      </c>
      <c r="E1995" t="s">
        <v>14</v>
      </c>
      <c r="F1995" t="s">
        <v>228</v>
      </c>
      <c r="G1995" t="s">
        <v>109</v>
      </c>
      <c r="H1995">
        <v>3</v>
      </c>
      <c r="I1995" s="1">
        <v>4320.2700000000004</v>
      </c>
      <c r="J1995" t="s">
        <v>17</v>
      </c>
      <c r="K1995" t="s">
        <v>18</v>
      </c>
      <c r="L1995" t="str" cm="1">
        <f t="array" ref="L1995">_xlfn.IFS(B1995&lt;30,"18-29",B1995&lt;45,"30-44",B1995&lt;60,"45-59",B1995&lt;75,"60-74",B1995&lt;=90,"75-90")</f>
        <v>75-90</v>
      </c>
      <c r="M1995" t="str">
        <f>IF(Table1[[#This Row],[length_of_stay_days]]&gt;7,"Yes","No")</f>
        <v>No</v>
      </c>
    </row>
    <row r="1996" spans="1:13" x14ac:dyDescent="0.3">
      <c r="A1996" t="s">
        <v>2395</v>
      </c>
      <c r="B1996">
        <v>73</v>
      </c>
      <c r="C1996" t="s">
        <v>20</v>
      </c>
      <c r="D1996" t="s">
        <v>55</v>
      </c>
      <c r="E1996" t="s">
        <v>28</v>
      </c>
      <c r="F1996" t="s">
        <v>467</v>
      </c>
      <c r="G1996" t="s">
        <v>376</v>
      </c>
      <c r="H1996">
        <v>7</v>
      </c>
      <c r="I1996" s="1">
        <v>10148.19</v>
      </c>
      <c r="J1996" t="s">
        <v>17</v>
      </c>
      <c r="K1996" t="s">
        <v>18</v>
      </c>
      <c r="L1996" t="str" cm="1">
        <f t="array" ref="L1996">_xlfn.IFS(B1996&lt;30,"18-29",B1996&lt;45,"30-44",B1996&lt;60,"45-59",B1996&lt;75,"60-74",B1996&lt;=90,"75-90")</f>
        <v>60-74</v>
      </c>
      <c r="M1996" t="str">
        <f>IF(Table1[[#This Row],[length_of_stay_days]]&gt;7,"Yes","No")</f>
        <v>No</v>
      </c>
    </row>
    <row r="1997" spans="1:13" x14ac:dyDescent="0.3">
      <c r="A1997" t="s">
        <v>2396</v>
      </c>
      <c r="B1997">
        <v>57</v>
      </c>
      <c r="C1997" t="s">
        <v>20</v>
      </c>
      <c r="D1997" t="s">
        <v>13</v>
      </c>
      <c r="E1997" t="s">
        <v>28</v>
      </c>
      <c r="F1997" t="s">
        <v>263</v>
      </c>
      <c r="G1997" t="s">
        <v>264</v>
      </c>
      <c r="H1997">
        <v>2</v>
      </c>
      <c r="I1997" s="1">
        <v>3889.44</v>
      </c>
      <c r="J1997" t="s">
        <v>17</v>
      </c>
      <c r="K1997" t="s">
        <v>18</v>
      </c>
      <c r="L1997" t="str" cm="1">
        <f t="array" ref="L1997">_xlfn.IFS(B1997&lt;30,"18-29",B1997&lt;45,"30-44",B1997&lt;60,"45-59",B1997&lt;75,"60-74",B1997&lt;=90,"75-90")</f>
        <v>45-59</v>
      </c>
      <c r="M1997" t="str">
        <f>IF(Table1[[#This Row],[length_of_stay_days]]&gt;7,"Yes","No")</f>
        <v>No</v>
      </c>
    </row>
    <row r="1998" spans="1:13" x14ac:dyDescent="0.3">
      <c r="A1998" t="s">
        <v>2397</v>
      </c>
      <c r="B1998">
        <v>51</v>
      </c>
      <c r="C1998" t="s">
        <v>20</v>
      </c>
      <c r="D1998" t="s">
        <v>13</v>
      </c>
      <c r="E1998" t="s">
        <v>28</v>
      </c>
      <c r="F1998" t="s">
        <v>386</v>
      </c>
      <c r="G1998" t="s">
        <v>36</v>
      </c>
      <c r="H1998">
        <v>6</v>
      </c>
      <c r="I1998" s="1">
        <v>9101.0300000000007</v>
      </c>
      <c r="J1998" t="s">
        <v>17</v>
      </c>
      <c r="K1998" t="s">
        <v>18</v>
      </c>
      <c r="L1998" t="str" cm="1">
        <f t="array" ref="L1998">_xlfn.IFS(B1998&lt;30,"18-29",B1998&lt;45,"30-44",B1998&lt;60,"45-59",B1998&lt;75,"60-74",B1998&lt;=90,"75-90")</f>
        <v>45-59</v>
      </c>
      <c r="M1998" t="str">
        <f>IF(Table1[[#This Row],[length_of_stay_days]]&gt;7,"Yes","No")</f>
        <v>No</v>
      </c>
    </row>
    <row r="1999" spans="1:13" x14ac:dyDescent="0.3">
      <c r="A1999" t="s">
        <v>2398</v>
      </c>
      <c r="B1999">
        <v>83</v>
      </c>
      <c r="C1999" t="s">
        <v>12</v>
      </c>
      <c r="D1999" t="s">
        <v>13</v>
      </c>
      <c r="E1999" t="s">
        <v>14</v>
      </c>
      <c r="F1999" t="s">
        <v>742</v>
      </c>
      <c r="G1999" t="s">
        <v>701</v>
      </c>
      <c r="H1999">
        <v>4</v>
      </c>
      <c r="I1999" s="1">
        <v>4735.7</v>
      </c>
      <c r="J1999" t="s">
        <v>49</v>
      </c>
      <c r="K1999" t="s">
        <v>18</v>
      </c>
      <c r="L1999" t="str" cm="1">
        <f t="array" ref="L1999">_xlfn.IFS(B1999&lt;30,"18-29",B1999&lt;45,"30-44",B1999&lt;60,"45-59",B1999&lt;75,"60-74",B1999&lt;=90,"75-90")</f>
        <v>75-90</v>
      </c>
      <c r="M1999" t="str">
        <f>IF(Table1[[#This Row],[length_of_stay_days]]&gt;7,"Yes","No")</f>
        <v>No</v>
      </c>
    </row>
    <row r="2000" spans="1:13" x14ac:dyDescent="0.3">
      <c r="A2000" t="s">
        <v>2399</v>
      </c>
      <c r="B2000">
        <v>57</v>
      </c>
      <c r="C2000" t="s">
        <v>20</v>
      </c>
      <c r="D2000" t="s">
        <v>55</v>
      </c>
      <c r="E2000" t="s">
        <v>28</v>
      </c>
      <c r="F2000" t="s">
        <v>1248</v>
      </c>
      <c r="G2000" t="s">
        <v>293</v>
      </c>
      <c r="H2000">
        <v>7</v>
      </c>
      <c r="I2000" s="1">
        <v>10234.040000000001</v>
      </c>
      <c r="J2000" t="s">
        <v>17</v>
      </c>
      <c r="K2000" t="s">
        <v>18</v>
      </c>
      <c r="L2000" t="str" cm="1">
        <f t="array" ref="L2000">_xlfn.IFS(B2000&lt;30,"18-29",B2000&lt;45,"30-44",B2000&lt;60,"45-59",B2000&lt;75,"60-74",B2000&lt;=90,"75-90")</f>
        <v>45-59</v>
      </c>
      <c r="M2000" t="str">
        <f>IF(Table1[[#This Row],[length_of_stay_days]]&gt;7,"Yes","No")</f>
        <v>No</v>
      </c>
    </row>
    <row r="2001" spans="1:13" x14ac:dyDescent="0.3">
      <c r="A2001" t="s">
        <v>2400</v>
      </c>
      <c r="B2001">
        <v>66</v>
      </c>
      <c r="C2001" t="s">
        <v>20</v>
      </c>
      <c r="D2001" t="s">
        <v>55</v>
      </c>
      <c r="E2001" t="s">
        <v>28</v>
      </c>
      <c r="F2001" t="s">
        <v>190</v>
      </c>
      <c r="G2001" t="s">
        <v>173</v>
      </c>
      <c r="H2001">
        <v>7</v>
      </c>
      <c r="I2001" s="1">
        <v>10609.79</v>
      </c>
      <c r="J2001" t="s">
        <v>17</v>
      </c>
      <c r="K2001" t="s">
        <v>18</v>
      </c>
      <c r="L2001" t="str" cm="1">
        <f t="array" ref="L2001">_xlfn.IFS(B2001&lt;30,"18-29",B2001&lt;45,"30-44",B2001&lt;60,"45-59",B2001&lt;75,"60-74",B2001&lt;=90,"75-90")</f>
        <v>60-74</v>
      </c>
      <c r="M2001" t="str">
        <f>IF(Table1[[#This Row],[length_of_stay_days]]&gt;7,"Yes","No")</f>
        <v>No</v>
      </c>
    </row>
    <row r="2002" spans="1:13" x14ac:dyDescent="0.3">
      <c r="A2002" t="s">
        <v>2401</v>
      </c>
      <c r="B2002">
        <v>18</v>
      </c>
      <c r="C2002" t="s">
        <v>20</v>
      </c>
      <c r="D2002" t="s">
        <v>55</v>
      </c>
      <c r="E2002" t="s">
        <v>28</v>
      </c>
      <c r="F2002" t="s">
        <v>36</v>
      </c>
      <c r="G2002" t="s">
        <v>37</v>
      </c>
      <c r="H2002">
        <v>4</v>
      </c>
      <c r="I2002" s="1">
        <v>6817.22</v>
      </c>
      <c r="J2002" t="s">
        <v>17</v>
      </c>
      <c r="K2002" t="s">
        <v>18</v>
      </c>
      <c r="L2002" t="str" cm="1">
        <f t="array" ref="L2002">_xlfn.IFS(B2002&lt;30,"18-29",B2002&lt;45,"30-44",B2002&lt;60,"45-59",B2002&lt;75,"60-74",B2002&lt;=90,"75-90")</f>
        <v>18-29</v>
      </c>
      <c r="M2002" t="str">
        <f>IF(Table1[[#This Row],[length_of_stay_days]]&gt;7,"Yes","No")</f>
        <v>No</v>
      </c>
    </row>
    <row r="2003" spans="1:13" x14ac:dyDescent="0.3">
      <c r="A2003" t="s">
        <v>2402</v>
      </c>
      <c r="B2003">
        <v>29</v>
      </c>
      <c r="C2003" t="s">
        <v>12</v>
      </c>
      <c r="D2003" t="s">
        <v>32</v>
      </c>
      <c r="E2003" t="s">
        <v>28</v>
      </c>
      <c r="F2003" t="s">
        <v>282</v>
      </c>
      <c r="G2003" t="s">
        <v>47</v>
      </c>
      <c r="H2003">
        <v>6</v>
      </c>
      <c r="I2003" s="1">
        <v>8991.4599999999991</v>
      </c>
      <c r="J2003" t="s">
        <v>17</v>
      </c>
      <c r="K2003" t="s">
        <v>18</v>
      </c>
      <c r="L2003" t="str" cm="1">
        <f t="array" ref="L2003">_xlfn.IFS(B2003&lt;30,"18-29",B2003&lt;45,"30-44",B2003&lt;60,"45-59",B2003&lt;75,"60-74",B2003&lt;=90,"75-90")</f>
        <v>18-29</v>
      </c>
      <c r="M2003" t="str">
        <f>IF(Table1[[#This Row],[length_of_stay_days]]&gt;7,"Yes","No")</f>
        <v>No</v>
      </c>
    </row>
    <row r="2004" spans="1:13" x14ac:dyDescent="0.3">
      <c r="A2004" t="s">
        <v>2403</v>
      </c>
      <c r="B2004">
        <v>57</v>
      </c>
      <c r="C2004" t="s">
        <v>20</v>
      </c>
      <c r="D2004" t="s">
        <v>28</v>
      </c>
      <c r="E2004" t="s">
        <v>28</v>
      </c>
      <c r="F2004" t="s">
        <v>433</v>
      </c>
      <c r="G2004" t="s">
        <v>555</v>
      </c>
      <c r="H2004">
        <v>5</v>
      </c>
      <c r="I2004" s="1">
        <v>8422.51</v>
      </c>
      <c r="J2004" t="s">
        <v>17</v>
      </c>
      <c r="K2004" t="s">
        <v>18</v>
      </c>
      <c r="L2004" t="str" cm="1">
        <f t="array" ref="L2004">_xlfn.IFS(B2004&lt;30,"18-29",B2004&lt;45,"30-44",B2004&lt;60,"45-59",B2004&lt;75,"60-74",B2004&lt;=90,"75-90")</f>
        <v>45-59</v>
      </c>
      <c r="M2004" t="str">
        <f>IF(Table1[[#This Row],[length_of_stay_days]]&gt;7,"Yes","No")</f>
        <v>No</v>
      </c>
    </row>
    <row r="2005" spans="1:13" x14ac:dyDescent="0.3">
      <c r="A2005" t="s">
        <v>2404</v>
      </c>
      <c r="B2005">
        <v>39</v>
      </c>
      <c r="C2005" t="s">
        <v>20</v>
      </c>
      <c r="D2005" t="s">
        <v>28</v>
      </c>
      <c r="E2005" t="s">
        <v>21</v>
      </c>
      <c r="F2005" t="s">
        <v>255</v>
      </c>
      <c r="G2005" t="s">
        <v>26</v>
      </c>
      <c r="H2005">
        <v>1</v>
      </c>
      <c r="I2005" s="1">
        <v>4942.1899999999996</v>
      </c>
      <c r="J2005" t="s">
        <v>17</v>
      </c>
      <c r="K2005" t="s">
        <v>18</v>
      </c>
      <c r="L2005" t="str" cm="1">
        <f t="array" ref="L2005">_xlfn.IFS(B2005&lt;30,"18-29",B2005&lt;45,"30-44",B2005&lt;60,"45-59",B2005&lt;75,"60-74",B2005&lt;=90,"75-90")</f>
        <v>30-44</v>
      </c>
      <c r="M2005" t="str">
        <f>IF(Table1[[#This Row],[length_of_stay_days]]&gt;7,"Yes","No")</f>
        <v>No</v>
      </c>
    </row>
    <row r="2006" spans="1:13" x14ac:dyDescent="0.3">
      <c r="A2006" t="s">
        <v>2405</v>
      </c>
      <c r="B2006">
        <v>83</v>
      </c>
      <c r="C2006" t="s">
        <v>20</v>
      </c>
      <c r="D2006" t="s">
        <v>55</v>
      </c>
      <c r="E2006" t="s">
        <v>14</v>
      </c>
      <c r="F2006" t="s">
        <v>730</v>
      </c>
      <c r="G2006" t="s">
        <v>543</v>
      </c>
      <c r="H2006">
        <v>7</v>
      </c>
      <c r="I2006" s="1">
        <v>10655.7</v>
      </c>
      <c r="J2006" t="s">
        <v>17</v>
      </c>
      <c r="K2006" t="s">
        <v>18</v>
      </c>
      <c r="L2006" t="str" cm="1">
        <f t="array" ref="L2006">_xlfn.IFS(B2006&lt;30,"18-29",B2006&lt;45,"30-44",B2006&lt;60,"45-59",B2006&lt;75,"60-74",B2006&lt;=90,"75-90")</f>
        <v>75-90</v>
      </c>
      <c r="M2006" t="str">
        <f>IF(Table1[[#This Row],[length_of_stay_days]]&gt;7,"Yes","No")</f>
        <v>No</v>
      </c>
    </row>
    <row r="2007" spans="1:13" x14ac:dyDescent="0.3">
      <c r="A2007" t="s">
        <v>2406</v>
      </c>
      <c r="B2007">
        <v>35</v>
      </c>
      <c r="C2007" t="s">
        <v>12</v>
      </c>
      <c r="D2007" t="s">
        <v>51</v>
      </c>
      <c r="E2007" t="s">
        <v>14</v>
      </c>
      <c r="F2007" t="s">
        <v>609</v>
      </c>
      <c r="G2007" t="s">
        <v>16</v>
      </c>
      <c r="H2007">
        <v>4</v>
      </c>
      <c r="I2007" s="1">
        <v>7581.38</v>
      </c>
      <c r="J2007" t="s">
        <v>17</v>
      </c>
      <c r="K2007" t="s">
        <v>18</v>
      </c>
      <c r="L2007" t="str" cm="1">
        <f t="array" ref="L2007">_xlfn.IFS(B2007&lt;30,"18-29",B2007&lt;45,"30-44",B2007&lt;60,"45-59",B2007&lt;75,"60-74",B2007&lt;=90,"75-90")</f>
        <v>30-44</v>
      </c>
      <c r="M2007" t="str">
        <f>IF(Table1[[#This Row],[length_of_stay_days]]&gt;7,"Yes","No")</f>
        <v>No</v>
      </c>
    </row>
    <row r="2008" spans="1:13" x14ac:dyDescent="0.3">
      <c r="A2008" t="s">
        <v>2407</v>
      </c>
      <c r="B2008">
        <v>78</v>
      </c>
      <c r="C2008" t="s">
        <v>20</v>
      </c>
      <c r="D2008" t="s">
        <v>28</v>
      </c>
      <c r="E2008" t="s">
        <v>14</v>
      </c>
      <c r="F2008" t="s">
        <v>317</v>
      </c>
      <c r="G2008" t="s">
        <v>275</v>
      </c>
      <c r="H2008">
        <v>5</v>
      </c>
      <c r="I2008" s="1">
        <v>5564.42</v>
      </c>
      <c r="J2008" t="s">
        <v>17</v>
      </c>
      <c r="K2008" t="s">
        <v>18</v>
      </c>
      <c r="L2008" t="str" cm="1">
        <f t="array" ref="L2008">_xlfn.IFS(B2008&lt;30,"18-29",B2008&lt;45,"30-44",B2008&lt;60,"45-59",B2008&lt;75,"60-74",B2008&lt;=90,"75-90")</f>
        <v>75-90</v>
      </c>
      <c r="M2008" t="str">
        <f>IF(Table1[[#This Row],[length_of_stay_days]]&gt;7,"Yes","No")</f>
        <v>No</v>
      </c>
    </row>
    <row r="2009" spans="1:13" x14ac:dyDescent="0.3">
      <c r="A2009" t="s">
        <v>2408</v>
      </c>
      <c r="B2009">
        <v>36</v>
      </c>
      <c r="C2009" t="s">
        <v>20</v>
      </c>
      <c r="D2009" t="s">
        <v>46</v>
      </c>
      <c r="E2009" t="s">
        <v>28</v>
      </c>
      <c r="F2009" t="s">
        <v>509</v>
      </c>
      <c r="G2009" t="s">
        <v>59</v>
      </c>
      <c r="H2009">
        <v>7</v>
      </c>
      <c r="I2009" s="1">
        <v>14753.67</v>
      </c>
      <c r="J2009" t="s">
        <v>17</v>
      </c>
      <c r="K2009" t="s">
        <v>18</v>
      </c>
      <c r="L2009" t="str" cm="1">
        <f t="array" ref="L2009">_xlfn.IFS(B2009&lt;30,"18-29",B2009&lt;45,"30-44",B2009&lt;60,"45-59",B2009&lt;75,"60-74",B2009&lt;=90,"75-90")</f>
        <v>30-44</v>
      </c>
      <c r="M2009" t="str">
        <f>IF(Table1[[#This Row],[length_of_stay_days]]&gt;7,"Yes","No")</f>
        <v>No</v>
      </c>
    </row>
    <row r="2010" spans="1:13" x14ac:dyDescent="0.3">
      <c r="A2010" t="s">
        <v>2409</v>
      </c>
      <c r="B2010">
        <v>53</v>
      </c>
      <c r="C2010" t="s">
        <v>20</v>
      </c>
      <c r="D2010" t="s">
        <v>55</v>
      </c>
      <c r="E2010" t="s">
        <v>28</v>
      </c>
      <c r="F2010" t="s">
        <v>746</v>
      </c>
      <c r="G2010" t="s">
        <v>648</v>
      </c>
      <c r="H2010">
        <v>5</v>
      </c>
      <c r="I2010" s="1">
        <v>10644.59</v>
      </c>
      <c r="J2010" t="s">
        <v>17</v>
      </c>
      <c r="K2010" t="s">
        <v>18</v>
      </c>
      <c r="L2010" t="str" cm="1">
        <f t="array" ref="L2010">_xlfn.IFS(B2010&lt;30,"18-29",B2010&lt;45,"30-44",B2010&lt;60,"45-59",B2010&lt;75,"60-74",B2010&lt;=90,"75-90")</f>
        <v>45-59</v>
      </c>
      <c r="M2010" t="str">
        <f>IF(Table1[[#This Row],[length_of_stay_days]]&gt;7,"Yes","No")</f>
        <v>No</v>
      </c>
    </row>
    <row r="2011" spans="1:13" x14ac:dyDescent="0.3">
      <c r="A2011" t="s">
        <v>2410</v>
      </c>
      <c r="B2011">
        <v>27</v>
      </c>
      <c r="C2011" t="s">
        <v>12</v>
      </c>
      <c r="D2011" t="s">
        <v>28</v>
      </c>
      <c r="E2011" t="s">
        <v>14</v>
      </c>
      <c r="F2011" t="s">
        <v>168</v>
      </c>
      <c r="G2011" t="s">
        <v>402</v>
      </c>
      <c r="H2011">
        <v>1</v>
      </c>
      <c r="I2011" s="1">
        <v>4786.16</v>
      </c>
      <c r="J2011" t="s">
        <v>17</v>
      </c>
      <c r="K2011" t="s">
        <v>18</v>
      </c>
      <c r="L2011" t="str" cm="1">
        <f t="array" ref="L2011">_xlfn.IFS(B2011&lt;30,"18-29",B2011&lt;45,"30-44",B2011&lt;60,"45-59",B2011&lt;75,"60-74",B2011&lt;=90,"75-90")</f>
        <v>18-29</v>
      </c>
      <c r="M2011" t="str">
        <f>IF(Table1[[#This Row],[length_of_stay_days]]&gt;7,"Yes","No")</f>
        <v>No</v>
      </c>
    </row>
    <row r="2012" spans="1:13" x14ac:dyDescent="0.3">
      <c r="A2012" t="s">
        <v>2411</v>
      </c>
      <c r="B2012">
        <v>50</v>
      </c>
      <c r="C2012" t="s">
        <v>12</v>
      </c>
      <c r="D2012" t="s">
        <v>55</v>
      </c>
      <c r="E2012" t="s">
        <v>28</v>
      </c>
      <c r="F2012" t="s">
        <v>217</v>
      </c>
      <c r="G2012" t="s">
        <v>663</v>
      </c>
      <c r="H2012">
        <v>8</v>
      </c>
      <c r="I2012" s="1">
        <v>13955.69</v>
      </c>
      <c r="J2012" t="s">
        <v>17</v>
      </c>
      <c r="K2012" t="s">
        <v>18</v>
      </c>
      <c r="L2012" t="str" cm="1">
        <f t="array" ref="L2012">_xlfn.IFS(B2012&lt;30,"18-29",B2012&lt;45,"30-44",B2012&lt;60,"45-59",B2012&lt;75,"60-74",B2012&lt;=90,"75-90")</f>
        <v>45-59</v>
      </c>
      <c r="M2012" t="str">
        <f>IF(Table1[[#This Row],[length_of_stay_days]]&gt;7,"Yes","No")</f>
        <v>Yes</v>
      </c>
    </row>
    <row r="2013" spans="1:13" x14ac:dyDescent="0.3">
      <c r="A2013" t="s">
        <v>2412</v>
      </c>
      <c r="B2013">
        <v>59</v>
      </c>
      <c r="C2013" t="s">
        <v>70</v>
      </c>
      <c r="D2013" t="s">
        <v>46</v>
      </c>
      <c r="E2013" t="s">
        <v>28</v>
      </c>
      <c r="F2013" t="s">
        <v>443</v>
      </c>
      <c r="G2013" t="s">
        <v>428</v>
      </c>
      <c r="H2013">
        <v>8</v>
      </c>
      <c r="I2013" s="1">
        <v>13925.38</v>
      </c>
      <c r="J2013" t="s">
        <v>17</v>
      </c>
      <c r="K2013" t="s">
        <v>18</v>
      </c>
      <c r="L2013" t="str" cm="1">
        <f t="array" ref="L2013">_xlfn.IFS(B2013&lt;30,"18-29",B2013&lt;45,"30-44",B2013&lt;60,"45-59",B2013&lt;75,"60-74",B2013&lt;=90,"75-90")</f>
        <v>45-59</v>
      </c>
      <c r="M2013" t="str">
        <f>IF(Table1[[#This Row],[length_of_stay_days]]&gt;7,"Yes","No")</f>
        <v>Yes</v>
      </c>
    </row>
    <row r="2014" spans="1:13" x14ac:dyDescent="0.3">
      <c r="A2014" t="s">
        <v>2413</v>
      </c>
      <c r="B2014">
        <v>44</v>
      </c>
      <c r="C2014" t="s">
        <v>20</v>
      </c>
      <c r="D2014" t="s">
        <v>28</v>
      </c>
      <c r="E2014" t="s">
        <v>21</v>
      </c>
      <c r="F2014" t="s">
        <v>493</v>
      </c>
      <c r="G2014" t="s">
        <v>231</v>
      </c>
      <c r="H2014">
        <v>6</v>
      </c>
      <c r="I2014" s="1">
        <v>5445.87</v>
      </c>
      <c r="J2014" t="s">
        <v>17</v>
      </c>
      <c r="K2014" t="s">
        <v>18</v>
      </c>
      <c r="L2014" t="str" cm="1">
        <f t="array" ref="L2014">_xlfn.IFS(B2014&lt;30,"18-29",B2014&lt;45,"30-44",B2014&lt;60,"45-59",B2014&lt;75,"60-74",B2014&lt;=90,"75-90")</f>
        <v>30-44</v>
      </c>
      <c r="M2014" t="str">
        <f>IF(Table1[[#This Row],[length_of_stay_days]]&gt;7,"Yes","No")</f>
        <v>No</v>
      </c>
    </row>
    <row r="2015" spans="1:13" x14ac:dyDescent="0.3">
      <c r="A2015" t="s">
        <v>2414</v>
      </c>
      <c r="B2015">
        <v>73</v>
      </c>
      <c r="C2015" t="s">
        <v>20</v>
      </c>
      <c r="D2015" t="s">
        <v>46</v>
      </c>
      <c r="E2015" t="s">
        <v>28</v>
      </c>
      <c r="F2015" t="s">
        <v>252</v>
      </c>
      <c r="G2015" t="s">
        <v>558</v>
      </c>
      <c r="H2015">
        <v>5</v>
      </c>
      <c r="I2015" s="1">
        <v>11304.09</v>
      </c>
      <c r="J2015" t="s">
        <v>49</v>
      </c>
      <c r="K2015" t="s">
        <v>18</v>
      </c>
      <c r="L2015" t="str" cm="1">
        <f t="array" ref="L2015">_xlfn.IFS(B2015&lt;30,"18-29",B2015&lt;45,"30-44",B2015&lt;60,"45-59",B2015&lt;75,"60-74",B2015&lt;=90,"75-90")</f>
        <v>60-74</v>
      </c>
      <c r="M2015" t="str">
        <f>IF(Table1[[#This Row],[length_of_stay_days]]&gt;7,"Yes","No")</f>
        <v>No</v>
      </c>
    </row>
    <row r="2016" spans="1:13" x14ac:dyDescent="0.3">
      <c r="A2016" t="s">
        <v>2415</v>
      </c>
      <c r="B2016">
        <v>80</v>
      </c>
      <c r="C2016" t="s">
        <v>12</v>
      </c>
      <c r="D2016" t="s">
        <v>13</v>
      </c>
      <c r="E2016" t="s">
        <v>21</v>
      </c>
      <c r="F2016" t="s">
        <v>787</v>
      </c>
      <c r="G2016" t="s">
        <v>157</v>
      </c>
      <c r="H2016">
        <v>3</v>
      </c>
      <c r="I2016" s="1">
        <v>5953.83</v>
      </c>
      <c r="J2016" t="s">
        <v>17</v>
      </c>
      <c r="K2016" t="s">
        <v>44</v>
      </c>
      <c r="L2016" t="str" cm="1">
        <f t="array" ref="L2016">_xlfn.IFS(B2016&lt;30,"18-29",B2016&lt;45,"30-44",B2016&lt;60,"45-59",B2016&lt;75,"60-74",B2016&lt;=90,"75-90")</f>
        <v>75-90</v>
      </c>
      <c r="M2016" t="str">
        <f>IF(Table1[[#This Row],[length_of_stay_days]]&gt;7,"Yes","No")</f>
        <v>No</v>
      </c>
    </row>
    <row r="2017" spans="1:13" x14ac:dyDescent="0.3">
      <c r="A2017" t="s">
        <v>2416</v>
      </c>
      <c r="B2017">
        <v>79</v>
      </c>
      <c r="C2017" t="s">
        <v>20</v>
      </c>
      <c r="D2017" t="s">
        <v>28</v>
      </c>
      <c r="E2017" t="s">
        <v>21</v>
      </c>
      <c r="F2017" t="s">
        <v>898</v>
      </c>
      <c r="G2017" t="s">
        <v>491</v>
      </c>
      <c r="H2017">
        <v>7</v>
      </c>
      <c r="I2017" s="1">
        <v>7439.12</v>
      </c>
      <c r="J2017" t="s">
        <v>17</v>
      </c>
      <c r="K2017" t="s">
        <v>18</v>
      </c>
      <c r="L2017" t="str" cm="1">
        <f t="array" ref="L2017">_xlfn.IFS(B2017&lt;30,"18-29",B2017&lt;45,"30-44",B2017&lt;60,"45-59",B2017&lt;75,"60-74",B2017&lt;=90,"75-90")</f>
        <v>75-90</v>
      </c>
      <c r="M2017" t="str">
        <f>IF(Table1[[#This Row],[length_of_stay_days]]&gt;7,"Yes","No")</f>
        <v>No</v>
      </c>
    </row>
    <row r="2018" spans="1:13" x14ac:dyDescent="0.3">
      <c r="A2018" t="s">
        <v>2417</v>
      </c>
      <c r="B2018">
        <v>54</v>
      </c>
      <c r="C2018" t="s">
        <v>12</v>
      </c>
      <c r="D2018" t="s">
        <v>55</v>
      </c>
      <c r="E2018" t="s">
        <v>14</v>
      </c>
      <c r="F2018" t="s">
        <v>301</v>
      </c>
      <c r="G2018" t="s">
        <v>405</v>
      </c>
      <c r="H2018">
        <v>1</v>
      </c>
      <c r="I2018" s="1">
        <v>7581.14</v>
      </c>
      <c r="J2018" t="s">
        <v>17</v>
      </c>
      <c r="K2018" t="s">
        <v>18</v>
      </c>
      <c r="L2018" t="str" cm="1">
        <f t="array" ref="L2018">_xlfn.IFS(B2018&lt;30,"18-29",B2018&lt;45,"30-44",B2018&lt;60,"45-59",B2018&lt;75,"60-74",B2018&lt;=90,"75-90")</f>
        <v>45-59</v>
      </c>
      <c r="M2018" t="str">
        <f>IF(Table1[[#This Row],[length_of_stay_days]]&gt;7,"Yes","No")</f>
        <v>No</v>
      </c>
    </row>
    <row r="2019" spans="1:13" x14ac:dyDescent="0.3">
      <c r="A2019" t="s">
        <v>2418</v>
      </c>
      <c r="B2019">
        <v>85</v>
      </c>
      <c r="C2019" t="s">
        <v>20</v>
      </c>
      <c r="D2019" t="s">
        <v>13</v>
      </c>
      <c r="E2019" t="s">
        <v>28</v>
      </c>
      <c r="F2019" t="s">
        <v>342</v>
      </c>
      <c r="H2019">
        <v>5</v>
      </c>
      <c r="I2019" s="1">
        <v>7046.8</v>
      </c>
      <c r="J2019" t="s">
        <v>17</v>
      </c>
      <c r="K2019" t="s">
        <v>18</v>
      </c>
      <c r="L2019" t="str" cm="1">
        <f t="array" ref="L2019">_xlfn.IFS(B2019&lt;30,"18-29",B2019&lt;45,"30-44",B2019&lt;60,"45-59",B2019&lt;75,"60-74",B2019&lt;=90,"75-90")</f>
        <v>75-90</v>
      </c>
      <c r="M2019" t="str">
        <f>IF(Table1[[#This Row],[length_of_stay_days]]&gt;7,"Yes","No")</f>
        <v>No</v>
      </c>
    </row>
    <row r="2020" spans="1:13" x14ac:dyDescent="0.3">
      <c r="A2020" t="s">
        <v>2419</v>
      </c>
      <c r="B2020">
        <v>80</v>
      </c>
      <c r="C2020" t="s">
        <v>12</v>
      </c>
      <c r="D2020" t="s">
        <v>55</v>
      </c>
      <c r="E2020" t="s">
        <v>28</v>
      </c>
      <c r="F2020" t="s">
        <v>138</v>
      </c>
      <c r="G2020" t="s">
        <v>15</v>
      </c>
      <c r="H2020">
        <v>4</v>
      </c>
      <c r="I2020" s="1">
        <v>5953.65</v>
      </c>
      <c r="J2020" t="s">
        <v>17</v>
      </c>
      <c r="K2020" t="s">
        <v>18</v>
      </c>
      <c r="L2020" t="str" cm="1">
        <f t="array" ref="L2020">_xlfn.IFS(B2020&lt;30,"18-29",B2020&lt;45,"30-44",B2020&lt;60,"45-59",B2020&lt;75,"60-74",B2020&lt;=90,"75-90")</f>
        <v>75-90</v>
      </c>
      <c r="M2020" t="str">
        <f>IF(Table1[[#This Row],[length_of_stay_days]]&gt;7,"Yes","No")</f>
        <v>No</v>
      </c>
    </row>
    <row r="2021" spans="1:13" x14ac:dyDescent="0.3">
      <c r="A2021" t="s">
        <v>2420</v>
      </c>
      <c r="B2021">
        <v>40</v>
      </c>
      <c r="C2021" t="s">
        <v>12</v>
      </c>
      <c r="D2021" t="s">
        <v>51</v>
      </c>
      <c r="E2021" t="s">
        <v>21</v>
      </c>
      <c r="F2021" t="s">
        <v>62</v>
      </c>
      <c r="G2021" t="s">
        <v>543</v>
      </c>
      <c r="H2021">
        <v>4</v>
      </c>
      <c r="I2021" s="1">
        <v>9791.58</v>
      </c>
      <c r="J2021" t="s">
        <v>17</v>
      </c>
      <c r="K2021" t="s">
        <v>18</v>
      </c>
      <c r="L2021" t="str" cm="1">
        <f t="array" ref="L2021">_xlfn.IFS(B2021&lt;30,"18-29",B2021&lt;45,"30-44",B2021&lt;60,"45-59",B2021&lt;75,"60-74",B2021&lt;=90,"75-90")</f>
        <v>30-44</v>
      </c>
      <c r="M2021" t="str">
        <f>IF(Table1[[#This Row],[length_of_stay_days]]&gt;7,"Yes","No")</f>
        <v>No</v>
      </c>
    </row>
    <row r="2022" spans="1:13" x14ac:dyDescent="0.3">
      <c r="A2022" t="s">
        <v>2421</v>
      </c>
      <c r="B2022">
        <v>82</v>
      </c>
      <c r="C2022" t="s">
        <v>20</v>
      </c>
      <c r="D2022" t="s">
        <v>28</v>
      </c>
      <c r="E2022" t="s">
        <v>28</v>
      </c>
      <c r="F2022" t="s">
        <v>299</v>
      </c>
      <c r="G2022" t="s">
        <v>317</v>
      </c>
      <c r="H2022">
        <v>4</v>
      </c>
      <c r="I2022" s="1">
        <v>8062.6</v>
      </c>
      <c r="J2022" t="s">
        <v>17</v>
      </c>
      <c r="K2022" t="s">
        <v>18</v>
      </c>
      <c r="L2022" t="str" cm="1">
        <f t="array" ref="L2022">_xlfn.IFS(B2022&lt;30,"18-29",B2022&lt;45,"30-44",B2022&lt;60,"45-59",B2022&lt;75,"60-74",B2022&lt;=90,"75-90")</f>
        <v>75-90</v>
      </c>
      <c r="M2022" t="str">
        <f>IF(Table1[[#This Row],[length_of_stay_days]]&gt;7,"Yes","No")</f>
        <v>No</v>
      </c>
    </row>
    <row r="2023" spans="1:13" x14ac:dyDescent="0.3">
      <c r="A2023" t="s">
        <v>2422</v>
      </c>
      <c r="B2023">
        <v>25</v>
      </c>
      <c r="C2023" t="s">
        <v>12</v>
      </c>
      <c r="D2023" t="s">
        <v>32</v>
      </c>
      <c r="E2023" t="s">
        <v>21</v>
      </c>
      <c r="F2023" t="s">
        <v>559</v>
      </c>
      <c r="H2023">
        <v>5</v>
      </c>
      <c r="I2023" s="1">
        <v>9539.02</v>
      </c>
      <c r="J2023" t="s">
        <v>49</v>
      </c>
      <c r="K2023" t="s">
        <v>18</v>
      </c>
      <c r="L2023" t="str" cm="1">
        <f t="array" ref="L2023">_xlfn.IFS(B2023&lt;30,"18-29",B2023&lt;45,"30-44",B2023&lt;60,"45-59",B2023&lt;75,"60-74",B2023&lt;=90,"75-90")</f>
        <v>18-29</v>
      </c>
      <c r="M2023" t="str">
        <f>IF(Table1[[#This Row],[length_of_stay_days]]&gt;7,"Yes","No")</f>
        <v>No</v>
      </c>
    </row>
    <row r="2024" spans="1:13" x14ac:dyDescent="0.3">
      <c r="A2024" t="s">
        <v>2423</v>
      </c>
      <c r="B2024">
        <v>87</v>
      </c>
      <c r="C2024" t="s">
        <v>12</v>
      </c>
      <c r="D2024" t="s">
        <v>28</v>
      </c>
      <c r="E2024" t="s">
        <v>14</v>
      </c>
      <c r="F2024" t="s">
        <v>261</v>
      </c>
      <c r="G2024" t="s">
        <v>390</v>
      </c>
      <c r="H2024">
        <v>6</v>
      </c>
      <c r="I2024" s="1">
        <v>5975.32</v>
      </c>
      <c r="J2024" t="s">
        <v>17</v>
      </c>
      <c r="K2024" t="s">
        <v>223</v>
      </c>
      <c r="L2024" t="str" cm="1">
        <f t="array" ref="L2024">_xlfn.IFS(B2024&lt;30,"18-29",B2024&lt;45,"30-44",B2024&lt;60,"45-59",B2024&lt;75,"60-74",B2024&lt;=90,"75-90")</f>
        <v>75-90</v>
      </c>
      <c r="M2024" t="str">
        <f>IF(Table1[[#This Row],[length_of_stay_days]]&gt;7,"Yes","No")</f>
        <v>No</v>
      </c>
    </row>
    <row r="2025" spans="1:13" x14ac:dyDescent="0.3">
      <c r="A2025" t="s">
        <v>2424</v>
      </c>
      <c r="B2025">
        <v>29</v>
      </c>
      <c r="C2025" t="s">
        <v>12</v>
      </c>
      <c r="D2025" t="s">
        <v>28</v>
      </c>
      <c r="E2025" t="s">
        <v>28</v>
      </c>
      <c r="F2025" t="s">
        <v>99</v>
      </c>
      <c r="G2025" t="s">
        <v>675</v>
      </c>
      <c r="H2025">
        <v>5</v>
      </c>
      <c r="I2025" s="1">
        <v>6663.77</v>
      </c>
      <c r="J2025" t="s">
        <v>17</v>
      </c>
      <c r="K2025" t="s">
        <v>18</v>
      </c>
      <c r="L2025" t="str" cm="1">
        <f t="array" ref="L2025">_xlfn.IFS(B2025&lt;30,"18-29",B2025&lt;45,"30-44",B2025&lt;60,"45-59",B2025&lt;75,"60-74",B2025&lt;=90,"75-90")</f>
        <v>18-29</v>
      </c>
      <c r="M2025" t="str">
        <f>IF(Table1[[#This Row],[length_of_stay_days]]&gt;7,"Yes","No")</f>
        <v>No</v>
      </c>
    </row>
    <row r="2026" spans="1:13" x14ac:dyDescent="0.3">
      <c r="A2026" t="s">
        <v>2425</v>
      </c>
      <c r="B2026">
        <v>59</v>
      </c>
      <c r="C2026" t="s">
        <v>20</v>
      </c>
      <c r="D2026" t="s">
        <v>32</v>
      </c>
      <c r="E2026" t="s">
        <v>28</v>
      </c>
      <c r="F2026" t="s">
        <v>296</v>
      </c>
      <c r="G2026" t="s">
        <v>95</v>
      </c>
      <c r="H2026">
        <v>6</v>
      </c>
      <c r="I2026" s="1">
        <v>11784.71</v>
      </c>
      <c r="J2026" t="s">
        <v>17</v>
      </c>
      <c r="K2026" t="s">
        <v>18</v>
      </c>
      <c r="L2026" t="str" cm="1">
        <f t="array" ref="L2026">_xlfn.IFS(B2026&lt;30,"18-29",B2026&lt;45,"30-44",B2026&lt;60,"45-59",B2026&lt;75,"60-74",B2026&lt;=90,"75-90")</f>
        <v>45-59</v>
      </c>
      <c r="M2026" t="str">
        <f>IF(Table1[[#This Row],[length_of_stay_days]]&gt;7,"Yes","No")</f>
        <v>No</v>
      </c>
    </row>
    <row r="2027" spans="1:13" x14ac:dyDescent="0.3">
      <c r="A2027" t="s">
        <v>2426</v>
      </c>
      <c r="B2027">
        <v>57</v>
      </c>
      <c r="C2027" t="s">
        <v>12</v>
      </c>
      <c r="D2027" t="s">
        <v>55</v>
      </c>
      <c r="E2027" t="s">
        <v>14</v>
      </c>
      <c r="F2027" t="s">
        <v>71</v>
      </c>
      <c r="G2027" t="s">
        <v>304</v>
      </c>
      <c r="H2027">
        <v>5</v>
      </c>
      <c r="I2027" s="1">
        <v>8085.28</v>
      </c>
      <c r="J2027" t="s">
        <v>17</v>
      </c>
      <c r="K2027" t="s">
        <v>18</v>
      </c>
      <c r="L2027" t="str" cm="1">
        <f t="array" ref="L2027">_xlfn.IFS(B2027&lt;30,"18-29",B2027&lt;45,"30-44",B2027&lt;60,"45-59",B2027&lt;75,"60-74",B2027&lt;=90,"75-90")</f>
        <v>45-59</v>
      </c>
      <c r="M2027" t="str">
        <f>IF(Table1[[#This Row],[length_of_stay_days]]&gt;7,"Yes","No")</f>
        <v>No</v>
      </c>
    </row>
    <row r="2028" spans="1:13" x14ac:dyDescent="0.3">
      <c r="A2028" t="s">
        <v>2427</v>
      </c>
      <c r="B2028">
        <v>84</v>
      </c>
      <c r="C2028" t="s">
        <v>20</v>
      </c>
      <c r="D2028" t="s">
        <v>28</v>
      </c>
      <c r="E2028" t="s">
        <v>14</v>
      </c>
      <c r="F2028" t="s">
        <v>575</v>
      </c>
      <c r="G2028" t="s">
        <v>402</v>
      </c>
      <c r="H2028">
        <v>5</v>
      </c>
      <c r="I2028" s="1">
        <v>6008.62</v>
      </c>
      <c r="J2028" t="s">
        <v>17</v>
      </c>
      <c r="K2028" t="s">
        <v>18</v>
      </c>
      <c r="L2028" t="str" cm="1">
        <f t="array" ref="L2028">_xlfn.IFS(B2028&lt;30,"18-29",B2028&lt;45,"30-44",B2028&lt;60,"45-59",B2028&lt;75,"60-74",B2028&lt;=90,"75-90")</f>
        <v>75-90</v>
      </c>
      <c r="M2028" t="str">
        <f>IF(Table1[[#This Row],[length_of_stay_days]]&gt;7,"Yes","No")</f>
        <v>No</v>
      </c>
    </row>
    <row r="2029" spans="1:13" x14ac:dyDescent="0.3">
      <c r="A2029" t="s">
        <v>2428</v>
      </c>
      <c r="B2029">
        <v>20</v>
      </c>
      <c r="C2029" t="s">
        <v>20</v>
      </c>
      <c r="D2029" t="s">
        <v>46</v>
      </c>
      <c r="E2029" t="s">
        <v>14</v>
      </c>
      <c r="F2029" t="s">
        <v>103</v>
      </c>
      <c r="G2029" t="s">
        <v>355</v>
      </c>
      <c r="H2029">
        <v>4</v>
      </c>
      <c r="I2029" s="1">
        <v>12404.38</v>
      </c>
      <c r="J2029" t="s">
        <v>17</v>
      </c>
      <c r="K2029" t="s">
        <v>18</v>
      </c>
      <c r="L2029" t="str" cm="1">
        <f t="array" ref="L2029">_xlfn.IFS(B2029&lt;30,"18-29",B2029&lt;45,"30-44",B2029&lt;60,"45-59",B2029&lt;75,"60-74",B2029&lt;=90,"75-90")</f>
        <v>18-29</v>
      </c>
      <c r="M2029" t="str">
        <f>IF(Table1[[#This Row],[length_of_stay_days]]&gt;7,"Yes","No")</f>
        <v>No</v>
      </c>
    </row>
    <row r="2030" spans="1:13" x14ac:dyDescent="0.3">
      <c r="A2030" t="s">
        <v>2429</v>
      </c>
      <c r="B2030">
        <v>37</v>
      </c>
      <c r="C2030" t="s">
        <v>20</v>
      </c>
      <c r="D2030" t="s">
        <v>51</v>
      </c>
      <c r="E2030" t="s">
        <v>28</v>
      </c>
      <c r="F2030" t="s">
        <v>575</v>
      </c>
      <c r="H2030">
        <v>10</v>
      </c>
      <c r="I2030" s="1">
        <v>13853.31</v>
      </c>
      <c r="J2030" t="s">
        <v>17</v>
      </c>
      <c r="K2030" t="s">
        <v>18</v>
      </c>
      <c r="L2030" t="str" cm="1">
        <f t="array" ref="L2030">_xlfn.IFS(B2030&lt;30,"18-29",B2030&lt;45,"30-44",B2030&lt;60,"45-59",B2030&lt;75,"60-74",B2030&lt;=90,"75-90")</f>
        <v>30-44</v>
      </c>
      <c r="M2030" t="str">
        <f>IF(Table1[[#This Row],[length_of_stay_days]]&gt;7,"Yes","No")</f>
        <v>Yes</v>
      </c>
    </row>
    <row r="2031" spans="1:13" x14ac:dyDescent="0.3">
      <c r="A2031" t="s">
        <v>2430</v>
      </c>
      <c r="B2031">
        <v>56</v>
      </c>
      <c r="C2031" t="s">
        <v>20</v>
      </c>
      <c r="D2031" t="s">
        <v>13</v>
      </c>
      <c r="E2031" t="s">
        <v>28</v>
      </c>
      <c r="F2031" t="s">
        <v>616</v>
      </c>
      <c r="G2031" t="s">
        <v>342</v>
      </c>
      <c r="H2031">
        <v>2</v>
      </c>
      <c r="I2031" s="1">
        <v>4803.08</v>
      </c>
      <c r="J2031" t="s">
        <v>17</v>
      </c>
      <c r="K2031" t="s">
        <v>18</v>
      </c>
      <c r="L2031" t="str" cm="1">
        <f t="array" ref="L2031">_xlfn.IFS(B2031&lt;30,"18-29",B2031&lt;45,"30-44",B2031&lt;60,"45-59",B2031&lt;75,"60-74",B2031&lt;=90,"75-90")</f>
        <v>45-59</v>
      </c>
      <c r="M2031" t="str">
        <f>IF(Table1[[#This Row],[length_of_stay_days]]&gt;7,"Yes","No")</f>
        <v>No</v>
      </c>
    </row>
    <row r="2032" spans="1:13" x14ac:dyDescent="0.3">
      <c r="A2032" t="s">
        <v>2431</v>
      </c>
      <c r="B2032">
        <v>42</v>
      </c>
      <c r="C2032" t="s">
        <v>20</v>
      </c>
      <c r="D2032" t="s">
        <v>46</v>
      </c>
      <c r="E2032" t="s">
        <v>21</v>
      </c>
      <c r="F2032" t="s">
        <v>26</v>
      </c>
      <c r="G2032" t="s">
        <v>516</v>
      </c>
      <c r="H2032">
        <v>9</v>
      </c>
      <c r="I2032" s="1">
        <v>14551.11</v>
      </c>
      <c r="J2032" t="s">
        <v>49</v>
      </c>
      <c r="K2032" t="s">
        <v>18</v>
      </c>
      <c r="L2032" t="str" cm="1">
        <f t="array" ref="L2032">_xlfn.IFS(B2032&lt;30,"18-29",B2032&lt;45,"30-44",B2032&lt;60,"45-59",B2032&lt;75,"60-74",B2032&lt;=90,"75-90")</f>
        <v>30-44</v>
      </c>
      <c r="M2032" t="str">
        <f>IF(Table1[[#This Row],[length_of_stay_days]]&gt;7,"Yes","No")</f>
        <v>Yes</v>
      </c>
    </row>
    <row r="2033" spans="1:13" x14ac:dyDescent="0.3">
      <c r="A2033" t="s">
        <v>2432</v>
      </c>
      <c r="B2033">
        <v>79</v>
      </c>
      <c r="C2033" t="s">
        <v>20</v>
      </c>
      <c r="D2033" t="s">
        <v>51</v>
      </c>
      <c r="E2033" t="s">
        <v>28</v>
      </c>
      <c r="F2033" t="s">
        <v>509</v>
      </c>
      <c r="G2033" t="s">
        <v>491</v>
      </c>
      <c r="H2033">
        <v>5</v>
      </c>
      <c r="I2033" s="1">
        <v>7774.45</v>
      </c>
      <c r="J2033" t="s">
        <v>17</v>
      </c>
      <c r="K2033" t="s">
        <v>18</v>
      </c>
      <c r="L2033" t="str" cm="1">
        <f t="array" ref="L2033">_xlfn.IFS(B2033&lt;30,"18-29",B2033&lt;45,"30-44",B2033&lt;60,"45-59",B2033&lt;75,"60-74",B2033&lt;=90,"75-90")</f>
        <v>75-90</v>
      </c>
      <c r="M2033" t="str">
        <f>IF(Table1[[#This Row],[length_of_stay_days]]&gt;7,"Yes","No")</f>
        <v>No</v>
      </c>
    </row>
    <row r="2034" spans="1:13" x14ac:dyDescent="0.3">
      <c r="A2034" t="s">
        <v>2433</v>
      </c>
      <c r="B2034">
        <v>90</v>
      </c>
      <c r="C2034" t="s">
        <v>12</v>
      </c>
      <c r="D2034" t="s">
        <v>55</v>
      </c>
      <c r="E2034" t="s">
        <v>28</v>
      </c>
      <c r="F2034" t="s">
        <v>532</v>
      </c>
      <c r="G2034" t="s">
        <v>623</v>
      </c>
      <c r="H2034">
        <v>6</v>
      </c>
      <c r="I2034" s="1">
        <v>8419.09</v>
      </c>
      <c r="J2034" t="s">
        <v>17</v>
      </c>
      <c r="K2034" t="s">
        <v>18</v>
      </c>
      <c r="L2034" t="str" cm="1">
        <f t="array" ref="L2034">_xlfn.IFS(B2034&lt;30,"18-29",B2034&lt;45,"30-44",B2034&lt;60,"45-59",B2034&lt;75,"60-74",B2034&lt;=90,"75-90")</f>
        <v>75-90</v>
      </c>
      <c r="M2034" t="str">
        <f>IF(Table1[[#This Row],[length_of_stay_days]]&gt;7,"Yes","No")</f>
        <v>No</v>
      </c>
    </row>
    <row r="2035" spans="1:13" x14ac:dyDescent="0.3">
      <c r="A2035" t="s">
        <v>2434</v>
      </c>
      <c r="B2035">
        <v>49</v>
      </c>
      <c r="C2035" t="s">
        <v>12</v>
      </c>
      <c r="D2035" t="s">
        <v>46</v>
      </c>
      <c r="E2035" t="s">
        <v>28</v>
      </c>
      <c r="F2035" t="s">
        <v>646</v>
      </c>
      <c r="G2035" t="s">
        <v>67</v>
      </c>
      <c r="H2035">
        <v>9</v>
      </c>
      <c r="I2035" s="1">
        <v>14336.35</v>
      </c>
      <c r="J2035" t="s">
        <v>49</v>
      </c>
      <c r="K2035" t="s">
        <v>18</v>
      </c>
      <c r="L2035" t="str" cm="1">
        <f t="array" ref="L2035">_xlfn.IFS(B2035&lt;30,"18-29",B2035&lt;45,"30-44",B2035&lt;60,"45-59",B2035&lt;75,"60-74",B2035&lt;=90,"75-90")</f>
        <v>45-59</v>
      </c>
      <c r="M2035" t="str">
        <f>IF(Table1[[#This Row],[length_of_stay_days]]&gt;7,"Yes","No")</f>
        <v>Yes</v>
      </c>
    </row>
    <row r="2036" spans="1:13" x14ac:dyDescent="0.3">
      <c r="A2036" t="s">
        <v>2435</v>
      </c>
      <c r="B2036">
        <v>32</v>
      </c>
      <c r="C2036" t="s">
        <v>12</v>
      </c>
      <c r="D2036" t="s">
        <v>55</v>
      </c>
      <c r="E2036" t="s">
        <v>28</v>
      </c>
      <c r="F2036" t="s">
        <v>234</v>
      </c>
      <c r="G2036" t="s">
        <v>372</v>
      </c>
      <c r="H2036">
        <v>4</v>
      </c>
      <c r="I2036" s="1">
        <v>7284.07</v>
      </c>
      <c r="J2036" t="s">
        <v>17</v>
      </c>
      <c r="K2036" t="s">
        <v>18</v>
      </c>
      <c r="L2036" t="str" cm="1">
        <f t="array" ref="L2036">_xlfn.IFS(B2036&lt;30,"18-29",B2036&lt;45,"30-44",B2036&lt;60,"45-59",B2036&lt;75,"60-74",B2036&lt;=90,"75-90")</f>
        <v>30-44</v>
      </c>
      <c r="M2036" t="str">
        <f>IF(Table1[[#This Row],[length_of_stay_days]]&gt;7,"Yes","No")</f>
        <v>No</v>
      </c>
    </row>
    <row r="2037" spans="1:13" x14ac:dyDescent="0.3">
      <c r="A2037" t="s">
        <v>2436</v>
      </c>
      <c r="B2037">
        <v>30</v>
      </c>
      <c r="C2037" t="s">
        <v>20</v>
      </c>
      <c r="D2037" t="s">
        <v>13</v>
      </c>
      <c r="E2037" t="s">
        <v>28</v>
      </c>
      <c r="F2037" t="s">
        <v>138</v>
      </c>
      <c r="G2037" t="s">
        <v>701</v>
      </c>
      <c r="H2037">
        <v>6</v>
      </c>
      <c r="I2037" s="1">
        <v>3738.66</v>
      </c>
      <c r="J2037" t="s">
        <v>17</v>
      </c>
      <c r="K2037" t="s">
        <v>18</v>
      </c>
      <c r="L2037" t="str" cm="1">
        <f t="array" ref="L2037">_xlfn.IFS(B2037&lt;30,"18-29",B2037&lt;45,"30-44",B2037&lt;60,"45-59",B2037&lt;75,"60-74",B2037&lt;=90,"75-90")</f>
        <v>30-44</v>
      </c>
      <c r="M2037" t="str">
        <f>IF(Table1[[#This Row],[length_of_stay_days]]&gt;7,"Yes","No")</f>
        <v>No</v>
      </c>
    </row>
    <row r="2038" spans="1:13" x14ac:dyDescent="0.3">
      <c r="A2038" t="s">
        <v>2437</v>
      </c>
      <c r="B2038">
        <v>27</v>
      </c>
      <c r="C2038" t="s">
        <v>20</v>
      </c>
      <c r="D2038" t="s">
        <v>13</v>
      </c>
      <c r="E2038" t="s">
        <v>28</v>
      </c>
      <c r="F2038" t="s">
        <v>562</v>
      </c>
      <c r="G2038" t="s">
        <v>530</v>
      </c>
      <c r="H2038">
        <v>5</v>
      </c>
      <c r="I2038" s="1">
        <v>6534.65</v>
      </c>
      <c r="J2038" t="s">
        <v>17</v>
      </c>
      <c r="K2038" t="s">
        <v>18</v>
      </c>
      <c r="L2038" t="str" cm="1">
        <f t="array" ref="L2038">_xlfn.IFS(B2038&lt;30,"18-29",B2038&lt;45,"30-44",B2038&lt;60,"45-59",B2038&lt;75,"60-74",B2038&lt;=90,"75-90")</f>
        <v>18-29</v>
      </c>
      <c r="M2038" t="str">
        <f>IF(Table1[[#This Row],[length_of_stay_days]]&gt;7,"Yes","No")</f>
        <v>No</v>
      </c>
    </row>
    <row r="2039" spans="1:13" x14ac:dyDescent="0.3">
      <c r="A2039" t="s">
        <v>2438</v>
      </c>
      <c r="B2039">
        <v>56</v>
      </c>
      <c r="C2039" t="s">
        <v>12</v>
      </c>
      <c r="D2039" t="s">
        <v>28</v>
      </c>
      <c r="E2039" t="s">
        <v>28</v>
      </c>
      <c r="F2039" t="s">
        <v>186</v>
      </c>
      <c r="G2039" t="s">
        <v>591</v>
      </c>
      <c r="H2039">
        <v>6</v>
      </c>
      <c r="I2039" s="1">
        <v>7777.17</v>
      </c>
      <c r="J2039" t="s">
        <v>17</v>
      </c>
      <c r="K2039" t="s">
        <v>223</v>
      </c>
      <c r="L2039" t="str" cm="1">
        <f t="array" ref="L2039">_xlfn.IFS(B2039&lt;30,"18-29",B2039&lt;45,"30-44",B2039&lt;60,"45-59",B2039&lt;75,"60-74",B2039&lt;=90,"75-90")</f>
        <v>45-59</v>
      </c>
      <c r="M2039" t="str">
        <f>IF(Table1[[#This Row],[length_of_stay_days]]&gt;7,"Yes","No")</f>
        <v>No</v>
      </c>
    </row>
    <row r="2040" spans="1:13" x14ac:dyDescent="0.3">
      <c r="A2040" t="s">
        <v>2439</v>
      </c>
      <c r="B2040">
        <v>62</v>
      </c>
      <c r="C2040" t="s">
        <v>12</v>
      </c>
      <c r="D2040" t="s">
        <v>32</v>
      </c>
      <c r="E2040" t="s">
        <v>21</v>
      </c>
      <c r="F2040" t="s">
        <v>80</v>
      </c>
      <c r="G2040" t="s">
        <v>165</v>
      </c>
      <c r="H2040">
        <v>2</v>
      </c>
      <c r="I2040" s="1">
        <v>6034.79</v>
      </c>
      <c r="J2040" t="s">
        <v>17</v>
      </c>
      <c r="K2040" t="s">
        <v>18</v>
      </c>
      <c r="L2040" t="str" cm="1">
        <f t="array" ref="L2040">_xlfn.IFS(B2040&lt;30,"18-29",B2040&lt;45,"30-44",B2040&lt;60,"45-59",B2040&lt;75,"60-74",B2040&lt;=90,"75-90")</f>
        <v>60-74</v>
      </c>
      <c r="M2040" t="str">
        <f>IF(Table1[[#This Row],[length_of_stay_days]]&gt;7,"Yes","No")</f>
        <v>No</v>
      </c>
    </row>
    <row r="2041" spans="1:13" x14ac:dyDescent="0.3">
      <c r="A2041" t="s">
        <v>2440</v>
      </c>
      <c r="B2041">
        <v>70</v>
      </c>
      <c r="C2041" t="s">
        <v>12</v>
      </c>
      <c r="D2041" t="s">
        <v>55</v>
      </c>
      <c r="E2041" t="s">
        <v>28</v>
      </c>
      <c r="F2041" t="s">
        <v>1135</v>
      </c>
      <c r="G2041" t="s">
        <v>485</v>
      </c>
      <c r="H2041">
        <v>7</v>
      </c>
      <c r="I2041" s="1">
        <v>9913.99</v>
      </c>
      <c r="J2041" t="s">
        <v>49</v>
      </c>
      <c r="K2041" t="s">
        <v>18</v>
      </c>
      <c r="L2041" t="str" cm="1">
        <f t="array" ref="L2041">_xlfn.IFS(B2041&lt;30,"18-29",B2041&lt;45,"30-44",B2041&lt;60,"45-59",B2041&lt;75,"60-74",B2041&lt;=90,"75-90")</f>
        <v>60-74</v>
      </c>
      <c r="M2041" t="str">
        <f>IF(Table1[[#This Row],[length_of_stay_days]]&gt;7,"Yes","No")</f>
        <v>No</v>
      </c>
    </row>
    <row r="2042" spans="1:13" x14ac:dyDescent="0.3">
      <c r="A2042" t="s">
        <v>2441</v>
      </c>
      <c r="B2042">
        <v>50</v>
      </c>
      <c r="C2042" t="s">
        <v>20</v>
      </c>
      <c r="D2042" t="s">
        <v>28</v>
      </c>
      <c r="E2042" t="s">
        <v>28</v>
      </c>
      <c r="F2042" t="s">
        <v>337</v>
      </c>
      <c r="G2042" t="s">
        <v>430</v>
      </c>
      <c r="H2042">
        <v>8</v>
      </c>
      <c r="I2042" s="1">
        <v>4901.87</v>
      </c>
      <c r="J2042" t="s">
        <v>17</v>
      </c>
      <c r="K2042" t="s">
        <v>18</v>
      </c>
      <c r="L2042" t="str" cm="1">
        <f t="array" ref="L2042">_xlfn.IFS(B2042&lt;30,"18-29",B2042&lt;45,"30-44",B2042&lt;60,"45-59",B2042&lt;75,"60-74",B2042&lt;=90,"75-90")</f>
        <v>45-59</v>
      </c>
      <c r="M2042" t="str">
        <f>IF(Table1[[#This Row],[length_of_stay_days]]&gt;7,"Yes","No")</f>
        <v>Yes</v>
      </c>
    </row>
    <row r="2043" spans="1:13" x14ac:dyDescent="0.3">
      <c r="A2043" t="s">
        <v>2442</v>
      </c>
      <c r="B2043">
        <v>32</v>
      </c>
      <c r="C2043" t="s">
        <v>20</v>
      </c>
      <c r="D2043" t="s">
        <v>32</v>
      </c>
      <c r="E2043" t="s">
        <v>14</v>
      </c>
      <c r="F2043" t="s">
        <v>378</v>
      </c>
      <c r="G2043" t="s">
        <v>140</v>
      </c>
      <c r="H2043">
        <v>5</v>
      </c>
      <c r="I2043" s="1">
        <v>11058.08</v>
      </c>
      <c r="J2043" t="s">
        <v>17</v>
      </c>
      <c r="K2043" t="s">
        <v>18</v>
      </c>
      <c r="L2043" t="str" cm="1">
        <f t="array" ref="L2043">_xlfn.IFS(B2043&lt;30,"18-29",B2043&lt;45,"30-44",B2043&lt;60,"45-59",B2043&lt;75,"60-74",B2043&lt;=90,"75-90")</f>
        <v>30-44</v>
      </c>
      <c r="M2043" t="str">
        <f>IF(Table1[[#This Row],[length_of_stay_days]]&gt;7,"Yes","No")</f>
        <v>No</v>
      </c>
    </row>
    <row r="2044" spans="1:13" x14ac:dyDescent="0.3">
      <c r="A2044" t="s">
        <v>2443</v>
      </c>
      <c r="B2044">
        <v>35</v>
      </c>
      <c r="C2044" t="s">
        <v>20</v>
      </c>
      <c r="D2044" t="s">
        <v>28</v>
      </c>
      <c r="E2044" t="s">
        <v>14</v>
      </c>
      <c r="F2044" t="s">
        <v>596</v>
      </c>
      <c r="G2044" t="s">
        <v>99</v>
      </c>
      <c r="H2044">
        <v>6</v>
      </c>
      <c r="I2044" s="1">
        <v>5501.37</v>
      </c>
      <c r="J2044" t="s">
        <v>17</v>
      </c>
      <c r="K2044" t="s">
        <v>18</v>
      </c>
      <c r="L2044" t="str" cm="1">
        <f t="array" ref="L2044">_xlfn.IFS(B2044&lt;30,"18-29",B2044&lt;45,"30-44",B2044&lt;60,"45-59",B2044&lt;75,"60-74",B2044&lt;=90,"75-90")</f>
        <v>30-44</v>
      </c>
      <c r="M2044" t="str">
        <f>IF(Table1[[#This Row],[length_of_stay_days]]&gt;7,"Yes","No")</f>
        <v>No</v>
      </c>
    </row>
    <row r="2045" spans="1:13" x14ac:dyDescent="0.3">
      <c r="A2045" t="s">
        <v>2444</v>
      </c>
      <c r="B2045">
        <v>62</v>
      </c>
      <c r="C2045" t="s">
        <v>20</v>
      </c>
      <c r="D2045" t="s">
        <v>13</v>
      </c>
      <c r="E2045" t="s">
        <v>21</v>
      </c>
      <c r="F2045" t="s">
        <v>372</v>
      </c>
      <c r="G2045" t="s">
        <v>574</v>
      </c>
      <c r="H2045">
        <v>6</v>
      </c>
      <c r="I2045" s="1">
        <v>9416.66</v>
      </c>
      <c r="J2045" t="s">
        <v>17</v>
      </c>
      <c r="K2045" t="s">
        <v>18</v>
      </c>
      <c r="L2045" t="str" cm="1">
        <f t="array" ref="L2045">_xlfn.IFS(B2045&lt;30,"18-29",B2045&lt;45,"30-44",B2045&lt;60,"45-59",B2045&lt;75,"60-74",B2045&lt;=90,"75-90")</f>
        <v>60-74</v>
      </c>
      <c r="M2045" t="str">
        <f>IF(Table1[[#This Row],[length_of_stay_days]]&gt;7,"Yes","No")</f>
        <v>No</v>
      </c>
    </row>
    <row r="2046" spans="1:13" x14ac:dyDescent="0.3">
      <c r="A2046" t="s">
        <v>2445</v>
      </c>
      <c r="B2046">
        <v>19</v>
      </c>
      <c r="C2046" t="s">
        <v>12</v>
      </c>
      <c r="D2046" t="s">
        <v>46</v>
      </c>
      <c r="E2046" t="s">
        <v>21</v>
      </c>
      <c r="F2046" t="s">
        <v>481</v>
      </c>
      <c r="G2046" t="s">
        <v>68</v>
      </c>
      <c r="H2046">
        <v>10</v>
      </c>
      <c r="I2046" s="1">
        <v>17109.98</v>
      </c>
      <c r="J2046" t="s">
        <v>17</v>
      </c>
      <c r="K2046" t="s">
        <v>18</v>
      </c>
      <c r="L2046" t="str" cm="1">
        <f t="array" ref="L2046">_xlfn.IFS(B2046&lt;30,"18-29",B2046&lt;45,"30-44",B2046&lt;60,"45-59",B2046&lt;75,"60-74",B2046&lt;=90,"75-90")</f>
        <v>18-29</v>
      </c>
      <c r="M2046" t="str">
        <f>IF(Table1[[#This Row],[length_of_stay_days]]&gt;7,"Yes","No")</f>
        <v>Yes</v>
      </c>
    </row>
    <row r="2047" spans="1:13" x14ac:dyDescent="0.3">
      <c r="A2047" t="s">
        <v>2446</v>
      </c>
      <c r="B2047">
        <v>27</v>
      </c>
      <c r="C2047" t="s">
        <v>20</v>
      </c>
      <c r="D2047" t="s">
        <v>32</v>
      </c>
      <c r="E2047" t="s">
        <v>21</v>
      </c>
      <c r="F2047" t="s">
        <v>613</v>
      </c>
      <c r="G2047" t="s">
        <v>821</v>
      </c>
      <c r="H2047">
        <v>5</v>
      </c>
      <c r="I2047" s="1">
        <v>10649.87</v>
      </c>
      <c r="J2047" t="s">
        <v>17</v>
      </c>
      <c r="K2047" t="s">
        <v>18</v>
      </c>
      <c r="L2047" t="str" cm="1">
        <f t="array" ref="L2047">_xlfn.IFS(B2047&lt;30,"18-29",B2047&lt;45,"30-44",B2047&lt;60,"45-59",B2047&lt;75,"60-74",B2047&lt;=90,"75-90")</f>
        <v>18-29</v>
      </c>
      <c r="M2047" t="str">
        <f>IF(Table1[[#This Row],[length_of_stay_days]]&gt;7,"Yes","No")</f>
        <v>No</v>
      </c>
    </row>
    <row r="2048" spans="1:13" x14ac:dyDescent="0.3">
      <c r="A2048" t="s">
        <v>2447</v>
      </c>
      <c r="B2048">
        <v>79</v>
      </c>
      <c r="C2048" t="s">
        <v>12</v>
      </c>
      <c r="D2048" t="s">
        <v>28</v>
      </c>
      <c r="E2048" t="s">
        <v>21</v>
      </c>
      <c r="F2048" t="s">
        <v>309</v>
      </c>
      <c r="G2048" t="s">
        <v>317</v>
      </c>
      <c r="H2048">
        <v>7</v>
      </c>
      <c r="I2048" s="1">
        <v>7544.15</v>
      </c>
      <c r="J2048" t="s">
        <v>17</v>
      </c>
      <c r="K2048" t="s">
        <v>18</v>
      </c>
      <c r="L2048" t="str" cm="1">
        <f t="array" ref="L2048">_xlfn.IFS(B2048&lt;30,"18-29",B2048&lt;45,"30-44",B2048&lt;60,"45-59",B2048&lt;75,"60-74",B2048&lt;=90,"75-90")</f>
        <v>75-90</v>
      </c>
      <c r="M2048" t="str">
        <f>IF(Table1[[#This Row],[length_of_stay_days]]&gt;7,"Yes","No")</f>
        <v>No</v>
      </c>
    </row>
    <row r="2049" spans="1:13" x14ac:dyDescent="0.3">
      <c r="A2049" t="s">
        <v>2448</v>
      </c>
      <c r="B2049">
        <v>57</v>
      </c>
      <c r="C2049" t="s">
        <v>20</v>
      </c>
      <c r="D2049" t="s">
        <v>55</v>
      </c>
      <c r="E2049" t="s">
        <v>28</v>
      </c>
      <c r="F2049" t="s">
        <v>520</v>
      </c>
      <c r="G2049" t="s">
        <v>166</v>
      </c>
      <c r="H2049">
        <v>7</v>
      </c>
      <c r="I2049" s="1">
        <v>11181.88</v>
      </c>
      <c r="J2049" t="s">
        <v>17</v>
      </c>
      <c r="K2049" t="s">
        <v>18</v>
      </c>
      <c r="L2049" t="str" cm="1">
        <f t="array" ref="L2049">_xlfn.IFS(B2049&lt;30,"18-29",B2049&lt;45,"30-44",B2049&lt;60,"45-59",B2049&lt;75,"60-74",B2049&lt;=90,"75-90")</f>
        <v>45-59</v>
      </c>
      <c r="M2049" t="str">
        <f>IF(Table1[[#This Row],[length_of_stay_days]]&gt;7,"Yes","No")</f>
        <v>No</v>
      </c>
    </row>
    <row r="2050" spans="1:13" x14ac:dyDescent="0.3">
      <c r="A2050" t="s">
        <v>2449</v>
      </c>
      <c r="B2050">
        <v>24</v>
      </c>
      <c r="C2050" t="s">
        <v>20</v>
      </c>
      <c r="D2050" t="s">
        <v>13</v>
      </c>
      <c r="E2050" t="s">
        <v>28</v>
      </c>
      <c r="F2050" t="s">
        <v>243</v>
      </c>
      <c r="G2050" t="s">
        <v>366</v>
      </c>
      <c r="H2050">
        <v>1</v>
      </c>
      <c r="I2050" s="1">
        <v>3246.45</v>
      </c>
      <c r="J2050" t="s">
        <v>17</v>
      </c>
      <c r="K2050" t="s">
        <v>18</v>
      </c>
      <c r="L2050" t="str" cm="1">
        <f t="array" ref="L2050">_xlfn.IFS(B2050&lt;30,"18-29",B2050&lt;45,"30-44",B2050&lt;60,"45-59",B2050&lt;75,"60-74",B2050&lt;=90,"75-90")</f>
        <v>18-29</v>
      </c>
      <c r="M2050" t="str">
        <f>IF(Table1[[#This Row],[length_of_stay_days]]&gt;7,"Yes","No")</f>
        <v>No</v>
      </c>
    </row>
    <row r="2051" spans="1:13" x14ac:dyDescent="0.3">
      <c r="A2051" t="s">
        <v>2450</v>
      </c>
      <c r="B2051">
        <v>72</v>
      </c>
      <c r="C2051" t="s">
        <v>12</v>
      </c>
      <c r="D2051" t="s">
        <v>13</v>
      </c>
      <c r="E2051" t="s">
        <v>28</v>
      </c>
      <c r="F2051" t="s">
        <v>364</v>
      </c>
      <c r="G2051" t="s">
        <v>101</v>
      </c>
      <c r="H2051">
        <v>3</v>
      </c>
      <c r="I2051" s="1">
        <v>5539.22</v>
      </c>
      <c r="J2051" t="s">
        <v>17</v>
      </c>
      <c r="K2051" t="s">
        <v>18</v>
      </c>
      <c r="L2051" t="str" cm="1">
        <f t="array" ref="L2051">_xlfn.IFS(B2051&lt;30,"18-29",B2051&lt;45,"30-44",B2051&lt;60,"45-59",B2051&lt;75,"60-74",B2051&lt;=90,"75-90")</f>
        <v>60-74</v>
      </c>
      <c r="M2051" t="str">
        <f>IF(Table1[[#This Row],[length_of_stay_days]]&gt;7,"Yes","No")</f>
        <v>No</v>
      </c>
    </row>
    <row r="2052" spans="1:13" x14ac:dyDescent="0.3">
      <c r="A2052" t="s">
        <v>2451</v>
      </c>
      <c r="B2052">
        <v>37</v>
      </c>
      <c r="C2052" t="s">
        <v>20</v>
      </c>
      <c r="D2052" t="s">
        <v>13</v>
      </c>
      <c r="E2052" t="s">
        <v>28</v>
      </c>
      <c r="F2052" t="s">
        <v>504</v>
      </c>
      <c r="G2052" t="s">
        <v>360</v>
      </c>
      <c r="H2052">
        <v>7</v>
      </c>
      <c r="I2052" s="1">
        <v>7471.27</v>
      </c>
      <c r="J2052" t="s">
        <v>17</v>
      </c>
      <c r="K2052" t="s">
        <v>18</v>
      </c>
      <c r="L2052" t="str" cm="1">
        <f t="array" ref="L2052">_xlfn.IFS(B2052&lt;30,"18-29",B2052&lt;45,"30-44",B2052&lt;60,"45-59",B2052&lt;75,"60-74",B2052&lt;=90,"75-90")</f>
        <v>30-44</v>
      </c>
      <c r="M2052" t="str">
        <f>IF(Table1[[#This Row],[length_of_stay_days]]&gt;7,"Yes","No")</f>
        <v>No</v>
      </c>
    </row>
    <row r="2053" spans="1:13" x14ac:dyDescent="0.3">
      <c r="A2053" t="s">
        <v>2452</v>
      </c>
      <c r="B2053">
        <v>83</v>
      </c>
      <c r="C2053" t="s">
        <v>12</v>
      </c>
      <c r="D2053" t="s">
        <v>55</v>
      </c>
      <c r="E2053" t="s">
        <v>14</v>
      </c>
      <c r="F2053" t="s">
        <v>604</v>
      </c>
      <c r="G2053" t="s">
        <v>74</v>
      </c>
      <c r="H2053">
        <v>5</v>
      </c>
      <c r="I2053" s="1">
        <v>6542.65</v>
      </c>
      <c r="J2053" t="s">
        <v>17</v>
      </c>
      <c r="K2053" t="s">
        <v>18</v>
      </c>
      <c r="L2053" t="str" cm="1">
        <f t="array" ref="L2053">_xlfn.IFS(B2053&lt;30,"18-29",B2053&lt;45,"30-44",B2053&lt;60,"45-59",B2053&lt;75,"60-74",B2053&lt;=90,"75-90")</f>
        <v>75-90</v>
      </c>
      <c r="M2053" t="str">
        <f>IF(Table1[[#This Row],[length_of_stay_days]]&gt;7,"Yes","No")</f>
        <v>No</v>
      </c>
    </row>
    <row r="2054" spans="1:13" x14ac:dyDescent="0.3">
      <c r="A2054" t="s">
        <v>2453</v>
      </c>
      <c r="B2054">
        <v>84</v>
      </c>
      <c r="C2054" t="s">
        <v>20</v>
      </c>
      <c r="D2054" t="s">
        <v>55</v>
      </c>
      <c r="E2054" t="s">
        <v>14</v>
      </c>
      <c r="F2054" t="s">
        <v>807</v>
      </c>
      <c r="G2054" t="s">
        <v>34</v>
      </c>
      <c r="H2054">
        <v>7</v>
      </c>
      <c r="I2054" s="1">
        <v>10561.51</v>
      </c>
      <c r="J2054" t="s">
        <v>49</v>
      </c>
      <c r="K2054" t="s">
        <v>18</v>
      </c>
      <c r="L2054" t="str" cm="1">
        <f t="array" ref="L2054">_xlfn.IFS(B2054&lt;30,"18-29",B2054&lt;45,"30-44",B2054&lt;60,"45-59",B2054&lt;75,"60-74",B2054&lt;=90,"75-90")</f>
        <v>75-90</v>
      </c>
      <c r="M2054" t="str">
        <f>IF(Table1[[#This Row],[length_of_stay_days]]&gt;7,"Yes","No")</f>
        <v>No</v>
      </c>
    </row>
    <row r="2055" spans="1:13" x14ac:dyDescent="0.3">
      <c r="A2055" t="s">
        <v>2454</v>
      </c>
      <c r="B2055">
        <v>86</v>
      </c>
      <c r="C2055" t="s">
        <v>12</v>
      </c>
      <c r="D2055" t="s">
        <v>32</v>
      </c>
      <c r="E2055" t="s">
        <v>28</v>
      </c>
      <c r="F2055" t="s">
        <v>350</v>
      </c>
      <c r="G2055" t="s">
        <v>285</v>
      </c>
      <c r="H2055">
        <v>8</v>
      </c>
      <c r="I2055" s="1">
        <v>13540.08</v>
      </c>
      <c r="J2055" t="s">
        <v>17</v>
      </c>
      <c r="K2055" t="s">
        <v>18</v>
      </c>
      <c r="L2055" t="str" cm="1">
        <f t="array" ref="L2055">_xlfn.IFS(B2055&lt;30,"18-29",B2055&lt;45,"30-44",B2055&lt;60,"45-59",B2055&lt;75,"60-74",B2055&lt;=90,"75-90")</f>
        <v>75-90</v>
      </c>
      <c r="M2055" t="str">
        <f>IF(Table1[[#This Row],[length_of_stay_days]]&gt;7,"Yes","No")</f>
        <v>Yes</v>
      </c>
    </row>
    <row r="2056" spans="1:13" x14ac:dyDescent="0.3">
      <c r="A2056" t="s">
        <v>2455</v>
      </c>
      <c r="B2056">
        <v>78</v>
      </c>
      <c r="C2056" t="s">
        <v>20</v>
      </c>
      <c r="D2056" t="s">
        <v>51</v>
      </c>
      <c r="E2056" t="s">
        <v>28</v>
      </c>
      <c r="F2056" t="s">
        <v>1207</v>
      </c>
      <c r="G2056" t="s">
        <v>241</v>
      </c>
      <c r="H2056">
        <v>6</v>
      </c>
      <c r="I2056" s="1">
        <v>10627.05</v>
      </c>
      <c r="J2056" t="s">
        <v>49</v>
      </c>
      <c r="K2056" t="s">
        <v>18</v>
      </c>
      <c r="L2056" t="str" cm="1">
        <f t="array" ref="L2056">_xlfn.IFS(B2056&lt;30,"18-29",B2056&lt;45,"30-44",B2056&lt;60,"45-59",B2056&lt;75,"60-74",B2056&lt;=90,"75-90")</f>
        <v>75-90</v>
      </c>
      <c r="M2056" t="str">
        <f>IF(Table1[[#This Row],[length_of_stay_days]]&gt;7,"Yes","No")</f>
        <v>No</v>
      </c>
    </row>
    <row r="2057" spans="1:13" x14ac:dyDescent="0.3">
      <c r="A2057" t="s">
        <v>2456</v>
      </c>
      <c r="B2057">
        <v>90</v>
      </c>
      <c r="C2057" t="s">
        <v>20</v>
      </c>
      <c r="D2057" t="s">
        <v>13</v>
      </c>
      <c r="E2057" t="s">
        <v>21</v>
      </c>
      <c r="F2057" t="s">
        <v>879</v>
      </c>
      <c r="G2057" t="s">
        <v>306</v>
      </c>
      <c r="H2057">
        <v>7</v>
      </c>
      <c r="I2057" s="1">
        <v>7717.41</v>
      </c>
      <c r="J2057" t="s">
        <v>49</v>
      </c>
      <c r="K2057" t="s">
        <v>18</v>
      </c>
      <c r="L2057" t="str" cm="1">
        <f t="array" ref="L2057">_xlfn.IFS(B2057&lt;30,"18-29",B2057&lt;45,"30-44",B2057&lt;60,"45-59",B2057&lt;75,"60-74",B2057&lt;=90,"75-90")</f>
        <v>75-90</v>
      </c>
      <c r="M2057" t="str">
        <f>IF(Table1[[#This Row],[length_of_stay_days]]&gt;7,"Yes","No")</f>
        <v>No</v>
      </c>
    </row>
    <row r="2058" spans="1:13" x14ac:dyDescent="0.3">
      <c r="A2058" t="s">
        <v>2457</v>
      </c>
      <c r="B2058">
        <v>84</v>
      </c>
      <c r="C2058" t="s">
        <v>12</v>
      </c>
      <c r="D2058" t="s">
        <v>46</v>
      </c>
      <c r="E2058" t="s">
        <v>21</v>
      </c>
      <c r="F2058" t="s">
        <v>1018</v>
      </c>
      <c r="H2058">
        <v>10</v>
      </c>
      <c r="I2058" s="1">
        <v>16928.240000000002</v>
      </c>
      <c r="J2058" t="s">
        <v>17</v>
      </c>
      <c r="K2058" t="s">
        <v>18</v>
      </c>
      <c r="L2058" t="str" cm="1">
        <f t="array" ref="L2058">_xlfn.IFS(B2058&lt;30,"18-29",B2058&lt;45,"30-44",B2058&lt;60,"45-59",B2058&lt;75,"60-74",B2058&lt;=90,"75-90")</f>
        <v>75-90</v>
      </c>
      <c r="M2058" t="str">
        <f>IF(Table1[[#This Row],[length_of_stay_days]]&gt;7,"Yes","No")</f>
        <v>Yes</v>
      </c>
    </row>
    <row r="2059" spans="1:13" x14ac:dyDescent="0.3">
      <c r="A2059" t="s">
        <v>2458</v>
      </c>
      <c r="B2059">
        <v>76</v>
      </c>
      <c r="C2059" t="s">
        <v>20</v>
      </c>
      <c r="D2059" t="s">
        <v>28</v>
      </c>
      <c r="E2059" t="s">
        <v>21</v>
      </c>
      <c r="F2059" t="s">
        <v>282</v>
      </c>
      <c r="G2059" t="s">
        <v>146</v>
      </c>
      <c r="H2059">
        <v>3</v>
      </c>
      <c r="I2059" s="1">
        <v>4176.99</v>
      </c>
      <c r="J2059" t="s">
        <v>17</v>
      </c>
      <c r="K2059" t="s">
        <v>18</v>
      </c>
      <c r="L2059" t="str" cm="1">
        <f t="array" ref="L2059">_xlfn.IFS(B2059&lt;30,"18-29",B2059&lt;45,"30-44",B2059&lt;60,"45-59",B2059&lt;75,"60-74",B2059&lt;=90,"75-90")</f>
        <v>75-90</v>
      </c>
      <c r="M2059" t="str">
        <f>IF(Table1[[#This Row],[length_of_stay_days]]&gt;7,"Yes","No")</f>
        <v>No</v>
      </c>
    </row>
    <row r="2060" spans="1:13" x14ac:dyDescent="0.3">
      <c r="A2060" t="s">
        <v>2459</v>
      </c>
      <c r="B2060">
        <v>33</v>
      </c>
      <c r="C2060" t="s">
        <v>12</v>
      </c>
      <c r="D2060" t="s">
        <v>28</v>
      </c>
      <c r="E2060" t="s">
        <v>28</v>
      </c>
      <c r="F2060" t="s">
        <v>96</v>
      </c>
      <c r="G2060" t="s">
        <v>384</v>
      </c>
      <c r="H2060">
        <v>2</v>
      </c>
      <c r="I2060" s="1">
        <v>3727.09</v>
      </c>
      <c r="J2060" t="s">
        <v>17</v>
      </c>
      <c r="K2060" t="s">
        <v>18</v>
      </c>
      <c r="L2060" t="str" cm="1">
        <f t="array" ref="L2060">_xlfn.IFS(B2060&lt;30,"18-29",B2060&lt;45,"30-44",B2060&lt;60,"45-59",B2060&lt;75,"60-74",B2060&lt;=90,"75-90")</f>
        <v>30-44</v>
      </c>
      <c r="M2060" t="str">
        <f>IF(Table1[[#This Row],[length_of_stay_days]]&gt;7,"Yes","No")</f>
        <v>No</v>
      </c>
    </row>
    <row r="2061" spans="1:13" x14ac:dyDescent="0.3">
      <c r="A2061" t="s">
        <v>2460</v>
      </c>
      <c r="B2061">
        <v>26</v>
      </c>
      <c r="C2061" t="s">
        <v>12</v>
      </c>
      <c r="D2061" t="s">
        <v>32</v>
      </c>
      <c r="E2061" t="s">
        <v>28</v>
      </c>
      <c r="F2061" t="s">
        <v>26</v>
      </c>
      <c r="G2061" t="s">
        <v>537</v>
      </c>
      <c r="H2061">
        <v>2</v>
      </c>
      <c r="I2061" s="1">
        <v>9488.86</v>
      </c>
      <c r="J2061" t="s">
        <v>49</v>
      </c>
      <c r="K2061" t="s">
        <v>18</v>
      </c>
      <c r="L2061" t="str" cm="1">
        <f t="array" ref="L2061">_xlfn.IFS(B2061&lt;30,"18-29",B2061&lt;45,"30-44",B2061&lt;60,"45-59",B2061&lt;75,"60-74",B2061&lt;=90,"75-90")</f>
        <v>18-29</v>
      </c>
      <c r="M2061" t="str">
        <f>IF(Table1[[#This Row],[length_of_stay_days]]&gt;7,"Yes","No")</f>
        <v>No</v>
      </c>
    </row>
    <row r="2062" spans="1:13" x14ac:dyDescent="0.3">
      <c r="A2062" t="s">
        <v>2461</v>
      </c>
      <c r="B2062">
        <v>59</v>
      </c>
      <c r="C2062" t="s">
        <v>20</v>
      </c>
      <c r="D2062" t="s">
        <v>13</v>
      </c>
      <c r="E2062" t="s">
        <v>28</v>
      </c>
      <c r="F2062" t="s">
        <v>975</v>
      </c>
      <c r="G2062" t="s">
        <v>558</v>
      </c>
      <c r="H2062">
        <v>4</v>
      </c>
      <c r="I2062" s="1">
        <v>4909.28</v>
      </c>
      <c r="J2062" t="s">
        <v>17</v>
      </c>
      <c r="K2062" t="s">
        <v>18</v>
      </c>
      <c r="L2062" t="str" cm="1">
        <f t="array" ref="L2062">_xlfn.IFS(B2062&lt;30,"18-29",B2062&lt;45,"30-44",B2062&lt;60,"45-59",B2062&lt;75,"60-74",B2062&lt;=90,"75-90")</f>
        <v>45-59</v>
      </c>
      <c r="M2062" t="str">
        <f>IF(Table1[[#This Row],[length_of_stay_days]]&gt;7,"Yes","No")</f>
        <v>No</v>
      </c>
    </row>
    <row r="2063" spans="1:13" x14ac:dyDescent="0.3">
      <c r="A2063" t="s">
        <v>2462</v>
      </c>
      <c r="B2063">
        <v>22</v>
      </c>
      <c r="C2063" t="s">
        <v>12</v>
      </c>
      <c r="D2063" t="s">
        <v>46</v>
      </c>
      <c r="E2063" t="s">
        <v>21</v>
      </c>
      <c r="F2063" t="s">
        <v>163</v>
      </c>
      <c r="G2063" t="s">
        <v>298</v>
      </c>
      <c r="H2063">
        <v>7</v>
      </c>
      <c r="I2063" s="1">
        <v>13032.93</v>
      </c>
      <c r="J2063" t="s">
        <v>17</v>
      </c>
      <c r="K2063" t="s">
        <v>18</v>
      </c>
      <c r="L2063" t="str" cm="1">
        <f t="array" ref="L2063">_xlfn.IFS(B2063&lt;30,"18-29",B2063&lt;45,"30-44",B2063&lt;60,"45-59",B2063&lt;75,"60-74",B2063&lt;=90,"75-90")</f>
        <v>18-29</v>
      </c>
      <c r="M2063" t="str">
        <f>IF(Table1[[#This Row],[length_of_stay_days]]&gt;7,"Yes","No")</f>
        <v>No</v>
      </c>
    </row>
    <row r="2064" spans="1:13" x14ac:dyDescent="0.3">
      <c r="A2064" t="s">
        <v>2463</v>
      </c>
      <c r="B2064">
        <v>26</v>
      </c>
      <c r="C2064" t="s">
        <v>12</v>
      </c>
      <c r="D2064" t="s">
        <v>46</v>
      </c>
      <c r="E2064" t="s">
        <v>28</v>
      </c>
      <c r="F2064" t="s">
        <v>855</v>
      </c>
      <c r="G2064" t="s">
        <v>839</v>
      </c>
      <c r="H2064">
        <v>8</v>
      </c>
      <c r="I2064" s="1">
        <v>15334.75</v>
      </c>
      <c r="J2064" t="s">
        <v>17</v>
      </c>
      <c r="K2064" t="s">
        <v>18</v>
      </c>
      <c r="L2064" t="str" cm="1">
        <f t="array" ref="L2064">_xlfn.IFS(B2064&lt;30,"18-29",B2064&lt;45,"30-44",B2064&lt;60,"45-59",B2064&lt;75,"60-74",B2064&lt;=90,"75-90")</f>
        <v>18-29</v>
      </c>
      <c r="M2064" t="str">
        <f>IF(Table1[[#This Row],[length_of_stay_days]]&gt;7,"Yes","No")</f>
        <v>Yes</v>
      </c>
    </row>
    <row r="2065" spans="1:13" x14ac:dyDescent="0.3">
      <c r="A2065" t="s">
        <v>2464</v>
      </c>
      <c r="B2065">
        <v>74</v>
      </c>
      <c r="C2065" t="s">
        <v>12</v>
      </c>
      <c r="D2065" t="s">
        <v>13</v>
      </c>
      <c r="E2065" t="s">
        <v>21</v>
      </c>
      <c r="F2065" t="s">
        <v>422</v>
      </c>
      <c r="G2065" t="s">
        <v>352</v>
      </c>
      <c r="H2065">
        <v>3</v>
      </c>
      <c r="I2065" s="1">
        <v>6182.03</v>
      </c>
      <c r="J2065" t="s">
        <v>17</v>
      </c>
      <c r="K2065" t="s">
        <v>18</v>
      </c>
      <c r="L2065" t="str" cm="1">
        <f t="array" ref="L2065">_xlfn.IFS(B2065&lt;30,"18-29",B2065&lt;45,"30-44",B2065&lt;60,"45-59",B2065&lt;75,"60-74",B2065&lt;=90,"75-90")</f>
        <v>60-74</v>
      </c>
      <c r="M2065" t="str">
        <f>IF(Table1[[#This Row],[length_of_stay_days]]&gt;7,"Yes","No")</f>
        <v>No</v>
      </c>
    </row>
    <row r="2066" spans="1:13" x14ac:dyDescent="0.3">
      <c r="A2066" t="s">
        <v>2465</v>
      </c>
      <c r="B2066">
        <v>87</v>
      </c>
      <c r="C2066" t="s">
        <v>70</v>
      </c>
      <c r="D2066" t="s">
        <v>46</v>
      </c>
      <c r="E2066" t="s">
        <v>21</v>
      </c>
      <c r="F2066" t="s">
        <v>837</v>
      </c>
      <c r="G2066" t="s">
        <v>15</v>
      </c>
      <c r="H2066">
        <v>8</v>
      </c>
      <c r="I2066" s="1">
        <v>14220.97</v>
      </c>
      <c r="J2066" t="s">
        <v>17</v>
      </c>
      <c r="K2066" t="s">
        <v>18</v>
      </c>
      <c r="L2066" t="str" cm="1">
        <f t="array" ref="L2066">_xlfn.IFS(B2066&lt;30,"18-29",B2066&lt;45,"30-44",B2066&lt;60,"45-59",B2066&lt;75,"60-74",B2066&lt;=90,"75-90")</f>
        <v>75-90</v>
      </c>
      <c r="M2066" t="str">
        <f>IF(Table1[[#This Row],[length_of_stay_days]]&gt;7,"Yes","No")</f>
        <v>Yes</v>
      </c>
    </row>
    <row r="2067" spans="1:13" x14ac:dyDescent="0.3">
      <c r="A2067" t="s">
        <v>2466</v>
      </c>
      <c r="B2067">
        <v>41</v>
      </c>
      <c r="C2067" t="s">
        <v>12</v>
      </c>
      <c r="D2067" t="s">
        <v>55</v>
      </c>
      <c r="E2067" t="s">
        <v>28</v>
      </c>
      <c r="F2067" t="s">
        <v>33</v>
      </c>
      <c r="G2067" t="s">
        <v>1648</v>
      </c>
      <c r="H2067">
        <v>5</v>
      </c>
      <c r="I2067" s="1">
        <v>9586.2999999999993</v>
      </c>
      <c r="J2067" t="s">
        <v>17</v>
      </c>
      <c r="K2067" t="s">
        <v>18</v>
      </c>
      <c r="L2067" t="str" cm="1">
        <f t="array" ref="L2067">_xlfn.IFS(B2067&lt;30,"18-29",B2067&lt;45,"30-44",B2067&lt;60,"45-59",B2067&lt;75,"60-74",B2067&lt;=90,"75-90")</f>
        <v>30-44</v>
      </c>
      <c r="M2067" t="str">
        <f>IF(Table1[[#This Row],[length_of_stay_days]]&gt;7,"Yes","No")</f>
        <v>No</v>
      </c>
    </row>
    <row r="2068" spans="1:13" x14ac:dyDescent="0.3">
      <c r="A2068" t="s">
        <v>2467</v>
      </c>
      <c r="B2068">
        <v>40</v>
      </c>
      <c r="C2068" t="s">
        <v>12</v>
      </c>
      <c r="D2068" t="s">
        <v>13</v>
      </c>
      <c r="E2068" t="s">
        <v>14</v>
      </c>
      <c r="F2068" t="s">
        <v>1207</v>
      </c>
      <c r="G2068" t="s">
        <v>67</v>
      </c>
      <c r="H2068">
        <v>5</v>
      </c>
      <c r="I2068" s="1">
        <v>8720.57</v>
      </c>
      <c r="J2068" t="s">
        <v>17</v>
      </c>
      <c r="K2068" t="s">
        <v>18</v>
      </c>
      <c r="L2068" t="str" cm="1">
        <f t="array" ref="L2068">_xlfn.IFS(B2068&lt;30,"18-29",B2068&lt;45,"30-44",B2068&lt;60,"45-59",B2068&lt;75,"60-74",B2068&lt;=90,"75-90")</f>
        <v>30-44</v>
      </c>
      <c r="M2068" t="str">
        <f>IF(Table1[[#This Row],[length_of_stay_days]]&gt;7,"Yes","No")</f>
        <v>No</v>
      </c>
    </row>
    <row r="2069" spans="1:13" x14ac:dyDescent="0.3">
      <c r="A2069" t="s">
        <v>2468</v>
      </c>
      <c r="B2069">
        <v>86</v>
      </c>
      <c r="C2069" t="s">
        <v>20</v>
      </c>
      <c r="D2069" t="s">
        <v>28</v>
      </c>
      <c r="E2069" t="s">
        <v>14</v>
      </c>
      <c r="F2069" t="s">
        <v>433</v>
      </c>
      <c r="G2069" t="s">
        <v>503</v>
      </c>
      <c r="H2069">
        <v>6</v>
      </c>
      <c r="I2069" s="1">
        <v>6530.53</v>
      </c>
      <c r="J2069" t="s">
        <v>17</v>
      </c>
      <c r="K2069" t="s">
        <v>18</v>
      </c>
      <c r="L2069" t="str" cm="1">
        <f t="array" ref="L2069">_xlfn.IFS(B2069&lt;30,"18-29",B2069&lt;45,"30-44",B2069&lt;60,"45-59",B2069&lt;75,"60-74",B2069&lt;=90,"75-90")</f>
        <v>75-90</v>
      </c>
      <c r="M2069" t="str">
        <f>IF(Table1[[#This Row],[length_of_stay_days]]&gt;7,"Yes","No")</f>
        <v>No</v>
      </c>
    </row>
    <row r="2070" spans="1:13" x14ac:dyDescent="0.3">
      <c r="A2070" t="s">
        <v>2469</v>
      </c>
      <c r="B2070">
        <v>54</v>
      </c>
      <c r="C2070" t="s">
        <v>20</v>
      </c>
      <c r="D2070" t="s">
        <v>28</v>
      </c>
      <c r="E2070" t="s">
        <v>21</v>
      </c>
      <c r="F2070" t="s">
        <v>259</v>
      </c>
      <c r="G2070" t="s">
        <v>22</v>
      </c>
      <c r="H2070">
        <v>5</v>
      </c>
      <c r="I2070" s="1">
        <v>4195.3599999999997</v>
      </c>
      <c r="J2070" t="s">
        <v>17</v>
      </c>
      <c r="K2070" t="s">
        <v>18</v>
      </c>
      <c r="L2070" t="str" cm="1">
        <f t="array" ref="L2070">_xlfn.IFS(B2070&lt;30,"18-29",B2070&lt;45,"30-44",B2070&lt;60,"45-59",B2070&lt;75,"60-74",B2070&lt;=90,"75-90")</f>
        <v>45-59</v>
      </c>
      <c r="M2070" t="str">
        <f>IF(Table1[[#This Row],[length_of_stay_days]]&gt;7,"Yes","No")</f>
        <v>No</v>
      </c>
    </row>
    <row r="2071" spans="1:13" x14ac:dyDescent="0.3">
      <c r="A2071" t="s">
        <v>2470</v>
      </c>
      <c r="B2071">
        <v>79</v>
      </c>
      <c r="C2071" t="s">
        <v>12</v>
      </c>
      <c r="D2071" t="s">
        <v>32</v>
      </c>
      <c r="E2071" t="s">
        <v>14</v>
      </c>
      <c r="F2071" t="s">
        <v>433</v>
      </c>
      <c r="G2071" t="s">
        <v>503</v>
      </c>
      <c r="H2071">
        <v>6</v>
      </c>
      <c r="I2071" s="1">
        <v>11540.73</v>
      </c>
      <c r="J2071" t="s">
        <v>49</v>
      </c>
      <c r="K2071" t="s">
        <v>18</v>
      </c>
      <c r="L2071" t="str" cm="1">
        <f t="array" ref="L2071">_xlfn.IFS(B2071&lt;30,"18-29",B2071&lt;45,"30-44",B2071&lt;60,"45-59",B2071&lt;75,"60-74",B2071&lt;=90,"75-90")</f>
        <v>75-90</v>
      </c>
      <c r="M2071" t="str">
        <f>IF(Table1[[#This Row],[length_of_stay_days]]&gt;7,"Yes","No")</f>
        <v>No</v>
      </c>
    </row>
    <row r="2072" spans="1:13" x14ac:dyDescent="0.3">
      <c r="A2072" t="s">
        <v>2471</v>
      </c>
      <c r="B2072">
        <v>40</v>
      </c>
      <c r="C2072" t="s">
        <v>12</v>
      </c>
      <c r="D2072" t="s">
        <v>46</v>
      </c>
      <c r="E2072" t="s">
        <v>28</v>
      </c>
      <c r="F2072" t="s">
        <v>527</v>
      </c>
      <c r="G2072" t="s">
        <v>165</v>
      </c>
      <c r="H2072">
        <v>7</v>
      </c>
      <c r="I2072" s="1">
        <v>14618.19</v>
      </c>
      <c r="J2072" t="s">
        <v>17</v>
      </c>
      <c r="K2072" t="s">
        <v>18</v>
      </c>
      <c r="L2072" t="str" cm="1">
        <f t="array" ref="L2072">_xlfn.IFS(B2072&lt;30,"18-29",B2072&lt;45,"30-44",B2072&lt;60,"45-59",B2072&lt;75,"60-74",B2072&lt;=90,"75-90")</f>
        <v>30-44</v>
      </c>
      <c r="M2072" t="str">
        <f>IF(Table1[[#This Row],[length_of_stay_days]]&gt;7,"Yes","No")</f>
        <v>No</v>
      </c>
    </row>
    <row r="2073" spans="1:13" x14ac:dyDescent="0.3">
      <c r="A2073" t="s">
        <v>2472</v>
      </c>
      <c r="B2073">
        <v>38</v>
      </c>
      <c r="C2073" t="s">
        <v>70</v>
      </c>
      <c r="D2073" t="s">
        <v>13</v>
      </c>
      <c r="E2073" t="s">
        <v>28</v>
      </c>
      <c r="F2073" t="s">
        <v>243</v>
      </c>
      <c r="G2073" t="s">
        <v>295</v>
      </c>
      <c r="H2073">
        <v>3</v>
      </c>
      <c r="I2073" s="1">
        <v>6115.85</v>
      </c>
      <c r="J2073" t="s">
        <v>17</v>
      </c>
      <c r="K2073" t="s">
        <v>18</v>
      </c>
      <c r="L2073" t="str" cm="1">
        <f t="array" ref="L2073">_xlfn.IFS(B2073&lt;30,"18-29",B2073&lt;45,"30-44",B2073&lt;60,"45-59",B2073&lt;75,"60-74",B2073&lt;=90,"75-90")</f>
        <v>30-44</v>
      </c>
      <c r="M2073" t="str">
        <f>IF(Table1[[#This Row],[length_of_stay_days]]&gt;7,"Yes","No")</f>
        <v>No</v>
      </c>
    </row>
    <row r="2074" spans="1:13" x14ac:dyDescent="0.3">
      <c r="A2074" t="s">
        <v>2473</v>
      </c>
      <c r="B2074">
        <v>35</v>
      </c>
      <c r="C2074" t="s">
        <v>20</v>
      </c>
      <c r="D2074" t="s">
        <v>28</v>
      </c>
      <c r="E2074" t="s">
        <v>21</v>
      </c>
      <c r="F2074" t="s">
        <v>966</v>
      </c>
      <c r="G2074" t="s">
        <v>132</v>
      </c>
      <c r="H2074">
        <v>4</v>
      </c>
      <c r="I2074" s="1">
        <v>5089.26</v>
      </c>
      <c r="J2074" t="s">
        <v>17</v>
      </c>
      <c r="K2074" t="s">
        <v>18</v>
      </c>
      <c r="L2074" t="str" cm="1">
        <f t="array" ref="L2074">_xlfn.IFS(B2074&lt;30,"18-29",B2074&lt;45,"30-44",B2074&lt;60,"45-59",B2074&lt;75,"60-74",B2074&lt;=90,"75-90")</f>
        <v>30-44</v>
      </c>
      <c r="M2074" t="str">
        <f>IF(Table1[[#This Row],[length_of_stay_days]]&gt;7,"Yes","No")</f>
        <v>No</v>
      </c>
    </row>
    <row r="2075" spans="1:13" x14ac:dyDescent="0.3">
      <c r="A2075" t="s">
        <v>2474</v>
      </c>
      <c r="B2075">
        <v>26</v>
      </c>
      <c r="C2075" t="s">
        <v>12</v>
      </c>
      <c r="D2075" t="s">
        <v>28</v>
      </c>
      <c r="E2075" t="s">
        <v>21</v>
      </c>
      <c r="F2075" t="s">
        <v>268</v>
      </c>
      <c r="G2075" t="s">
        <v>48</v>
      </c>
      <c r="H2075">
        <v>5</v>
      </c>
      <c r="I2075" s="1">
        <v>4172.26</v>
      </c>
      <c r="J2075" t="s">
        <v>17</v>
      </c>
      <c r="K2075" t="s">
        <v>18</v>
      </c>
      <c r="L2075" t="str" cm="1">
        <f t="array" ref="L2075">_xlfn.IFS(B2075&lt;30,"18-29",B2075&lt;45,"30-44",B2075&lt;60,"45-59",B2075&lt;75,"60-74",B2075&lt;=90,"75-90")</f>
        <v>18-29</v>
      </c>
      <c r="M2075" t="str">
        <f>IF(Table1[[#This Row],[length_of_stay_days]]&gt;7,"Yes","No")</f>
        <v>No</v>
      </c>
    </row>
    <row r="2076" spans="1:13" x14ac:dyDescent="0.3">
      <c r="A2076" t="s">
        <v>2475</v>
      </c>
      <c r="B2076">
        <v>64</v>
      </c>
      <c r="C2076" t="s">
        <v>70</v>
      </c>
      <c r="D2076" t="s">
        <v>51</v>
      </c>
      <c r="E2076" t="s">
        <v>14</v>
      </c>
      <c r="F2076" t="s">
        <v>499</v>
      </c>
      <c r="G2076" t="s">
        <v>344</v>
      </c>
      <c r="H2076">
        <v>7</v>
      </c>
      <c r="I2076" s="1">
        <v>11175.72</v>
      </c>
      <c r="J2076" t="s">
        <v>17</v>
      </c>
      <c r="K2076" t="s">
        <v>18</v>
      </c>
      <c r="L2076" t="str" cm="1">
        <f t="array" ref="L2076">_xlfn.IFS(B2076&lt;30,"18-29",B2076&lt;45,"30-44",B2076&lt;60,"45-59",B2076&lt;75,"60-74",B2076&lt;=90,"75-90")</f>
        <v>60-74</v>
      </c>
      <c r="M2076" t="str">
        <f>IF(Table1[[#This Row],[length_of_stay_days]]&gt;7,"Yes","No")</f>
        <v>No</v>
      </c>
    </row>
    <row r="2077" spans="1:13" x14ac:dyDescent="0.3">
      <c r="A2077" t="s">
        <v>2476</v>
      </c>
      <c r="B2077">
        <v>66</v>
      </c>
      <c r="C2077" t="s">
        <v>12</v>
      </c>
      <c r="D2077" t="s">
        <v>32</v>
      </c>
      <c r="E2077" t="s">
        <v>28</v>
      </c>
      <c r="F2077" t="s">
        <v>89</v>
      </c>
      <c r="G2077" t="s">
        <v>584</v>
      </c>
      <c r="H2077">
        <v>6</v>
      </c>
      <c r="I2077" s="1">
        <v>11204.81</v>
      </c>
      <c r="J2077" t="s">
        <v>17</v>
      </c>
      <c r="K2077" t="s">
        <v>18</v>
      </c>
      <c r="L2077" t="str" cm="1">
        <f t="array" ref="L2077">_xlfn.IFS(B2077&lt;30,"18-29",B2077&lt;45,"30-44",B2077&lt;60,"45-59",B2077&lt;75,"60-74",B2077&lt;=90,"75-90")</f>
        <v>60-74</v>
      </c>
      <c r="M2077" t="str">
        <f>IF(Table1[[#This Row],[length_of_stay_days]]&gt;7,"Yes","No")</f>
        <v>No</v>
      </c>
    </row>
    <row r="2078" spans="1:13" x14ac:dyDescent="0.3">
      <c r="A2078" t="s">
        <v>2477</v>
      </c>
      <c r="B2078">
        <v>46</v>
      </c>
      <c r="C2078" t="s">
        <v>20</v>
      </c>
      <c r="D2078" t="s">
        <v>55</v>
      </c>
      <c r="E2078" t="s">
        <v>28</v>
      </c>
      <c r="F2078" t="s">
        <v>315</v>
      </c>
      <c r="G2078" t="s">
        <v>103</v>
      </c>
      <c r="H2078">
        <v>5</v>
      </c>
      <c r="I2078" s="1">
        <v>7438.24</v>
      </c>
      <c r="J2078" t="s">
        <v>17</v>
      </c>
      <c r="K2078" t="s">
        <v>223</v>
      </c>
      <c r="L2078" t="str" cm="1">
        <f t="array" ref="L2078">_xlfn.IFS(B2078&lt;30,"18-29",B2078&lt;45,"30-44",B2078&lt;60,"45-59",B2078&lt;75,"60-74",B2078&lt;=90,"75-90")</f>
        <v>45-59</v>
      </c>
      <c r="M2078" t="str">
        <f>IF(Table1[[#This Row],[length_of_stay_days]]&gt;7,"Yes","No")</f>
        <v>No</v>
      </c>
    </row>
    <row r="2079" spans="1:13" x14ac:dyDescent="0.3">
      <c r="A2079" t="s">
        <v>2478</v>
      </c>
      <c r="B2079">
        <v>25</v>
      </c>
      <c r="C2079" t="s">
        <v>20</v>
      </c>
      <c r="D2079" t="s">
        <v>55</v>
      </c>
      <c r="E2079" t="s">
        <v>28</v>
      </c>
      <c r="F2079" t="s">
        <v>434</v>
      </c>
      <c r="G2079" t="s">
        <v>304</v>
      </c>
      <c r="H2079">
        <v>8</v>
      </c>
      <c r="I2079" s="1">
        <v>10466.25</v>
      </c>
      <c r="J2079" t="s">
        <v>17</v>
      </c>
      <c r="K2079" t="s">
        <v>18</v>
      </c>
      <c r="L2079" t="str" cm="1">
        <f t="array" ref="L2079">_xlfn.IFS(B2079&lt;30,"18-29",B2079&lt;45,"30-44",B2079&lt;60,"45-59",B2079&lt;75,"60-74",B2079&lt;=90,"75-90")</f>
        <v>18-29</v>
      </c>
      <c r="M2079" t="str">
        <f>IF(Table1[[#This Row],[length_of_stay_days]]&gt;7,"Yes","No")</f>
        <v>Yes</v>
      </c>
    </row>
    <row r="2080" spans="1:13" x14ac:dyDescent="0.3">
      <c r="A2080" t="s">
        <v>2479</v>
      </c>
      <c r="B2080">
        <v>52</v>
      </c>
      <c r="C2080" t="s">
        <v>20</v>
      </c>
      <c r="D2080" t="s">
        <v>28</v>
      </c>
      <c r="E2080" t="s">
        <v>14</v>
      </c>
      <c r="F2080" t="s">
        <v>1229</v>
      </c>
      <c r="G2080" t="s">
        <v>158</v>
      </c>
      <c r="H2080">
        <v>3</v>
      </c>
      <c r="I2080" s="1">
        <v>4271.25</v>
      </c>
      <c r="J2080" t="s">
        <v>17</v>
      </c>
      <c r="K2080" t="s">
        <v>18</v>
      </c>
      <c r="L2080" t="str" cm="1">
        <f t="array" ref="L2080">_xlfn.IFS(B2080&lt;30,"18-29",B2080&lt;45,"30-44",B2080&lt;60,"45-59",B2080&lt;75,"60-74",B2080&lt;=90,"75-90")</f>
        <v>45-59</v>
      </c>
      <c r="M2080" t="str">
        <f>IF(Table1[[#This Row],[length_of_stay_days]]&gt;7,"Yes","No")</f>
        <v>No</v>
      </c>
    </row>
    <row r="2081" spans="1:13" x14ac:dyDescent="0.3">
      <c r="A2081" t="s">
        <v>2480</v>
      </c>
      <c r="B2081">
        <v>63</v>
      </c>
      <c r="C2081" t="s">
        <v>12</v>
      </c>
      <c r="D2081" t="s">
        <v>32</v>
      </c>
      <c r="E2081" t="s">
        <v>14</v>
      </c>
      <c r="F2081" t="s">
        <v>346</v>
      </c>
      <c r="G2081" t="s">
        <v>245</v>
      </c>
      <c r="H2081">
        <v>9</v>
      </c>
      <c r="I2081" s="1">
        <v>13468.12</v>
      </c>
      <c r="J2081" t="s">
        <v>17</v>
      </c>
      <c r="K2081" t="s">
        <v>18</v>
      </c>
      <c r="L2081" t="str" cm="1">
        <f t="array" ref="L2081">_xlfn.IFS(B2081&lt;30,"18-29",B2081&lt;45,"30-44",B2081&lt;60,"45-59",B2081&lt;75,"60-74",B2081&lt;=90,"75-90")</f>
        <v>60-74</v>
      </c>
      <c r="M2081" t="str">
        <f>IF(Table1[[#This Row],[length_of_stay_days]]&gt;7,"Yes","No")</f>
        <v>Yes</v>
      </c>
    </row>
    <row r="2082" spans="1:13" x14ac:dyDescent="0.3">
      <c r="A2082" t="s">
        <v>2481</v>
      </c>
      <c r="B2082">
        <v>64</v>
      </c>
      <c r="C2082" t="s">
        <v>12</v>
      </c>
      <c r="D2082" t="s">
        <v>28</v>
      </c>
      <c r="E2082" t="s">
        <v>14</v>
      </c>
      <c r="F2082" t="s">
        <v>558</v>
      </c>
      <c r="G2082" t="s">
        <v>680</v>
      </c>
      <c r="H2082">
        <v>5</v>
      </c>
      <c r="I2082" s="1">
        <v>4981.99</v>
      </c>
      <c r="J2082" t="s">
        <v>49</v>
      </c>
      <c r="K2082" t="s">
        <v>18</v>
      </c>
      <c r="L2082" t="str" cm="1">
        <f t="array" ref="L2082">_xlfn.IFS(B2082&lt;30,"18-29",B2082&lt;45,"30-44",B2082&lt;60,"45-59",B2082&lt;75,"60-74",B2082&lt;=90,"75-90")</f>
        <v>60-74</v>
      </c>
      <c r="M2082" t="str">
        <f>IF(Table1[[#This Row],[length_of_stay_days]]&gt;7,"Yes","No")</f>
        <v>No</v>
      </c>
    </row>
    <row r="2083" spans="1:13" x14ac:dyDescent="0.3">
      <c r="A2083" t="s">
        <v>2482</v>
      </c>
      <c r="B2083">
        <v>80</v>
      </c>
      <c r="C2083" t="s">
        <v>20</v>
      </c>
      <c r="D2083" t="s">
        <v>28</v>
      </c>
      <c r="E2083" t="s">
        <v>28</v>
      </c>
      <c r="F2083" t="s">
        <v>182</v>
      </c>
      <c r="G2083" t="s">
        <v>1135</v>
      </c>
      <c r="H2083">
        <v>5</v>
      </c>
      <c r="I2083" s="1">
        <v>7721.66</v>
      </c>
      <c r="J2083" t="s">
        <v>49</v>
      </c>
      <c r="K2083" t="s">
        <v>18</v>
      </c>
      <c r="L2083" t="str" cm="1">
        <f t="array" ref="L2083">_xlfn.IFS(B2083&lt;30,"18-29",B2083&lt;45,"30-44",B2083&lt;60,"45-59",B2083&lt;75,"60-74",B2083&lt;=90,"75-90")</f>
        <v>75-90</v>
      </c>
      <c r="M2083" t="str">
        <f>IF(Table1[[#This Row],[length_of_stay_days]]&gt;7,"Yes","No")</f>
        <v>No</v>
      </c>
    </row>
    <row r="2084" spans="1:13" x14ac:dyDescent="0.3">
      <c r="A2084" t="s">
        <v>2483</v>
      </c>
      <c r="B2084">
        <v>36</v>
      </c>
      <c r="C2084" t="s">
        <v>20</v>
      </c>
      <c r="D2084" t="s">
        <v>13</v>
      </c>
      <c r="E2084" t="s">
        <v>14</v>
      </c>
      <c r="F2084" t="s">
        <v>436</v>
      </c>
      <c r="H2084">
        <v>4</v>
      </c>
      <c r="I2084" s="1">
        <v>6515.56</v>
      </c>
      <c r="J2084" t="s">
        <v>17</v>
      </c>
      <c r="K2084" t="s">
        <v>18</v>
      </c>
      <c r="L2084" t="str" cm="1">
        <f t="array" ref="L2084">_xlfn.IFS(B2084&lt;30,"18-29",B2084&lt;45,"30-44",B2084&lt;60,"45-59",B2084&lt;75,"60-74",B2084&lt;=90,"75-90")</f>
        <v>30-44</v>
      </c>
      <c r="M2084" t="str">
        <f>IF(Table1[[#This Row],[length_of_stay_days]]&gt;7,"Yes","No")</f>
        <v>No</v>
      </c>
    </row>
    <row r="2085" spans="1:13" x14ac:dyDescent="0.3">
      <c r="A2085" t="s">
        <v>2484</v>
      </c>
      <c r="B2085">
        <v>38</v>
      </c>
      <c r="C2085" t="s">
        <v>20</v>
      </c>
      <c r="D2085" t="s">
        <v>32</v>
      </c>
      <c r="E2085" t="s">
        <v>14</v>
      </c>
      <c r="F2085" t="s">
        <v>581</v>
      </c>
      <c r="G2085" t="s">
        <v>680</v>
      </c>
      <c r="H2085">
        <v>4</v>
      </c>
      <c r="I2085" s="1">
        <v>11192.7</v>
      </c>
      <c r="J2085" t="s">
        <v>17</v>
      </c>
      <c r="K2085" t="s">
        <v>18</v>
      </c>
      <c r="L2085" t="str" cm="1">
        <f t="array" ref="L2085">_xlfn.IFS(B2085&lt;30,"18-29",B2085&lt;45,"30-44",B2085&lt;60,"45-59",B2085&lt;75,"60-74",B2085&lt;=90,"75-90")</f>
        <v>30-44</v>
      </c>
      <c r="M2085" t="str">
        <f>IF(Table1[[#This Row],[length_of_stay_days]]&gt;7,"Yes","No")</f>
        <v>No</v>
      </c>
    </row>
    <row r="2086" spans="1:13" x14ac:dyDescent="0.3">
      <c r="A2086" t="s">
        <v>2485</v>
      </c>
      <c r="B2086">
        <v>42</v>
      </c>
      <c r="C2086" t="s">
        <v>20</v>
      </c>
      <c r="D2086" t="s">
        <v>28</v>
      </c>
      <c r="E2086" t="s">
        <v>14</v>
      </c>
      <c r="F2086" t="s">
        <v>293</v>
      </c>
      <c r="G2086" t="s">
        <v>339</v>
      </c>
      <c r="H2086">
        <v>8</v>
      </c>
      <c r="I2086" s="1">
        <v>9235.5</v>
      </c>
      <c r="J2086" t="s">
        <v>17</v>
      </c>
      <c r="K2086" t="s">
        <v>18</v>
      </c>
      <c r="L2086" t="str" cm="1">
        <f t="array" ref="L2086">_xlfn.IFS(B2086&lt;30,"18-29",B2086&lt;45,"30-44",B2086&lt;60,"45-59",B2086&lt;75,"60-74",B2086&lt;=90,"75-90")</f>
        <v>30-44</v>
      </c>
      <c r="M2086" t="str">
        <f>IF(Table1[[#This Row],[length_of_stay_days]]&gt;7,"Yes","No")</f>
        <v>Yes</v>
      </c>
    </row>
    <row r="2087" spans="1:13" x14ac:dyDescent="0.3">
      <c r="A2087" t="s">
        <v>2486</v>
      </c>
      <c r="B2087">
        <v>63</v>
      </c>
      <c r="C2087" t="s">
        <v>20</v>
      </c>
      <c r="D2087" t="s">
        <v>55</v>
      </c>
      <c r="E2087" t="s">
        <v>21</v>
      </c>
      <c r="F2087" t="s">
        <v>163</v>
      </c>
      <c r="G2087" t="s">
        <v>323</v>
      </c>
      <c r="H2087">
        <v>4</v>
      </c>
      <c r="I2087" s="1">
        <v>8500.56</v>
      </c>
      <c r="J2087" t="s">
        <v>17</v>
      </c>
      <c r="K2087" t="s">
        <v>18</v>
      </c>
      <c r="L2087" t="str" cm="1">
        <f t="array" ref="L2087">_xlfn.IFS(B2087&lt;30,"18-29",B2087&lt;45,"30-44",B2087&lt;60,"45-59",B2087&lt;75,"60-74",B2087&lt;=90,"75-90")</f>
        <v>60-74</v>
      </c>
      <c r="M2087" t="str">
        <f>IF(Table1[[#This Row],[length_of_stay_days]]&gt;7,"Yes","No")</f>
        <v>No</v>
      </c>
    </row>
    <row r="2088" spans="1:13" x14ac:dyDescent="0.3">
      <c r="A2088" t="s">
        <v>2487</v>
      </c>
      <c r="B2088">
        <v>39</v>
      </c>
      <c r="C2088" t="s">
        <v>20</v>
      </c>
      <c r="D2088" t="s">
        <v>13</v>
      </c>
      <c r="E2088" t="s">
        <v>28</v>
      </c>
      <c r="F2088" t="s">
        <v>219</v>
      </c>
      <c r="G2088" t="s">
        <v>613</v>
      </c>
      <c r="H2088">
        <v>3</v>
      </c>
      <c r="I2088" s="1">
        <v>7173.05</v>
      </c>
      <c r="J2088" t="s">
        <v>49</v>
      </c>
      <c r="K2088" t="s">
        <v>18</v>
      </c>
      <c r="L2088" t="str" cm="1">
        <f t="array" ref="L2088">_xlfn.IFS(B2088&lt;30,"18-29",B2088&lt;45,"30-44",B2088&lt;60,"45-59",B2088&lt;75,"60-74",B2088&lt;=90,"75-90")</f>
        <v>30-44</v>
      </c>
      <c r="M2088" t="str">
        <f>IF(Table1[[#This Row],[length_of_stay_days]]&gt;7,"Yes","No")</f>
        <v>No</v>
      </c>
    </row>
    <row r="2089" spans="1:13" x14ac:dyDescent="0.3">
      <c r="A2089" t="s">
        <v>2488</v>
      </c>
      <c r="B2089">
        <v>37</v>
      </c>
      <c r="C2089" t="s">
        <v>12</v>
      </c>
      <c r="D2089" t="s">
        <v>28</v>
      </c>
      <c r="E2089" t="s">
        <v>28</v>
      </c>
      <c r="F2089" t="s">
        <v>214</v>
      </c>
      <c r="G2089" t="s">
        <v>656</v>
      </c>
      <c r="H2089">
        <v>5</v>
      </c>
      <c r="I2089" s="1">
        <v>8046.8</v>
      </c>
      <c r="J2089" t="s">
        <v>17</v>
      </c>
      <c r="K2089" t="s">
        <v>18</v>
      </c>
      <c r="L2089" t="str" cm="1">
        <f t="array" ref="L2089">_xlfn.IFS(B2089&lt;30,"18-29",B2089&lt;45,"30-44",B2089&lt;60,"45-59",B2089&lt;75,"60-74",B2089&lt;=90,"75-90")</f>
        <v>30-44</v>
      </c>
      <c r="M2089" t="str">
        <f>IF(Table1[[#This Row],[length_of_stay_days]]&gt;7,"Yes","No")</f>
        <v>No</v>
      </c>
    </row>
    <row r="2090" spans="1:13" x14ac:dyDescent="0.3">
      <c r="A2090" t="s">
        <v>2489</v>
      </c>
      <c r="B2090">
        <v>79</v>
      </c>
      <c r="C2090" t="s">
        <v>12</v>
      </c>
      <c r="D2090" t="s">
        <v>28</v>
      </c>
      <c r="E2090" t="s">
        <v>14</v>
      </c>
      <c r="F2090" t="s">
        <v>372</v>
      </c>
      <c r="G2090" t="s">
        <v>410</v>
      </c>
      <c r="H2090">
        <v>3</v>
      </c>
      <c r="I2090" s="1">
        <v>3970.74</v>
      </c>
      <c r="J2090" t="s">
        <v>49</v>
      </c>
      <c r="K2090" t="s">
        <v>18</v>
      </c>
      <c r="L2090" t="str" cm="1">
        <f t="array" ref="L2090">_xlfn.IFS(B2090&lt;30,"18-29",B2090&lt;45,"30-44",B2090&lt;60,"45-59",B2090&lt;75,"60-74",B2090&lt;=90,"75-90")</f>
        <v>75-90</v>
      </c>
      <c r="M2090" t="str">
        <f>IF(Table1[[#This Row],[length_of_stay_days]]&gt;7,"Yes","No")</f>
        <v>No</v>
      </c>
    </row>
    <row r="2091" spans="1:13" x14ac:dyDescent="0.3">
      <c r="A2091" t="s">
        <v>2490</v>
      </c>
      <c r="B2091">
        <v>31</v>
      </c>
      <c r="C2091" t="s">
        <v>12</v>
      </c>
      <c r="D2091" t="s">
        <v>46</v>
      </c>
      <c r="E2091" t="s">
        <v>28</v>
      </c>
      <c r="F2091" t="s">
        <v>108</v>
      </c>
      <c r="G2091" t="s">
        <v>256</v>
      </c>
      <c r="H2091">
        <v>5</v>
      </c>
      <c r="I2091" s="1">
        <v>11264.38</v>
      </c>
      <c r="J2091" t="s">
        <v>17</v>
      </c>
      <c r="K2091" t="s">
        <v>18</v>
      </c>
      <c r="L2091" t="str" cm="1">
        <f t="array" ref="L2091">_xlfn.IFS(B2091&lt;30,"18-29",B2091&lt;45,"30-44",B2091&lt;60,"45-59",B2091&lt;75,"60-74",B2091&lt;=90,"75-90")</f>
        <v>30-44</v>
      </c>
      <c r="M2091" t="str">
        <f>IF(Table1[[#This Row],[length_of_stay_days]]&gt;7,"Yes","No")</f>
        <v>No</v>
      </c>
    </row>
    <row r="2092" spans="1:13" x14ac:dyDescent="0.3">
      <c r="A2092" t="s">
        <v>2491</v>
      </c>
      <c r="B2092">
        <v>49</v>
      </c>
      <c r="C2092" t="s">
        <v>20</v>
      </c>
      <c r="D2092" t="s">
        <v>32</v>
      </c>
      <c r="E2092" t="s">
        <v>28</v>
      </c>
      <c r="F2092" t="s">
        <v>765</v>
      </c>
      <c r="G2092" t="s">
        <v>430</v>
      </c>
      <c r="H2092">
        <v>3</v>
      </c>
      <c r="I2092" s="1">
        <v>7068.53</v>
      </c>
      <c r="J2092" t="s">
        <v>17</v>
      </c>
      <c r="K2092" t="s">
        <v>18</v>
      </c>
      <c r="L2092" t="str" cm="1">
        <f t="array" ref="L2092">_xlfn.IFS(B2092&lt;30,"18-29",B2092&lt;45,"30-44",B2092&lt;60,"45-59",B2092&lt;75,"60-74",B2092&lt;=90,"75-90")</f>
        <v>45-59</v>
      </c>
      <c r="M2092" t="str">
        <f>IF(Table1[[#This Row],[length_of_stay_days]]&gt;7,"Yes","No")</f>
        <v>No</v>
      </c>
    </row>
    <row r="2093" spans="1:13" x14ac:dyDescent="0.3">
      <c r="A2093" t="s">
        <v>2492</v>
      </c>
      <c r="B2093">
        <v>21</v>
      </c>
      <c r="C2093" t="s">
        <v>12</v>
      </c>
      <c r="D2093" t="s">
        <v>55</v>
      </c>
      <c r="E2093" t="s">
        <v>14</v>
      </c>
      <c r="F2093" t="s">
        <v>106</v>
      </c>
      <c r="G2093" t="s">
        <v>111</v>
      </c>
      <c r="H2093">
        <v>5</v>
      </c>
      <c r="I2093" s="1">
        <v>10254.799999999999</v>
      </c>
      <c r="J2093" t="s">
        <v>17</v>
      </c>
      <c r="K2093" t="s">
        <v>18</v>
      </c>
      <c r="L2093" t="str" cm="1">
        <f t="array" ref="L2093">_xlfn.IFS(B2093&lt;30,"18-29",B2093&lt;45,"30-44",B2093&lt;60,"45-59",B2093&lt;75,"60-74",B2093&lt;=90,"75-90")</f>
        <v>18-29</v>
      </c>
      <c r="M2093" t="str">
        <f>IF(Table1[[#This Row],[length_of_stay_days]]&gt;7,"Yes","No")</f>
        <v>No</v>
      </c>
    </row>
    <row r="2094" spans="1:13" x14ac:dyDescent="0.3">
      <c r="A2094" t="s">
        <v>2493</v>
      </c>
      <c r="B2094">
        <v>34</v>
      </c>
      <c r="C2094" t="s">
        <v>12</v>
      </c>
      <c r="D2094" t="s">
        <v>46</v>
      </c>
      <c r="E2094" t="s">
        <v>14</v>
      </c>
      <c r="F2094" t="s">
        <v>335</v>
      </c>
      <c r="G2094" t="s">
        <v>831</v>
      </c>
      <c r="H2094">
        <v>6</v>
      </c>
      <c r="I2094" s="1">
        <v>13672.14</v>
      </c>
      <c r="J2094" t="s">
        <v>17</v>
      </c>
      <c r="K2094" t="s">
        <v>18</v>
      </c>
      <c r="L2094" t="str" cm="1">
        <f t="array" ref="L2094">_xlfn.IFS(B2094&lt;30,"18-29",B2094&lt;45,"30-44",B2094&lt;60,"45-59",B2094&lt;75,"60-74",B2094&lt;=90,"75-90")</f>
        <v>30-44</v>
      </c>
      <c r="M2094" t="str">
        <f>IF(Table1[[#This Row],[length_of_stay_days]]&gt;7,"Yes","No")</f>
        <v>No</v>
      </c>
    </row>
    <row r="2095" spans="1:13" x14ac:dyDescent="0.3">
      <c r="A2095" t="s">
        <v>2494</v>
      </c>
      <c r="B2095">
        <v>89</v>
      </c>
      <c r="C2095" t="s">
        <v>20</v>
      </c>
      <c r="D2095" t="s">
        <v>46</v>
      </c>
      <c r="E2095" t="s">
        <v>28</v>
      </c>
      <c r="F2095" t="s">
        <v>119</v>
      </c>
      <c r="G2095" t="s">
        <v>320</v>
      </c>
      <c r="H2095">
        <v>11</v>
      </c>
      <c r="I2095" s="1">
        <v>14975.36</v>
      </c>
      <c r="J2095" t="s">
        <v>17</v>
      </c>
      <c r="K2095" t="s">
        <v>18</v>
      </c>
      <c r="L2095" t="str" cm="1">
        <f t="array" ref="L2095">_xlfn.IFS(B2095&lt;30,"18-29",B2095&lt;45,"30-44",B2095&lt;60,"45-59",B2095&lt;75,"60-74",B2095&lt;=90,"75-90")</f>
        <v>75-90</v>
      </c>
      <c r="M2095" t="str">
        <f>IF(Table1[[#This Row],[length_of_stay_days]]&gt;7,"Yes","No")</f>
        <v>Yes</v>
      </c>
    </row>
    <row r="2096" spans="1:13" x14ac:dyDescent="0.3">
      <c r="A2096" t="s">
        <v>2495</v>
      </c>
      <c r="B2096">
        <v>43</v>
      </c>
      <c r="C2096" t="s">
        <v>12</v>
      </c>
      <c r="D2096" t="s">
        <v>28</v>
      </c>
      <c r="E2096" t="s">
        <v>28</v>
      </c>
      <c r="F2096" t="s">
        <v>656</v>
      </c>
      <c r="G2096" t="s">
        <v>1054</v>
      </c>
      <c r="H2096">
        <v>4</v>
      </c>
      <c r="I2096" s="1">
        <v>3867.35</v>
      </c>
      <c r="J2096" t="s">
        <v>17</v>
      </c>
      <c r="K2096" t="s">
        <v>18</v>
      </c>
      <c r="L2096" t="str" cm="1">
        <f t="array" ref="L2096">_xlfn.IFS(B2096&lt;30,"18-29",B2096&lt;45,"30-44",B2096&lt;60,"45-59",B2096&lt;75,"60-74",B2096&lt;=90,"75-90")</f>
        <v>30-44</v>
      </c>
      <c r="M2096" t="str">
        <f>IF(Table1[[#This Row],[length_of_stay_days]]&gt;7,"Yes","No")</f>
        <v>No</v>
      </c>
    </row>
    <row r="2097" spans="1:13" x14ac:dyDescent="0.3">
      <c r="A2097" t="s">
        <v>2496</v>
      </c>
      <c r="B2097">
        <v>45</v>
      </c>
      <c r="C2097" t="s">
        <v>20</v>
      </c>
      <c r="D2097" t="s">
        <v>32</v>
      </c>
      <c r="E2097" t="s">
        <v>14</v>
      </c>
      <c r="F2097" t="s">
        <v>231</v>
      </c>
      <c r="G2097" t="s">
        <v>342</v>
      </c>
      <c r="H2097">
        <v>1</v>
      </c>
      <c r="I2097" s="1">
        <v>5635.19</v>
      </c>
      <c r="J2097" t="s">
        <v>17</v>
      </c>
      <c r="K2097" t="s">
        <v>18</v>
      </c>
      <c r="L2097" t="str" cm="1">
        <f t="array" ref="L2097">_xlfn.IFS(B2097&lt;30,"18-29",B2097&lt;45,"30-44",B2097&lt;60,"45-59",B2097&lt;75,"60-74",B2097&lt;=90,"75-90")</f>
        <v>45-59</v>
      </c>
      <c r="M2097" t="str">
        <f>IF(Table1[[#This Row],[length_of_stay_days]]&gt;7,"Yes","No")</f>
        <v>No</v>
      </c>
    </row>
    <row r="2098" spans="1:13" x14ac:dyDescent="0.3">
      <c r="A2098" t="s">
        <v>2497</v>
      </c>
      <c r="B2098">
        <v>23</v>
      </c>
      <c r="C2098" t="s">
        <v>12</v>
      </c>
      <c r="D2098" t="s">
        <v>51</v>
      </c>
      <c r="E2098" t="s">
        <v>28</v>
      </c>
      <c r="F2098" t="s">
        <v>201</v>
      </c>
      <c r="G2098" t="s">
        <v>532</v>
      </c>
      <c r="H2098">
        <v>5</v>
      </c>
      <c r="I2098" s="1">
        <v>10113.89</v>
      </c>
      <c r="J2098" t="s">
        <v>17</v>
      </c>
      <c r="K2098" t="s">
        <v>18</v>
      </c>
      <c r="L2098" t="str" cm="1">
        <f t="array" ref="L2098">_xlfn.IFS(B2098&lt;30,"18-29",B2098&lt;45,"30-44",B2098&lt;60,"45-59",B2098&lt;75,"60-74",B2098&lt;=90,"75-90")</f>
        <v>18-29</v>
      </c>
      <c r="M2098" t="str">
        <f>IF(Table1[[#This Row],[length_of_stay_days]]&gt;7,"Yes","No")</f>
        <v>No</v>
      </c>
    </row>
    <row r="2099" spans="1:13" x14ac:dyDescent="0.3">
      <c r="A2099" t="s">
        <v>2498</v>
      </c>
      <c r="B2099">
        <v>29</v>
      </c>
      <c r="C2099" t="s">
        <v>12</v>
      </c>
      <c r="D2099" t="s">
        <v>13</v>
      </c>
      <c r="E2099" t="s">
        <v>14</v>
      </c>
      <c r="F2099" t="s">
        <v>654</v>
      </c>
      <c r="G2099" t="s">
        <v>941</v>
      </c>
      <c r="H2099">
        <v>1</v>
      </c>
      <c r="I2099" s="1">
        <v>4173.8</v>
      </c>
      <c r="J2099" t="s">
        <v>17</v>
      </c>
      <c r="K2099" t="s">
        <v>18</v>
      </c>
      <c r="L2099" t="str" cm="1">
        <f t="array" ref="L2099">_xlfn.IFS(B2099&lt;30,"18-29",B2099&lt;45,"30-44",B2099&lt;60,"45-59",B2099&lt;75,"60-74",B2099&lt;=90,"75-90")</f>
        <v>18-29</v>
      </c>
      <c r="M2099" t="str">
        <f>IF(Table1[[#This Row],[length_of_stay_days]]&gt;7,"Yes","No")</f>
        <v>No</v>
      </c>
    </row>
    <row r="2100" spans="1:13" x14ac:dyDescent="0.3">
      <c r="A2100" t="s">
        <v>2499</v>
      </c>
      <c r="B2100">
        <v>20</v>
      </c>
      <c r="C2100" t="s">
        <v>20</v>
      </c>
      <c r="D2100" t="s">
        <v>13</v>
      </c>
      <c r="E2100" t="s">
        <v>28</v>
      </c>
      <c r="F2100" t="s">
        <v>195</v>
      </c>
      <c r="G2100" t="s">
        <v>245</v>
      </c>
      <c r="H2100">
        <v>4</v>
      </c>
      <c r="I2100" s="1">
        <v>7909.74</v>
      </c>
      <c r="J2100" t="s">
        <v>17</v>
      </c>
      <c r="K2100" t="s">
        <v>18</v>
      </c>
      <c r="L2100" t="str" cm="1">
        <f t="array" ref="L2100">_xlfn.IFS(B2100&lt;30,"18-29",B2100&lt;45,"30-44",B2100&lt;60,"45-59",B2100&lt;75,"60-74",B2100&lt;=90,"75-90")</f>
        <v>18-29</v>
      </c>
      <c r="M2100" t="str">
        <f>IF(Table1[[#This Row],[length_of_stay_days]]&gt;7,"Yes","No")</f>
        <v>No</v>
      </c>
    </row>
    <row r="2101" spans="1:13" x14ac:dyDescent="0.3">
      <c r="A2101" t="s">
        <v>2500</v>
      </c>
      <c r="B2101">
        <v>36</v>
      </c>
      <c r="C2101" t="s">
        <v>12</v>
      </c>
      <c r="D2101" t="s">
        <v>46</v>
      </c>
      <c r="E2101" t="s">
        <v>28</v>
      </c>
      <c r="F2101" t="s">
        <v>264</v>
      </c>
      <c r="G2101" t="s">
        <v>509</v>
      </c>
      <c r="H2101">
        <v>6</v>
      </c>
      <c r="I2101" s="1">
        <v>15184.54</v>
      </c>
      <c r="J2101" t="s">
        <v>17</v>
      </c>
      <c r="K2101" t="s">
        <v>18</v>
      </c>
      <c r="L2101" t="str" cm="1">
        <f t="array" ref="L2101">_xlfn.IFS(B2101&lt;30,"18-29",B2101&lt;45,"30-44",B2101&lt;60,"45-59",B2101&lt;75,"60-74",B2101&lt;=90,"75-90")</f>
        <v>30-44</v>
      </c>
      <c r="M2101" t="str">
        <f>IF(Table1[[#This Row],[length_of_stay_days]]&gt;7,"Yes","No")</f>
        <v>No</v>
      </c>
    </row>
    <row r="2102" spans="1:13" x14ac:dyDescent="0.3">
      <c r="A2102" t="s">
        <v>2501</v>
      </c>
      <c r="B2102">
        <v>18</v>
      </c>
      <c r="C2102" t="s">
        <v>20</v>
      </c>
      <c r="D2102" t="s">
        <v>13</v>
      </c>
      <c r="E2102" t="s">
        <v>14</v>
      </c>
      <c r="F2102" t="s">
        <v>301</v>
      </c>
      <c r="G2102" t="s">
        <v>95</v>
      </c>
      <c r="H2102">
        <v>8</v>
      </c>
      <c r="I2102" s="1">
        <v>8330.32</v>
      </c>
      <c r="J2102" t="s">
        <v>49</v>
      </c>
      <c r="K2102" t="s">
        <v>18</v>
      </c>
      <c r="L2102" t="str" cm="1">
        <f t="array" ref="L2102">_xlfn.IFS(B2102&lt;30,"18-29",B2102&lt;45,"30-44",B2102&lt;60,"45-59",B2102&lt;75,"60-74",B2102&lt;=90,"75-90")</f>
        <v>18-29</v>
      </c>
      <c r="M2102" t="str">
        <f>IF(Table1[[#This Row],[length_of_stay_days]]&gt;7,"Yes","No")</f>
        <v>Yes</v>
      </c>
    </row>
    <row r="2103" spans="1:13" x14ac:dyDescent="0.3">
      <c r="A2103" t="s">
        <v>2502</v>
      </c>
      <c r="B2103">
        <v>52</v>
      </c>
      <c r="C2103" t="s">
        <v>20</v>
      </c>
      <c r="D2103" t="s">
        <v>13</v>
      </c>
      <c r="E2103" t="s">
        <v>14</v>
      </c>
      <c r="F2103" t="s">
        <v>526</v>
      </c>
      <c r="G2103" t="s">
        <v>520</v>
      </c>
      <c r="H2103">
        <v>2</v>
      </c>
      <c r="I2103" s="1">
        <v>6433.38</v>
      </c>
      <c r="J2103" t="s">
        <v>49</v>
      </c>
      <c r="K2103" t="s">
        <v>18</v>
      </c>
      <c r="L2103" t="str" cm="1">
        <f t="array" ref="L2103">_xlfn.IFS(B2103&lt;30,"18-29",B2103&lt;45,"30-44",B2103&lt;60,"45-59",B2103&lt;75,"60-74",B2103&lt;=90,"75-90")</f>
        <v>45-59</v>
      </c>
      <c r="M2103" t="str">
        <f>IF(Table1[[#This Row],[length_of_stay_days]]&gt;7,"Yes","No")</f>
        <v>No</v>
      </c>
    </row>
    <row r="2104" spans="1:13" x14ac:dyDescent="0.3">
      <c r="A2104" t="s">
        <v>2503</v>
      </c>
      <c r="B2104">
        <v>35</v>
      </c>
      <c r="C2104" t="s">
        <v>12</v>
      </c>
      <c r="D2104" t="s">
        <v>13</v>
      </c>
      <c r="E2104" t="s">
        <v>28</v>
      </c>
      <c r="F2104" t="s">
        <v>222</v>
      </c>
      <c r="G2104" t="s">
        <v>87</v>
      </c>
      <c r="H2104">
        <v>8</v>
      </c>
      <c r="I2104" s="1">
        <v>10023.19</v>
      </c>
      <c r="J2104" t="s">
        <v>17</v>
      </c>
      <c r="K2104" t="s">
        <v>18</v>
      </c>
      <c r="L2104" t="str" cm="1">
        <f t="array" ref="L2104">_xlfn.IFS(B2104&lt;30,"18-29",B2104&lt;45,"30-44",B2104&lt;60,"45-59",B2104&lt;75,"60-74",B2104&lt;=90,"75-90")</f>
        <v>30-44</v>
      </c>
      <c r="M2104" t="str">
        <f>IF(Table1[[#This Row],[length_of_stay_days]]&gt;7,"Yes","No")</f>
        <v>Yes</v>
      </c>
    </row>
    <row r="2105" spans="1:13" x14ac:dyDescent="0.3">
      <c r="A2105" t="s">
        <v>2504</v>
      </c>
      <c r="B2105">
        <v>89</v>
      </c>
      <c r="C2105" t="s">
        <v>20</v>
      </c>
      <c r="D2105" t="s">
        <v>46</v>
      </c>
      <c r="E2105" t="s">
        <v>28</v>
      </c>
      <c r="F2105" t="s">
        <v>440</v>
      </c>
      <c r="G2105" t="s">
        <v>523</v>
      </c>
      <c r="H2105">
        <v>8</v>
      </c>
      <c r="I2105" s="1">
        <v>15019.29</v>
      </c>
      <c r="J2105" t="s">
        <v>17</v>
      </c>
      <c r="K2105" t="s">
        <v>18</v>
      </c>
      <c r="L2105" t="str" cm="1">
        <f t="array" ref="L2105">_xlfn.IFS(B2105&lt;30,"18-29",B2105&lt;45,"30-44",B2105&lt;60,"45-59",B2105&lt;75,"60-74",B2105&lt;=90,"75-90")</f>
        <v>75-90</v>
      </c>
      <c r="M2105" t="str">
        <f>IF(Table1[[#This Row],[length_of_stay_days]]&gt;7,"Yes","No")</f>
        <v>Yes</v>
      </c>
    </row>
    <row r="2106" spans="1:13" x14ac:dyDescent="0.3">
      <c r="A2106" t="s">
        <v>2505</v>
      </c>
      <c r="B2106">
        <v>83</v>
      </c>
      <c r="C2106" t="s">
        <v>12</v>
      </c>
      <c r="D2106" t="s">
        <v>28</v>
      </c>
      <c r="E2106" t="s">
        <v>14</v>
      </c>
      <c r="F2106" t="s">
        <v>485</v>
      </c>
      <c r="G2106" t="s">
        <v>422</v>
      </c>
      <c r="H2106">
        <v>3</v>
      </c>
      <c r="I2106" s="1">
        <v>4350.6099999999997</v>
      </c>
      <c r="J2106" t="s">
        <v>17</v>
      </c>
      <c r="K2106" t="s">
        <v>18</v>
      </c>
      <c r="L2106" t="str" cm="1">
        <f t="array" ref="L2106">_xlfn.IFS(B2106&lt;30,"18-29",B2106&lt;45,"30-44",B2106&lt;60,"45-59",B2106&lt;75,"60-74",B2106&lt;=90,"75-90")</f>
        <v>75-90</v>
      </c>
      <c r="M2106" t="str">
        <f>IF(Table1[[#This Row],[length_of_stay_days]]&gt;7,"Yes","No")</f>
        <v>No</v>
      </c>
    </row>
    <row r="2107" spans="1:13" x14ac:dyDescent="0.3">
      <c r="A2107" t="s">
        <v>2506</v>
      </c>
      <c r="B2107">
        <v>77</v>
      </c>
      <c r="C2107" t="s">
        <v>12</v>
      </c>
      <c r="D2107" t="s">
        <v>28</v>
      </c>
      <c r="E2107" t="s">
        <v>14</v>
      </c>
      <c r="F2107" t="s">
        <v>543</v>
      </c>
      <c r="G2107" t="s">
        <v>43</v>
      </c>
      <c r="H2107">
        <v>1</v>
      </c>
      <c r="I2107" s="1">
        <v>3099.17</v>
      </c>
      <c r="J2107" t="s">
        <v>17</v>
      </c>
      <c r="K2107" t="s">
        <v>18</v>
      </c>
      <c r="L2107" t="str" cm="1">
        <f t="array" ref="L2107">_xlfn.IFS(B2107&lt;30,"18-29",B2107&lt;45,"30-44",B2107&lt;60,"45-59",B2107&lt;75,"60-74",B2107&lt;=90,"75-90")</f>
        <v>75-90</v>
      </c>
      <c r="M2107" t="str">
        <f>IF(Table1[[#This Row],[length_of_stay_days]]&gt;7,"Yes","No")</f>
        <v>No</v>
      </c>
    </row>
    <row r="2108" spans="1:13" x14ac:dyDescent="0.3">
      <c r="A2108" t="s">
        <v>2507</v>
      </c>
      <c r="B2108">
        <v>34</v>
      </c>
      <c r="C2108" t="s">
        <v>12</v>
      </c>
      <c r="D2108" t="s">
        <v>55</v>
      </c>
      <c r="E2108" t="s">
        <v>28</v>
      </c>
      <c r="F2108" t="s">
        <v>182</v>
      </c>
      <c r="G2108" t="s">
        <v>93</v>
      </c>
      <c r="H2108">
        <v>3</v>
      </c>
      <c r="I2108" s="1">
        <v>8576.59</v>
      </c>
      <c r="J2108" t="s">
        <v>17</v>
      </c>
      <c r="K2108" t="s">
        <v>18</v>
      </c>
      <c r="L2108" t="str" cm="1">
        <f t="array" ref="L2108">_xlfn.IFS(B2108&lt;30,"18-29",B2108&lt;45,"30-44",B2108&lt;60,"45-59",B2108&lt;75,"60-74",B2108&lt;=90,"75-90")</f>
        <v>30-44</v>
      </c>
      <c r="M2108" t="str">
        <f>IF(Table1[[#This Row],[length_of_stay_days]]&gt;7,"Yes","No")</f>
        <v>No</v>
      </c>
    </row>
    <row r="2109" spans="1:13" x14ac:dyDescent="0.3">
      <c r="A2109" t="s">
        <v>2508</v>
      </c>
      <c r="B2109">
        <v>81</v>
      </c>
      <c r="C2109" t="s">
        <v>20</v>
      </c>
      <c r="D2109" t="s">
        <v>28</v>
      </c>
      <c r="E2109" t="s">
        <v>28</v>
      </c>
      <c r="F2109" t="s">
        <v>386</v>
      </c>
      <c r="G2109" t="s">
        <v>198</v>
      </c>
      <c r="H2109">
        <v>8</v>
      </c>
      <c r="I2109" s="1">
        <v>7017.05</v>
      </c>
      <c r="J2109" t="s">
        <v>49</v>
      </c>
      <c r="K2109" t="s">
        <v>18</v>
      </c>
      <c r="L2109" t="str" cm="1">
        <f t="array" ref="L2109">_xlfn.IFS(B2109&lt;30,"18-29",B2109&lt;45,"30-44",B2109&lt;60,"45-59",B2109&lt;75,"60-74",B2109&lt;=90,"75-90")</f>
        <v>75-90</v>
      </c>
      <c r="M2109" t="str">
        <f>IF(Table1[[#This Row],[length_of_stay_days]]&gt;7,"Yes","No")</f>
        <v>Yes</v>
      </c>
    </row>
    <row r="2110" spans="1:13" x14ac:dyDescent="0.3">
      <c r="A2110" t="s">
        <v>2509</v>
      </c>
      <c r="B2110">
        <v>28</v>
      </c>
      <c r="C2110" t="s">
        <v>12</v>
      </c>
      <c r="D2110" t="s">
        <v>28</v>
      </c>
      <c r="E2110" t="s">
        <v>14</v>
      </c>
      <c r="F2110" t="s">
        <v>355</v>
      </c>
      <c r="G2110" t="s">
        <v>1160</v>
      </c>
      <c r="H2110">
        <v>2</v>
      </c>
      <c r="I2110" s="1">
        <v>4053.84</v>
      </c>
      <c r="J2110" t="s">
        <v>17</v>
      </c>
      <c r="K2110" t="s">
        <v>18</v>
      </c>
      <c r="L2110" t="str" cm="1">
        <f t="array" ref="L2110">_xlfn.IFS(B2110&lt;30,"18-29",B2110&lt;45,"30-44",B2110&lt;60,"45-59",B2110&lt;75,"60-74",B2110&lt;=90,"75-90")</f>
        <v>18-29</v>
      </c>
      <c r="M2110" t="str">
        <f>IF(Table1[[#This Row],[length_of_stay_days]]&gt;7,"Yes","No")</f>
        <v>No</v>
      </c>
    </row>
    <row r="2111" spans="1:13" x14ac:dyDescent="0.3">
      <c r="A2111" t="s">
        <v>2510</v>
      </c>
      <c r="B2111">
        <v>30</v>
      </c>
      <c r="C2111" t="s">
        <v>12</v>
      </c>
      <c r="D2111" t="s">
        <v>28</v>
      </c>
      <c r="E2111" t="s">
        <v>21</v>
      </c>
      <c r="F2111" t="s">
        <v>606</v>
      </c>
      <c r="G2111" t="s">
        <v>361</v>
      </c>
      <c r="H2111">
        <v>1</v>
      </c>
      <c r="I2111" s="1">
        <v>3830.42</v>
      </c>
      <c r="J2111" t="s">
        <v>17</v>
      </c>
      <c r="K2111" t="s">
        <v>18</v>
      </c>
      <c r="L2111" t="str" cm="1">
        <f t="array" ref="L2111">_xlfn.IFS(B2111&lt;30,"18-29",B2111&lt;45,"30-44",B2111&lt;60,"45-59",B2111&lt;75,"60-74",B2111&lt;=90,"75-90")</f>
        <v>30-44</v>
      </c>
      <c r="M2111" t="str">
        <f>IF(Table1[[#This Row],[length_of_stay_days]]&gt;7,"Yes","No")</f>
        <v>No</v>
      </c>
    </row>
    <row r="2112" spans="1:13" x14ac:dyDescent="0.3">
      <c r="A2112" t="s">
        <v>2511</v>
      </c>
      <c r="B2112">
        <v>18</v>
      </c>
      <c r="C2112" t="s">
        <v>70</v>
      </c>
      <c r="D2112" t="s">
        <v>32</v>
      </c>
      <c r="E2112" t="s">
        <v>21</v>
      </c>
      <c r="F2112" t="s">
        <v>158</v>
      </c>
      <c r="G2112" t="s">
        <v>194</v>
      </c>
      <c r="H2112">
        <v>6</v>
      </c>
      <c r="I2112" s="1">
        <v>9649.2999999999993</v>
      </c>
      <c r="J2112" t="s">
        <v>49</v>
      </c>
      <c r="K2112" t="s">
        <v>223</v>
      </c>
      <c r="L2112" t="str" cm="1">
        <f t="array" ref="L2112">_xlfn.IFS(B2112&lt;30,"18-29",B2112&lt;45,"30-44",B2112&lt;60,"45-59",B2112&lt;75,"60-74",B2112&lt;=90,"75-90")</f>
        <v>18-29</v>
      </c>
      <c r="M2112" t="str">
        <f>IF(Table1[[#This Row],[length_of_stay_days]]&gt;7,"Yes","No")</f>
        <v>No</v>
      </c>
    </row>
    <row r="2113" spans="1:13" x14ac:dyDescent="0.3">
      <c r="A2113" t="s">
        <v>2512</v>
      </c>
      <c r="B2113">
        <v>43</v>
      </c>
      <c r="C2113" t="s">
        <v>20</v>
      </c>
      <c r="D2113" t="s">
        <v>13</v>
      </c>
      <c r="E2113" t="s">
        <v>21</v>
      </c>
      <c r="F2113" t="s">
        <v>101</v>
      </c>
      <c r="G2113" t="s">
        <v>42</v>
      </c>
      <c r="H2113">
        <v>5</v>
      </c>
      <c r="I2113" s="1">
        <v>9094.56</v>
      </c>
      <c r="J2113" t="s">
        <v>49</v>
      </c>
      <c r="K2113" t="s">
        <v>18</v>
      </c>
      <c r="L2113" t="str" cm="1">
        <f t="array" ref="L2113">_xlfn.IFS(B2113&lt;30,"18-29",B2113&lt;45,"30-44",B2113&lt;60,"45-59",B2113&lt;75,"60-74",B2113&lt;=90,"75-90")</f>
        <v>30-44</v>
      </c>
      <c r="M2113" t="str">
        <f>IF(Table1[[#This Row],[length_of_stay_days]]&gt;7,"Yes","No")</f>
        <v>No</v>
      </c>
    </row>
    <row r="2114" spans="1:13" x14ac:dyDescent="0.3">
      <c r="A2114" t="s">
        <v>2513</v>
      </c>
      <c r="B2114">
        <v>84</v>
      </c>
      <c r="C2114" t="s">
        <v>70</v>
      </c>
      <c r="D2114" t="s">
        <v>55</v>
      </c>
      <c r="E2114" t="s">
        <v>28</v>
      </c>
      <c r="F2114" t="s">
        <v>335</v>
      </c>
      <c r="G2114" t="s">
        <v>831</v>
      </c>
      <c r="H2114">
        <v>6</v>
      </c>
      <c r="I2114" s="1">
        <v>7398.58</v>
      </c>
      <c r="J2114" t="s">
        <v>49</v>
      </c>
      <c r="K2114" t="s">
        <v>18</v>
      </c>
      <c r="L2114" t="str" cm="1">
        <f t="array" ref="L2114">_xlfn.IFS(B2114&lt;30,"18-29",B2114&lt;45,"30-44",B2114&lt;60,"45-59",B2114&lt;75,"60-74",B2114&lt;=90,"75-90")</f>
        <v>75-90</v>
      </c>
      <c r="M2114" t="str">
        <f>IF(Table1[[#This Row],[length_of_stay_days]]&gt;7,"Yes","No")</f>
        <v>No</v>
      </c>
    </row>
    <row r="2115" spans="1:13" x14ac:dyDescent="0.3">
      <c r="A2115" t="s">
        <v>2514</v>
      </c>
      <c r="B2115">
        <v>51</v>
      </c>
      <c r="C2115" t="s">
        <v>12</v>
      </c>
      <c r="D2115" t="s">
        <v>55</v>
      </c>
      <c r="E2115" t="s">
        <v>14</v>
      </c>
      <c r="F2115" t="s">
        <v>71</v>
      </c>
      <c r="G2115" t="s">
        <v>360</v>
      </c>
      <c r="H2115">
        <v>6</v>
      </c>
      <c r="I2115" s="1">
        <v>8793.24</v>
      </c>
      <c r="J2115" t="s">
        <v>17</v>
      </c>
      <c r="K2115" t="s">
        <v>44</v>
      </c>
      <c r="L2115" t="str" cm="1">
        <f t="array" ref="L2115">_xlfn.IFS(B2115&lt;30,"18-29",B2115&lt;45,"30-44",B2115&lt;60,"45-59",B2115&lt;75,"60-74",B2115&lt;=90,"75-90")</f>
        <v>45-59</v>
      </c>
      <c r="M2115" t="str">
        <f>IF(Table1[[#This Row],[length_of_stay_days]]&gt;7,"Yes","No")</f>
        <v>No</v>
      </c>
    </row>
    <row r="2116" spans="1:13" x14ac:dyDescent="0.3">
      <c r="A2116" t="s">
        <v>2515</v>
      </c>
      <c r="B2116">
        <v>31</v>
      </c>
      <c r="C2116" t="s">
        <v>20</v>
      </c>
      <c r="D2116" t="s">
        <v>13</v>
      </c>
      <c r="E2116" t="s">
        <v>14</v>
      </c>
      <c r="F2116" t="s">
        <v>95</v>
      </c>
      <c r="G2116" t="s">
        <v>774</v>
      </c>
      <c r="H2116">
        <v>1</v>
      </c>
      <c r="I2116" s="1">
        <v>3699.05</v>
      </c>
      <c r="J2116" t="s">
        <v>17</v>
      </c>
      <c r="K2116" t="s">
        <v>44</v>
      </c>
      <c r="L2116" t="str" cm="1">
        <f t="array" ref="L2116">_xlfn.IFS(B2116&lt;30,"18-29",B2116&lt;45,"30-44",B2116&lt;60,"45-59",B2116&lt;75,"60-74",B2116&lt;=90,"75-90")</f>
        <v>30-44</v>
      </c>
      <c r="M2116" t="str">
        <f>IF(Table1[[#This Row],[length_of_stay_days]]&gt;7,"Yes","No")</f>
        <v>No</v>
      </c>
    </row>
    <row r="2117" spans="1:13" x14ac:dyDescent="0.3">
      <c r="A2117" t="s">
        <v>2516</v>
      </c>
      <c r="B2117">
        <v>57</v>
      </c>
      <c r="C2117" t="s">
        <v>20</v>
      </c>
      <c r="D2117" t="s">
        <v>13</v>
      </c>
      <c r="E2117" t="s">
        <v>28</v>
      </c>
      <c r="F2117" t="s">
        <v>443</v>
      </c>
      <c r="G2117" t="s">
        <v>1181</v>
      </c>
      <c r="H2117">
        <v>2</v>
      </c>
      <c r="I2117" s="1">
        <v>5379.21</v>
      </c>
      <c r="J2117" t="s">
        <v>17</v>
      </c>
      <c r="K2117" t="s">
        <v>18</v>
      </c>
      <c r="L2117" t="str" cm="1">
        <f t="array" ref="L2117">_xlfn.IFS(B2117&lt;30,"18-29",B2117&lt;45,"30-44",B2117&lt;60,"45-59",B2117&lt;75,"60-74",B2117&lt;=90,"75-90")</f>
        <v>45-59</v>
      </c>
      <c r="M2117" t="str">
        <f>IF(Table1[[#This Row],[length_of_stay_days]]&gt;7,"Yes","No")</f>
        <v>No</v>
      </c>
    </row>
    <row r="2118" spans="1:13" x14ac:dyDescent="0.3">
      <c r="A2118" t="s">
        <v>2517</v>
      </c>
      <c r="B2118">
        <v>87</v>
      </c>
      <c r="C2118" t="s">
        <v>20</v>
      </c>
      <c r="D2118" t="s">
        <v>51</v>
      </c>
      <c r="E2118" t="s">
        <v>14</v>
      </c>
      <c r="F2118" t="s">
        <v>354</v>
      </c>
      <c r="G2118" t="s">
        <v>411</v>
      </c>
      <c r="H2118">
        <v>8</v>
      </c>
      <c r="I2118" s="1">
        <v>12846.74</v>
      </c>
      <c r="J2118" t="s">
        <v>49</v>
      </c>
      <c r="K2118" t="s">
        <v>18</v>
      </c>
      <c r="L2118" t="str" cm="1">
        <f t="array" ref="L2118">_xlfn.IFS(B2118&lt;30,"18-29",B2118&lt;45,"30-44",B2118&lt;60,"45-59",B2118&lt;75,"60-74",B2118&lt;=90,"75-90")</f>
        <v>75-90</v>
      </c>
      <c r="M2118" t="str">
        <f>IF(Table1[[#This Row],[length_of_stay_days]]&gt;7,"Yes","No")</f>
        <v>Yes</v>
      </c>
    </row>
    <row r="2119" spans="1:13" x14ac:dyDescent="0.3">
      <c r="A2119" t="s">
        <v>2518</v>
      </c>
      <c r="B2119">
        <v>81</v>
      </c>
      <c r="C2119" t="s">
        <v>20</v>
      </c>
      <c r="D2119" t="s">
        <v>51</v>
      </c>
      <c r="E2119" t="s">
        <v>28</v>
      </c>
      <c r="F2119" t="s">
        <v>410</v>
      </c>
      <c r="G2119" t="s">
        <v>447</v>
      </c>
      <c r="H2119">
        <v>9</v>
      </c>
      <c r="I2119" s="1">
        <v>12167.63</v>
      </c>
      <c r="J2119" t="s">
        <v>17</v>
      </c>
      <c r="K2119" t="s">
        <v>18</v>
      </c>
      <c r="L2119" t="str" cm="1">
        <f t="array" ref="L2119">_xlfn.IFS(B2119&lt;30,"18-29",B2119&lt;45,"30-44",B2119&lt;60,"45-59",B2119&lt;75,"60-74",B2119&lt;=90,"75-90")</f>
        <v>75-90</v>
      </c>
      <c r="M2119" t="str">
        <f>IF(Table1[[#This Row],[length_of_stay_days]]&gt;7,"Yes","No")</f>
        <v>Yes</v>
      </c>
    </row>
    <row r="2120" spans="1:13" x14ac:dyDescent="0.3">
      <c r="A2120" t="s">
        <v>2519</v>
      </c>
      <c r="B2120">
        <v>47</v>
      </c>
      <c r="C2120" t="s">
        <v>12</v>
      </c>
      <c r="D2120" t="s">
        <v>46</v>
      </c>
      <c r="E2120" t="s">
        <v>14</v>
      </c>
      <c r="F2120" t="s">
        <v>26</v>
      </c>
      <c r="G2120" t="s">
        <v>256</v>
      </c>
      <c r="H2120">
        <v>6</v>
      </c>
      <c r="I2120" s="1">
        <v>14083.79</v>
      </c>
      <c r="J2120" t="s">
        <v>49</v>
      </c>
      <c r="K2120" t="s">
        <v>18</v>
      </c>
      <c r="L2120" t="str" cm="1">
        <f t="array" ref="L2120">_xlfn.IFS(B2120&lt;30,"18-29",B2120&lt;45,"30-44",B2120&lt;60,"45-59",B2120&lt;75,"60-74",B2120&lt;=90,"75-90")</f>
        <v>45-59</v>
      </c>
      <c r="M2120" t="str">
        <f>IF(Table1[[#This Row],[length_of_stay_days]]&gt;7,"Yes","No")</f>
        <v>No</v>
      </c>
    </row>
    <row r="2121" spans="1:13" x14ac:dyDescent="0.3">
      <c r="A2121" t="s">
        <v>2520</v>
      </c>
      <c r="B2121">
        <v>90</v>
      </c>
      <c r="C2121" t="s">
        <v>12</v>
      </c>
      <c r="D2121" t="s">
        <v>13</v>
      </c>
      <c r="E2121" t="s">
        <v>28</v>
      </c>
      <c r="F2121" t="s">
        <v>130</v>
      </c>
      <c r="G2121" t="s">
        <v>36</v>
      </c>
      <c r="H2121">
        <v>9</v>
      </c>
      <c r="I2121" s="1">
        <v>12247.61</v>
      </c>
      <c r="J2121" t="s">
        <v>17</v>
      </c>
      <c r="K2121" t="s">
        <v>18</v>
      </c>
      <c r="L2121" t="str" cm="1">
        <f t="array" ref="L2121">_xlfn.IFS(B2121&lt;30,"18-29",B2121&lt;45,"30-44",B2121&lt;60,"45-59",B2121&lt;75,"60-74",B2121&lt;=90,"75-90")</f>
        <v>75-90</v>
      </c>
      <c r="M2121" t="str">
        <f>IF(Table1[[#This Row],[length_of_stay_days]]&gt;7,"Yes","No")</f>
        <v>Yes</v>
      </c>
    </row>
    <row r="2122" spans="1:13" x14ac:dyDescent="0.3">
      <c r="A2122" t="s">
        <v>2521</v>
      </c>
      <c r="B2122">
        <v>50</v>
      </c>
      <c r="C2122" t="s">
        <v>12</v>
      </c>
      <c r="D2122" t="s">
        <v>28</v>
      </c>
      <c r="E2122" t="s">
        <v>28</v>
      </c>
      <c r="F2122" t="s">
        <v>207</v>
      </c>
      <c r="G2122" t="s">
        <v>485</v>
      </c>
      <c r="H2122">
        <v>1</v>
      </c>
      <c r="I2122" s="1">
        <v>4420.88</v>
      </c>
      <c r="J2122" t="s">
        <v>17</v>
      </c>
      <c r="K2122" t="s">
        <v>18</v>
      </c>
      <c r="L2122" t="str" cm="1">
        <f t="array" ref="L2122">_xlfn.IFS(B2122&lt;30,"18-29",B2122&lt;45,"30-44",B2122&lt;60,"45-59",B2122&lt;75,"60-74",B2122&lt;=90,"75-90")</f>
        <v>45-59</v>
      </c>
      <c r="M2122" t="str">
        <f>IF(Table1[[#This Row],[length_of_stay_days]]&gt;7,"Yes","No")</f>
        <v>No</v>
      </c>
    </row>
    <row r="2123" spans="1:13" x14ac:dyDescent="0.3">
      <c r="A2123" t="s">
        <v>2522</v>
      </c>
      <c r="B2123">
        <v>81</v>
      </c>
      <c r="C2123" t="s">
        <v>20</v>
      </c>
      <c r="D2123" t="s">
        <v>28</v>
      </c>
      <c r="E2123" t="s">
        <v>14</v>
      </c>
      <c r="F2123" t="s">
        <v>26</v>
      </c>
      <c r="G2123" t="s">
        <v>228</v>
      </c>
      <c r="H2123">
        <v>4</v>
      </c>
      <c r="I2123" s="1">
        <v>6355.58</v>
      </c>
      <c r="J2123" t="s">
        <v>49</v>
      </c>
      <c r="K2123" t="s">
        <v>18</v>
      </c>
      <c r="L2123" t="str" cm="1">
        <f t="array" ref="L2123">_xlfn.IFS(B2123&lt;30,"18-29",B2123&lt;45,"30-44",B2123&lt;60,"45-59",B2123&lt;75,"60-74",B2123&lt;=90,"75-90")</f>
        <v>75-90</v>
      </c>
      <c r="M2123" t="str">
        <f>IF(Table1[[#This Row],[length_of_stay_days]]&gt;7,"Yes","No")</f>
        <v>No</v>
      </c>
    </row>
    <row r="2124" spans="1:13" x14ac:dyDescent="0.3">
      <c r="A2124" t="s">
        <v>2523</v>
      </c>
      <c r="B2124">
        <v>76</v>
      </c>
      <c r="C2124" t="s">
        <v>12</v>
      </c>
      <c r="D2124" t="s">
        <v>55</v>
      </c>
      <c r="E2124" t="s">
        <v>28</v>
      </c>
      <c r="F2124" t="s">
        <v>491</v>
      </c>
      <c r="G2124" t="s">
        <v>390</v>
      </c>
      <c r="H2124">
        <v>10</v>
      </c>
      <c r="I2124" s="1">
        <v>12938.68</v>
      </c>
      <c r="J2124" t="s">
        <v>17</v>
      </c>
      <c r="K2124" t="s">
        <v>18</v>
      </c>
      <c r="L2124" t="str" cm="1">
        <f t="array" ref="L2124">_xlfn.IFS(B2124&lt;30,"18-29",B2124&lt;45,"30-44",B2124&lt;60,"45-59",B2124&lt;75,"60-74",B2124&lt;=90,"75-90")</f>
        <v>75-90</v>
      </c>
      <c r="M2124" t="str">
        <f>IF(Table1[[#This Row],[length_of_stay_days]]&gt;7,"Yes","No")</f>
        <v>Yes</v>
      </c>
    </row>
    <row r="2125" spans="1:13" x14ac:dyDescent="0.3">
      <c r="A2125" t="s">
        <v>2524</v>
      </c>
      <c r="B2125">
        <v>81</v>
      </c>
      <c r="C2125" t="s">
        <v>20</v>
      </c>
      <c r="D2125" t="s">
        <v>28</v>
      </c>
      <c r="E2125" t="s">
        <v>14</v>
      </c>
      <c r="F2125" t="s">
        <v>975</v>
      </c>
      <c r="G2125" t="s">
        <v>581</v>
      </c>
      <c r="H2125">
        <v>5</v>
      </c>
      <c r="I2125" s="1">
        <v>6160.86</v>
      </c>
      <c r="J2125" t="s">
        <v>17</v>
      </c>
      <c r="K2125" t="s">
        <v>18</v>
      </c>
      <c r="L2125" t="str" cm="1">
        <f t="array" ref="L2125">_xlfn.IFS(B2125&lt;30,"18-29",B2125&lt;45,"30-44",B2125&lt;60,"45-59",B2125&lt;75,"60-74",B2125&lt;=90,"75-90")</f>
        <v>75-90</v>
      </c>
      <c r="M2125" t="str">
        <f>IF(Table1[[#This Row],[length_of_stay_days]]&gt;7,"Yes","No")</f>
        <v>No</v>
      </c>
    </row>
    <row r="2126" spans="1:13" x14ac:dyDescent="0.3">
      <c r="A2126" t="s">
        <v>2525</v>
      </c>
      <c r="B2126">
        <v>65</v>
      </c>
      <c r="C2126" t="s">
        <v>12</v>
      </c>
      <c r="D2126" t="s">
        <v>28</v>
      </c>
      <c r="E2126" t="s">
        <v>21</v>
      </c>
      <c r="F2126" t="s">
        <v>855</v>
      </c>
      <c r="G2126" t="s">
        <v>306</v>
      </c>
      <c r="H2126">
        <v>3</v>
      </c>
      <c r="I2126" s="1">
        <v>4843.43</v>
      </c>
      <c r="J2126" t="s">
        <v>17</v>
      </c>
      <c r="K2126" t="s">
        <v>18</v>
      </c>
      <c r="L2126" t="str" cm="1">
        <f t="array" ref="L2126">_xlfn.IFS(B2126&lt;30,"18-29",B2126&lt;45,"30-44",B2126&lt;60,"45-59",B2126&lt;75,"60-74",B2126&lt;=90,"75-90")</f>
        <v>60-74</v>
      </c>
      <c r="M2126" t="str">
        <f>IF(Table1[[#This Row],[length_of_stay_days]]&gt;7,"Yes","No")</f>
        <v>No</v>
      </c>
    </row>
    <row r="2127" spans="1:13" x14ac:dyDescent="0.3">
      <c r="A2127" t="s">
        <v>2526</v>
      </c>
      <c r="B2127">
        <v>27</v>
      </c>
      <c r="C2127" t="s">
        <v>12</v>
      </c>
      <c r="D2127" t="s">
        <v>32</v>
      </c>
      <c r="E2127" t="s">
        <v>28</v>
      </c>
      <c r="F2127" t="s">
        <v>474</v>
      </c>
      <c r="G2127" t="s">
        <v>339</v>
      </c>
      <c r="H2127">
        <v>6</v>
      </c>
      <c r="I2127" s="1">
        <v>10355.73</v>
      </c>
      <c r="J2127" t="s">
        <v>17</v>
      </c>
      <c r="K2127" t="s">
        <v>18</v>
      </c>
      <c r="L2127" t="str" cm="1">
        <f t="array" ref="L2127">_xlfn.IFS(B2127&lt;30,"18-29",B2127&lt;45,"30-44",B2127&lt;60,"45-59",B2127&lt;75,"60-74",B2127&lt;=90,"75-90")</f>
        <v>18-29</v>
      </c>
      <c r="M2127" t="str">
        <f>IF(Table1[[#This Row],[length_of_stay_days]]&gt;7,"Yes","No")</f>
        <v>No</v>
      </c>
    </row>
    <row r="2128" spans="1:13" x14ac:dyDescent="0.3">
      <c r="A2128" t="s">
        <v>2527</v>
      </c>
      <c r="B2128">
        <v>69</v>
      </c>
      <c r="C2128" t="s">
        <v>20</v>
      </c>
      <c r="D2128" t="s">
        <v>13</v>
      </c>
      <c r="E2128" t="s">
        <v>14</v>
      </c>
      <c r="F2128" t="s">
        <v>588</v>
      </c>
      <c r="G2128" t="s">
        <v>1248</v>
      </c>
      <c r="H2128">
        <v>1</v>
      </c>
      <c r="I2128" s="1">
        <v>6188.35</v>
      </c>
      <c r="J2128" t="s">
        <v>17</v>
      </c>
      <c r="K2128" t="s">
        <v>18</v>
      </c>
      <c r="L2128" t="str" cm="1">
        <f t="array" ref="L2128">_xlfn.IFS(B2128&lt;30,"18-29",B2128&lt;45,"30-44",B2128&lt;60,"45-59",B2128&lt;75,"60-74",B2128&lt;=90,"75-90")</f>
        <v>60-74</v>
      </c>
      <c r="M2128" t="str">
        <f>IF(Table1[[#This Row],[length_of_stay_days]]&gt;7,"Yes","No")</f>
        <v>No</v>
      </c>
    </row>
    <row r="2129" spans="1:13" x14ac:dyDescent="0.3">
      <c r="A2129" t="s">
        <v>2528</v>
      </c>
      <c r="B2129">
        <v>55</v>
      </c>
      <c r="C2129" t="s">
        <v>20</v>
      </c>
      <c r="D2129" t="s">
        <v>28</v>
      </c>
      <c r="E2129" t="s">
        <v>28</v>
      </c>
      <c r="F2129" t="s">
        <v>157</v>
      </c>
      <c r="G2129" t="s">
        <v>52</v>
      </c>
      <c r="H2129">
        <v>4</v>
      </c>
      <c r="I2129" s="1">
        <v>3217.79</v>
      </c>
      <c r="J2129" t="s">
        <v>17</v>
      </c>
      <c r="K2129" t="s">
        <v>18</v>
      </c>
      <c r="L2129" t="str" cm="1">
        <f t="array" ref="L2129">_xlfn.IFS(B2129&lt;30,"18-29",B2129&lt;45,"30-44",B2129&lt;60,"45-59",B2129&lt;75,"60-74",B2129&lt;=90,"75-90")</f>
        <v>45-59</v>
      </c>
      <c r="M2129" t="str">
        <f>IF(Table1[[#This Row],[length_of_stay_days]]&gt;7,"Yes","No")</f>
        <v>No</v>
      </c>
    </row>
    <row r="2130" spans="1:13" x14ac:dyDescent="0.3">
      <c r="A2130" t="s">
        <v>2529</v>
      </c>
      <c r="B2130">
        <v>21</v>
      </c>
      <c r="C2130" t="s">
        <v>20</v>
      </c>
      <c r="D2130" t="s">
        <v>28</v>
      </c>
      <c r="E2130" t="s">
        <v>14</v>
      </c>
      <c r="F2130" t="s">
        <v>58</v>
      </c>
      <c r="G2130" t="s">
        <v>111</v>
      </c>
      <c r="H2130">
        <v>2</v>
      </c>
      <c r="I2130" s="1">
        <v>4480.3</v>
      </c>
      <c r="J2130" t="s">
        <v>17</v>
      </c>
      <c r="K2130" t="s">
        <v>223</v>
      </c>
      <c r="L2130" t="str" cm="1">
        <f t="array" ref="L2130">_xlfn.IFS(B2130&lt;30,"18-29",B2130&lt;45,"30-44",B2130&lt;60,"45-59",B2130&lt;75,"60-74",B2130&lt;=90,"75-90")</f>
        <v>18-29</v>
      </c>
      <c r="M2130" t="str">
        <f>IF(Table1[[#This Row],[length_of_stay_days]]&gt;7,"Yes","No")</f>
        <v>No</v>
      </c>
    </row>
    <row r="2131" spans="1:13" x14ac:dyDescent="0.3">
      <c r="A2131" t="s">
        <v>2530</v>
      </c>
      <c r="B2131">
        <v>68</v>
      </c>
      <c r="C2131" t="s">
        <v>20</v>
      </c>
      <c r="D2131" t="s">
        <v>46</v>
      </c>
      <c r="E2131" t="s">
        <v>14</v>
      </c>
      <c r="F2131" t="s">
        <v>108</v>
      </c>
      <c r="G2131" t="s">
        <v>266</v>
      </c>
      <c r="H2131">
        <v>9</v>
      </c>
      <c r="I2131" s="1">
        <v>13996.24</v>
      </c>
      <c r="J2131" t="s">
        <v>17</v>
      </c>
      <c r="K2131" t="s">
        <v>18</v>
      </c>
      <c r="L2131" t="str" cm="1">
        <f t="array" ref="L2131">_xlfn.IFS(B2131&lt;30,"18-29",B2131&lt;45,"30-44",B2131&lt;60,"45-59",B2131&lt;75,"60-74",B2131&lt;=90,"75-90")</f>
        <v>60-74</v>
      </c>
      <c r="M2131" t="str">
        <f>IF(Table1[[#This Row],[length_of_stay_days]]&gt;7,"Yes","No")</f>
        <v>Yes</v>
      </c>
    </row>
    <row r="2132" spans="1:13" x14ac:dyDescent="0.3">
      <c r="A2132" t="s">
        <v>2531</v>
      </c>
      <c r="B2132">
        <v>77</v>
      </c>
      <c r="C2132" t="s">
        <v>20</v>
      </c>
      <c r="D2132" t="s">
        <v>55</v>
      </c>
      <c r="E2132" t="s">
        <v>28</v>
      </c>
      <c r="F2132" t="s">
        <v>449</v>
      </c>
      <c r="G2132" t="s">
        <v>467</v>
      </c>
      <c r="H2132">
        <v>10</v>
      </c>
      <c r="I2132" s="1">
        <v>12624.46</v>
      </c>
      <c r="J2132" t="s">
        <v>17</v>
      </c>
      <c r="K2132" t="s">
        <v>18</v>
      </c>
      <c r="L2132" t="str" cm="1">
        <f t="array" ref="L2132">_xlfn.IFS(B2132&lt;30,"18-29",B2132&lt;45,"30-44",B2132&lt;60,"45-59",B2132&lt;75,"60-74",B2132&lt;=90,"75-90")</f>
        <v>75-90</v>
      </c>
      <c r="M2132" t="str">
        <f>IF(Table1[[#This Row],[length_of_stay_days]]&gt;7,"Yes","No")</f>
        <v>Yes</v>
      </c>
    </row>
    <row r="2133" spans="1:13" x14ac:dyDescent="0.3">
      <c r="A2133" t="s">
        <v>2532</v>
      </c>
      <c r="B2133">
        <v>31</v>
      </c>
      <c r="C2133" t="s">
        <v>12</v>
      </c>
      <c r="D2133" t="s">
        <v>55</v>
      </c>
      <c r="E2133" t="s">
        <v>14</v>
      </c>
      <c r="F2133" t="s">
        <v>210</v>
      </c>
      <c r="G2133" t="s">
        <v>53</v>
      </c>
      <c r="H2133">
        <v>5</v>
      </c>
      <c r="I2133" s="1">
        <v>9299.4599999999991</v>
      </c>
      <c r="J2133" t="s">
        <v>17</v>
      </c>
      <c r="K2133" t="s">
        <v>18</v>
      </c>
      <c r="L2133" t="str" cm="1">
        <f t="array" ref="L2133">_xlfn.IFS(B2133&lt;30,"18-29",B2133&lt;45,"30-44",B2133&lt;60,"45-59",B2133&lt;75,"60-74",B2133&lt;=90,"75-90")</f>
        <v>30-44</v>
      </c>
      <c r="M2133" t="str">
        <f>IF(Table1[[#This Row],[length_of_stay_days]]&gt;7,"Yes","No")</f>
        <v>No</v>
      </c>
    </row>
    <row r="2134" spans="1:13" x14ac:dyDescent="0.3">
      <c r="A2134" t="s">
        <v>2533</v>
      </c>
      <c r="B2134">
        <v>50</v>
      </c>
      <c r="C2134" t="s">
        <v>20</v>
      </c>
      <c r="D2134" t="s">
        <v>55</v>
      </c>
      <c r="E2134" t="s">
        <v>28</v>
      </c>
      <c r="F2134" t="s">
        <v>132</v>
      </c>
      <c r="G2134" t="s">
        <v>264</v>
      </c>
      <c r="H2134">
        <v>7</v>
      </c>
      <c r="I2134" s="1">
        <v>11347.56</v>
      </c>
      <c r="J2134" t="s">
        <v>17</v>
      </c>
      <c r="K2134" t="s">
        <v>18</v>
      </c>
      <c r="L2134" t="str" cm="1">
        <f t="array" ref="L2134">_xlfn.IFS(B2134&lt;30,"18-29",B2134&lt;45,"30-44",B2134&lt;60,"45-59",B2134&lt;75,"60-74",B2134&lt;=90,"75-90")</f>
        <v>45-59</v>
      </c>
      <c r="M2134" t="str">
        <f>IF(Table1[[#This Row],[length_of_stay_days]]&gt;7,"Yes","No")</f>
        <v>No</v>
      </c>
    </row>
    <row r="2135" spans="1:13" x14ac:dyDescent="0.3">
      <c r="A2135" t="s">
        <v>2534</v>
      </c>
      <c r="B2135">
        <v>71</v>
      </c>
      <c r="C2135" t="s">
        <v>12</v>
      </c>
      <c r="D2135" t="s">
        <v>32</v>
      </c>
      <c r="E2135" t="s">
        <v>21</v>
      </c>
      <c r="F2135" t="s">
        <v>514</v>
      </c>
      <c r="G2135" t="s">
        <v>203</v>
      </c>
      <c r="H2135">
        <v>1</v>
      </c>
      <c r="I2135" s="1">
        <v>7210.8</v>
      </c>
      <c r="J2135" t="s">
        <v>17</v>
      </c>
      <c r="K2135" t="s">
        <v>18</v>
      </c>
      <c r="L2135" t="str" cm="1">
        <f t="array" ref="L2135">_xlfn.IFS(B2135&lt;30,"18-29",B2135&lt;45,"30-44",B2135&lt;60,"45-59",B2135&lt;75,"60-74",B2135&lt;=90,"75-90")</f>
        <v>60-74</v>
      </c>
      <c r="M2135" t="str">
        <f>IF(Table1[[#This Row],[length_of_stay_days]]&gt;7,"Yes","No")</f>
        <v>No</v>
      </c>
    </row>
    <row r="2136" spans="1:13" x14ac:dyDescent="0.3">
      <c r="A2136" t="s">
        <v>2535</v>
      </c>
      <c r="B2136">
        <v>51</v>
      </c>
      <c r="C2136" t="s">
        <v>12</v>
      </c>
      <c r="D2136" t="s">
        <v>13</v>
      </c>
      <c r="E2136" t="s">
        <v>28</v>
      </c>
      <c r="F2136" t="s">
        <v>36</v>
      </c>
      <c r="G2136" t="s">
        <v>116</v>
      </c>
      <c r="H2136">
        <v>7</v>
      </c>
      <c r="I2136" s="1">
        <v>7642.42</v>
      </c>
      <c r="J2136" t="s">
        <v>17</v>
      </c>
      <c r="K2136" t="s">
        <v>18</v>
      </c>
      <c r="L2136" t="str" cm="1">
        <f t="array" ref="L2136">_xlfn.IFS(B2136&lt;30,"18-29",B2136&lt;45,"30-44",B2136&lt;60,"45-59",B2136&lt;75,"60-74",B2136&lt;=90,"75-90")</f>
        <v>45-59</v>
      </c>
      <c r="M2136" t="str">
        <f>IF(Table1[[#This Row],[length_of_stay_days]]&gt;7,"Yes","No")</f>
        <v>No</v>
      </c>
    </row>
    <row r="2137" spans="1:13" x14ac:dyDescent="0.3">
      <c r="A2137" t="s">
        <v>2536</v>
      </c>
      <c r="B2137">
        <v>53</v>
      </c>
      <c r="C2137" t="s">
        <v>12</v>
      </c>
      <c r="D2137" t="s">
        <v>13</v>
      </c>
      <c r="E2137" t="s">
        <v>21</v>
      </c>
      <c r="F2137" t="s">
        <v>648</v>
      </c>
      <c r="G2137" t="s">
        <v>778</v>
      </c>
      <c r="H2137">
        <v>8</v>
      </c>
      <c r="I2137" s="1">
        <v>6249</v>
      </c>
      <c r="J2137" t="s">
        <v>17</v>
      </c>
      <c r="K2137" t="s">
        <v>18</v>
      </c>
      <c r="L2137" t="str" cm="1">
        <f t="array" ref="L2137">_xlfn.IFS(B2137&lt;30,"18-29",B2137&lt;45,"30-44",B2137&lt;60,"45-59",B2137&lt;75,"60-74",B2137&lt;=90,"75-90")</f>
        <v>45-59</v>
      </c>
      <c r="M2137" t="str">
        <f>IF(Table1[[#This Row],[length_of_stay_days]]&gt;7,"Yes","No")</f>
        <v>Yes</v>
      </c>
    </row>
    <row r="2138" spans="1:13" x14ac:dyDescent="0.3">
      <c r="A2138" t="s">
        <v>2537</v>
      </c>
      <c r="B2138">
        <v>28</v>
      </c>
      <c r="C2138" t="s">
        <v>20</v>
      </c>
      <c r="D2138" t="s">
        <v>55</v>
      </c>
      <c r="E2138" t="s">
        <v>14</v>
      </c>
      <c r="F2138" t="s">
        <v>791</v>
      </c>
      <c r="G2138" t="s">
        <v>95</v>
      </c>
      <c r="H2138">
        <v>4</v>
      </c>
      <c r="I2138" s="1">
        <v>10958.28</v>
      </c>
      <c r="J2138" t="s">
        <v>17</v>
      </c>
      <c r="K2138" t="s">
        <v>18</v>
      </c>
      <c r="L2138" t="str" cm="1">
        <f t="array" ref="L2138">_xlfn.IFS(B2138&lt;30,"18-29",B2138&lt;45,"30-44",B2138&lt;60,"45-59",B2138&lt;75,"60-74",B2138&lt;=90,"75-90")</f>
        <v>18-29</v>
      </c>
      <c r="M2138" t="str">
        <f>IF(Table1[[#This Row],[length_of_stay_days]]&gt;7,"Yes","No")</f>
        <v>No</v>
      </c>
    </row>
    <row r="2139" spans="1:13" x14ac:dyDescent="0.3">
      <c r="A2139" t="s">
        <v>2538</v>
      </c>
      <c r="B2139">
        <v>31</v>
      </c>
      <c r="C2139" t="s">
        <v>20</v>
      </c>
      <c r="D2139" t="s">
        <v>32</v>
      </c>
      <c r="E2139" t="s">
        <v>28</v>
      </c>
      <c r="F2139" t="s">
        <v>481</v>
      </c>
      <c r="G2139" t="s">
        <v>114</v>
      </c>
      <c r="H2139">
        <v>9</v>
      </c>
      <c r="I2139" s="1">
        <v>13608.61</v>
      </c>
      <c r="J2139" t="s">
        <v>17</v>
      </c>
      <c r="K2139" t="s">
        <v>18</v>
      </c>
      <c r="L2139" t="str" cm="1">
        <f t="array" ref="L2139">_xlfn.IFS(B2139&lt;30,"18-29",B2139&lt;45,"30-44",B2139&lt;60,"45-59",B2139&lt;75,"60-74",B2139&lt;=90,"75-90")</f>
        <v>30-44</v>
      </c>
      <c r="M2139" t="str">
        <f>IF(Table1[[#This Row],[length_of_stay_days]]&gt;7,"Yes","No")</f>
        <v>Yes</v>
      </c>
    </row>
    <row r="2140" spans="1:13" x14ac:dyDescent="0.3">
      <c r="A2140" t="s">
        <v>2539</v>
      </c>
      <c r="B2140">
        <v>38</v>
      </c>
      <c r="C2140" t="s">
        <v>20</v>
      </c>
      <c r="D2140" t="s">
        <v>13</v>
      </c>
      <c r="E2140" t="s">
        <v>28</v>
      </c>
      <c r="F2140" t="s">
        <v>189</v>
      </c>
      <c r="G2140" t="s">
        <v>141</v>
      </c>
      <c r="H2140">
        <v>5</v>
      </c>
      <c r="I2140" s="1">
        <v>7908.64</v>
      </c>
      <c r="J2140" t="s">
        <v>17</v>
      </c>
      <c r="K2140" t="s">
        <v>18</v>
      </c>
      <c r="L2140" t="str" cm="1">
        <f t="array" ref="L2140">_xlfn.IFS(B2140&lt;30,"18-29",B2140&lt;45,"30-44",B2140&lt;60,"45-59",B2140&lt;75,"60-74",B2140&lt;=90,"75-90")</f>
        <v>30-44</v>
      </c>
      <c r="M2140" t="str">
        <f>IF(Table1[[#This Row],[length_of_stay_days]]&gt;7,"Yes","No")</f>
        <v>No</v>
      </c>
    </row>
    <row r="2141" spans="1:13" x14ac:dyDescent="0.3">
      <c r="A2141" t="s">
        <v>2540</v>
      </c>
      <c r="B2141">
        <v>39</v>
      </c>
      <c r="C2141" t="s">
        <v>12</v>
      </c>
      <c r="D2141" t="s">
        <v>55</v>
      </c>
      <c r="E2141" t="s">
        <v>28</v>
      </c>
      <c r="F2141" t="s">
        <v>319</v>
      </c>
      <c r="G2141" t="s">
        <v>320</v>
      </c>
      <c r="H2141">
        <v>4</v>
      </c>
      <c r="I2141" s="1">
        <v>9693.09</v>
      </c>
      <c r="J2141" t="s">
        <v>17</v>
      </c>
      <c r="K2141" t="s">
        <v>18</v>
      </c>
      <c r="L2141" t="str" cm="1">
        <f t="array" ref="L2141">_xlfn.IFS(B2141&lt;30,"18-29",B2141&lt;45,"30-44",B2141&lt;60,"45-59",B2141&lt;75,"60-74",B2141&lt;=90,"75-90")</f>
        <v>30-44</v>
      </c>
      <c r="M2141" t="str">
        <f>IF(Table1[[#This Row],[length_of_stay_days]]&gt;7,"Yes","No")</f>
        <v>No</v>
      </c>
    </row>
    <row r="2142" spans="1:13" x14ac:dyDescent="0.3">
      <c r="A2142" t="s">
        <v>2541</v>
      </c>
      <c r="B2142">
        <v>84</v>
      </c>
      <c r="C2142" t="s">
        <v>20</v>
      </c>
      <c r="D2142" t="s">
        <v>13</v>
      </c>
      <c r="E2142" t="s">
        <v>14</v>
      </c>
      <c r="F2142" t="s">
        <v>644</v>
      </c>
      <c r="G2142" t="s">
        <v>292</v>
      </c>
      <c r="H2142">
        <v>6</v>
      </c>
      <c r="I2142" s="1">
        <v>6760.33</v>
      </c>
      <c r="J2142" t="s">
        <v>17</v>
      </c>
      <c r="K2142" t="s">
        <v>18</v>
      </c>
      <c r="L2142" t="str" cm="1">
        <f t="array" ref="L2142">_xlfn.IFS(B2142&lt;30,"18-29",B2142&lt;45,"30-44",B2142&lt;60,"45-59",B2142&lt;75,"60-74",B2142&lt;=90,"75-90")</f>
        <v>75-90</v>
      </c>
      <c r="M2142" t="str">
        <f>IF(Table1[[#This Row],[length_of_stay_days]]&gt;7,"Yes","No")</f>
        <v>No</v>
      </c>
    </row>
    <row r="2143" spans="1:13" x14ac:dyDescent="0.3">
      <c r="A2143" t="s">
        <v>2542</v>
      </c>
      <c r="B2143">
        <v>76</v>
      </c>
      <c r="C2143" t="s">
        <v>20</v>
      </c>
      <c r="D2143" t="s">
        <v>28</v>
      </c>
      <c r="E2143" t="s">
        <v>28</v>
      </c>
      <c r="F2143" t="s">
        <v>74</v>
      </c>
      <c r="G2143" t="s">
        <v>676</v>
      </c>
      <c r="H2143">
        <v>3</v>
      </c>
      <c r="I2143" s="1">
        <v>3832.01</v>
      </c>
      <c r="J2143" t="s">
        <v>17</v>
      </c>
      <c r="K2143" t="s">
        <v>18</v>
      </c>
      <c r="L2143" t="str" cm="1">
        <f t="array" ref="L2143">_xlfn.IFS(B2143&lt;30,"18-29",B2143&lt;45,"30-44",B2143&lt;60,"45-59",B2143&lt;75,"60-74",B2143&lt;=90,"75-90")</f>
        <v>75-90</v>
      </c>
      <c r="M2143" t="str">
        <f>IF(Table1[[#This Row],[length_of_stay_days]]&gt;7,"Yes","No")</f>
        <v>No</v>
      </c>
    </row>
    <row r="2144" spans="1:13" x14ac:dyDescent="0.3">
      <c r="A2144" t="s">
        <v>2543</v>
      </c>
      <c r="B2144">
        <v>80</v>
      </c>
      <c r="C2144" t="s">
        <v>20</v>
      </c>
      <c r="D2144" t="s">
        <v>13</v>
      </c>
      <c r="E2144" t="s">
        <v>14</v>
      </c>
      <c r="F2144" t="s">
        <v>526</v>
      </c>
      <c r="G2144" t="s">
        <v>520</v>
      </c>
      <c r="H2144">
        <v>2</v>
      </c>
      <c r="I2144" s="1">
        <v>5836.46</v>
      </c>
      <c r="J2144" t="s">
        <v>17</v>
      </c>
      <c r="K2144" t="s">
        <v>18</v>
      </c>
      <c r="L2144" t="str" cm="1">
        <f t="array" ref="L2144">_xlfn.IFS(B2144&lt;30,"18-29",B2144&lt;45,"30-44",B2144&lt;60,"45-59",B2144&lt;75,"60-74",B2144&lt;=90,"75-90")</f>
        <v>75-90</v>
      </c>
      <c r="M2144" t="str">
        <f>IF(Table1[[#This Row],[length_of_stay_days]]&gt;7,"Yes","No")</f>
        <v>No</v>
      </c>
    </row>
    <row r="2145" spans="1:13" x14ac:dyDescent="0.3">
      <c r="A2145" t="s">
        <v>2544</v>
      </c>
      <c r="B2145">
        <v>47</v>
      </c>
      <c r="C2145" t="s">
        <v>12</v>
      </c>
      <c r="D2145" t="s">
        <v>28</v>
      </c>
      <c r="E2145" t="s">
        <v>21</v>
      </c>
      <c r="F2145" t="s">
        <v>478</v>
      </c>
      <c r="G2145" t="s">
        <v>140</v>
      </c>
      <c r="H2145">
        <v>7</v>
      </c>
      <c r="I2145" s="1">
        <v>7799.82</v>
      </c>
      <c r="J2145" t="s">
        <v>17</v>
      </c>
      <c r="K2145" t="s">
        <v>18</v>
      </c>
      <c r="L2145" t="str" cm="1">
        <f t="array" ref="L2145">_xlfn.IFS(B2145&lt;30,"18-29",B2145&lt;45,"30-44",B2145&lt;60,"45-59",B2145&lt;75,"60-74",B2145&lt;=90,"75-90")</f>
        <v>45-59</v>
      </c>
      <c r="M2145" t="str">
        <f>IF(Table1[[#This Row],[length_of_stay_days]]&gt;7,"Yes","No")</f>
        <v>No</v>
      </c>
    </row>
    <row r="2146" spans="1:13" x14ac:dyDescent="0.3">
      <c r="A2146" t="s">
        <v>2545</v>
      </c>
      <c r="B2146">
        <v>26</v>
      </c>
      <c r="C2146" t="s">
        <v>20</v>
      </c>
      <c r="D2146" t="s">
        <v>32</v>
      </c>
      <c r="E2146" t="s">
        <v>28</v>
      </c>
      <c r="F2146" t="s">
        <v>574</v>
      </c>
      <c r="G2146" t="s">
        <v>447</v>
      </c>
      <c r="H2146">
        <v>6</v>
      </c>
      <c r="I2146" s="1">
        <v>10576.89</v>
      </c>
      <c r="J2146" t="s">
        <v>17</v>
      </c>
      <c r="K2146" t="s">
        <v>18</v>
      </c>
      <c r="L2146" t="str" cm="1">
        <f t="array" ref="L2146">_xlfn.IFS(B2146&lt;30,"18-29",B2146&lt;45,"30-44",B2146&lt;60,"45-59",B2146&lt;75,"60-74",B2146&lt;=90,"75-90")</f>
        <v>18-29</v>
      </c>
      <c r="M2146" t="str">
        <f>IF(Table1[[#This Row],[length_of_stay_days]]&gt;7,"Yes","No")</f>
        <v>No</v>
      </c>
    </row>
    <row r="2147" spans="1:13" x14ac:dyDescent="0.3">
      <c r="A2147" t="s">
        <v>2546</v>
      </c>
      <c r="B2147">
        <v>25</v>
      </c>
      <c r="C2147" t="s">
        <v>12</v>
      </c>
      <c r="D2147" t="s">
        <v>28</v>
      </c>
      <c r="E2147" t="s">
        <v>28</v>
      </c>
      <c r="F2147" t="s">
        <v>821</v>
      </c>
      <c r="G2147" t="s">
        <v>84</v>
      </c>
      <c r="H2147">
        <v>6</v>
      </c>
      <c r="I2147" s="1">
        <v>8032.31</v>
      </c>
      <c r="J2147" t="s">
        <v>17</v>
      </c>
      <c r="K2147" t="s">
        <v>18</v>
      </c>
      <c r="L2147" t="str" cm="1">
        <f t="array" ref="L2147">_xlfn.IFS(B2147&lt;30,"18-29",B2147&lt;45,"30-44",B2147&lt;60,"45-59",B2147&lt;75,"60-74",B2147&lt;=90,"75-90")</f>
        <v>18-29</v>
      </c>
      <c r="M2147" t="str">
        <f>IF(Table1[[#This Row],[length_of_stay_days]]&gt;7,"Yes","No")</f>
        <v>No</v>
      </c>
    </row>
    <row r="2148" spans="1:13" x14ac:dyDescent="0.3">
      <c r="A2148" t="s">
        <v>2547</v>
      </c>
      <c r="B2148">
        <v>70</v>
      </c>
      <c r="C2148" t="s">
        <v>12</v>
      </c>
      <c r="D2148" t="s">
        <v>13</v>
      </c>
      <c r="E2148" t="s">
        <v>21</v>
      </c>
      <c r="F2148" t="s">
        <v>256</v>
      </c>
      <c r="G2148" t="s">
        <v>243</v>
      </c>
      <c r="H2148">
        <v>6</v>
      </c>
      <c r="I2148" s="1">
        <v>7311.48</v>
      </c>
      <c r="J2148" t="s">
        <v>17</v>
      </c>
      <c r="K2148" t="s">
        <v>18</v>
      </c>
      <c r="L2148" t="str" cm="1">
        <f t="array" ref="L2148">_xlfn.IFS(B2148&lt;30,"18-29",B2148&lt;45,"30-44",B2148&lt;60,"45-59",B2148&lt;75,"60-74",B2148&lt;=90,"75-90")</f>
        <v>60-74</v>
      </c>
      <c r="M2148" t="str">
        <f>IF(Table1[[#This Row],[length_of_stay_days]]&gt;7,"Yes","No")</f>
        <v>No</v>
      </c>
    </row>
    <row r="2149" spans="1:13" x14ac:dyDescent="0.3">
      <c r="A2149" t="s">
        <v>2548</v>
      </c>
      <c r="B2149">
        <v>33</v>
      </c>
      <c r="C2149" t="s">
        <v>20</v>
      </c>
      <c r="D2149" t="s">
        <v>51</v>
      </c>
      <c r="E2149" t="s">
        <v>14</v>
      </c>
      <c r="F2149" t="s">
        <v>225</v>
      </c>
      <c r="G2149" t="s">
        <v>143</v>
      </c>
      <c r="H2149">
        <v>7</v>
      </c>
      <c r="I2149" s="1">
        <v>11318.83</v>
      </c>
      <c r="J2149" t="s">
        <v>17</v>
      </c>
      <c r="K2149" t="s">
        <v>18</v>
      </c>
      <c r="L2149" t="str" cm="1">
        <f t="array" ref="L2149">_xlfn.IFS(B2149&lt;30,"18-29",B2149&lt;45,"30-44",B2149&lt;60,"45-59",B2149&lt;75,"60-74",B2149&lt;=90,"75-90")</f>
        <v>30-44</v>
      </c>
      <c r="M2149" t="str">
        <f>IF(Table1[[#This Row],[length_of_stay_days]]&gt;7,"Yes","No")</f>
        <v>No</v>
      </c>
    </row>
    <row r="2150" spans="1:13" x14ac:dyDescent="0.3">
      <c r="A2150" t="s">
        <v>2549</v>
      </c>
      <c r="B2150">
        <v>44</v>
      </c>
      <c r="C2150" t="s">
        <v>12</v>
      </c>
      <c r="D2150" t="s">
        <v>28</v>
      </c>
      <c r="E2150" t="s">
        <v>14</v>
      </c>
      <c r="F2150" t="s">
        <v>155</v>
      </c>
      <c r="G2150" t="s">
        <v>62</v>
      </c>
      <c r="H2150">
        <v>5</v>
      </c>
      <c r="I2150" s="1">
        <v>6615.23</v>
      </c>
      <c r="J2150" t="s">
        <v>17</v>
      </c>
      <c r="K2150" t="s">
        <v>18</v>
      </c>
      <c r="L2150" t="str" cm="1">
        <f t="array" ref="L2150">_xlfn.IFS(B2150&lt;30,"18-29",B2150&lt;45,"30-44",B2150&lt;60,"45-59",B2150&lt;75,"60-74",B2150&lt;=90,"75-90")</f>
        <v>30-44</v>
      </c>
      <c r="M2150" t="str">
        <f>IF(Table1[[#This Row],[length_of_stay_days]]&gt;7,"Yes","No")</f>
        <v>No</v>
      </c>
    </row>
    <row r="2151" spans="1:13" x14ac:dyDescent="0.3">
      <c r="A2151" t="s">
        <v>2550</v>
      </c>
      <c r="B2151">
        <v>53</v>
      </c>
      <c r="C2151" t="s">
        <v>20</v>
      </c>
      <c r="D2151" t="s">
        <v>28</v>
      </c>
      <c r="E2151" t="s">
        <v>28</v>
      </c>
      <c r="F2151" t="s">
        <v>415</v>
      </c>
      <c r="G2151" t="s">
        <v>68</v>
      </c>
      <c r="H2151">
        <v>5</v>
      </c>
      <c r="I2151" s="1">
        <v>5580.78</v>
      </c>
      <c r="J2151" t="s">
        <v>17</v>
      </c>
      <c r="K2151" t="s">
        <v>44</v>
      </c>
      <c r="L2151" t="str" cm="1">
        <f t="array" ref="L2151">_xlfn.IFS(B2151&lt;30,"18-29",B2151&lt;45,"30-44",B2151&lt;60,"45-59",B2151&lt;75,"60-74",B2151&lt;=90,"75-90")</f>
        <v>45-59</v>
      </c>
      <c r="M2151" t="str">
        <f>IF(Table1[[#This Row],[length_of_stay_days]]&gt;7,"Yes","No")</f>
        <v>No</v>
      </c>
    </row>
    <row r="2152" spans="1:13" x14ac:dyDescent="0.3">
      <c r="A2152" t="s">
        <v>2551</v>
      </c>
      <c r="B2152">
        <v>78</v>
      </c>
      <c r="C2152" t="s">
        <v>20</v>
      </c>
      <c r="D2152" t="s">
        <v>32</v>
      </c>
      <c r="E2152" t="s">
        <v>14</v>
      </c>
      <c r="F2152" t="s">
        <v>261</v>
      </c>
      <c r="G2152" t="s">
        <v>390</v>
      </c>
      <c r="H2152">
        <v>6</v>
      </c>
      <c r="I2152" s="1">
        <v>9161.67</v>
      </c>
      <c r="J2152" t="s">
        <v>17</v>
      </c>
      <c r="K2152" t="s">
        <v>18</v>
      </c>
      <c r="L2152" t="str" cm="1">
        <f t="array" ref="L2152">_xlfn.IFS(B2152&lt;30,"18-29",B2152&lt;45,"30-44",B2152&lt;60,"45-59",B2152&lt;75,"60-74",B2152&lt;=90,"75-90")</f>
        <v>75-90</v>
      </c>
      <c r="M2152" t="str">
        <f>IF(Table1[[#This Row],[length_of_stay_days]]&gt;7,"Yes","No")</f>
        <v>No</v>
      </c>
    </row>
    <row r="2153" spans="1:13" x14ac:dyDescent="0.3">
      <c r="A2153" t="s">
        <v>2552</v>
      </c>
      <c r="B2153">
        <v>85</v>
      </c>
      <c r="C2153" t="s">
        <v>20</v>
      </c>
      <c r="D2153" t="s">
        <v>32</v>
      </c>
      <c r="E2153" t="s">
        <v>28</v>
      </c>
      <c r="F2153" t="s">
        <v>114</v>
      </c>
      <c r="G2153" t="s">
        <v>64</v>
      </c>
      <c r="H2153">
        <v>5</v>
      </c>
      <c r="I2153" s="1">
        <v>9847.25</v>
      </c>
      <c r="J2153" t="s">
        <v>49</v>
      </c>
      <c r="K2153" t="s">
        <v>44</v>
      </c>
      <c r="L2153" t="str" cm="1">
        <f t="array" ref="L2153">_xlfn.IFS(B2153&lt;30,"18-29",B2153&lt;45,"30-44",B2153&lt;60,"45-59",B2153&lt;75,"60-74",B2153&lt;=90,"75-90")</f>
        <v>75-90</v>
      </c>
      <c r="M2153" t="str">
        <f>IF(Table1[[#This Row],[length_of_stay_days]]&gt;7,"Yes","No")</f>
        <v>No</v>
      </c>
    </row>
    <row r="2154" spans="1:13" x14ac:dyDescent="0.3">
      <c r="A2154" t="s">
        <v>2553</v>
      </c>
      <c r="B2154">
        <v>40</v>
      </c>
      <c r="C2154" t="s">
        <v>20</v>
      </c>
      <c r="D2154" t="s">
        <v>55</v>
      </c>
      <c r="E2154" t="s">
        <v>28</v>
      </c>
      <c r="F2154" t="s">
        <v>68</v>
      </c>
      <c r="G2154" t="s">
        <v>526</v>
      </c>
      <c r="H2154">
        <v>6</v>
      </c>
      <c r="I2154" s="1">
        <v>11211.9</v>
      </c>
      <c r="J2154" t="s">
        <v>17</v>
      </c>
      <c r="K2154" t="s">
        <v>18</v>
      </c>
      <c r="L2154" t="str" cm="1">
        <f t="array" ref="L2154">_xlfn.IFS(B2154&lt;30,"18-29",B2154&lt;45,"30-44",B2154&lt;60,"45-59",B2154&lt;75,"60-74",B2154&lt;=90,"75-90")</f>
        <v>30-44</v>
      </c>
      <c r="M2154" t="str">
        <f>IF(Table1[[#This Row],[length_of_stay_days]]&gt;7,"Yes","No")</f>
        <v>No</v>
      </c>
    </row>
    <row r="2155" spans="1:13" x14ac:dyDescent="0.3">
      <c r="A2155" t="s">
        <v>2554</v>
      </c>
      <c r="B2155">
        <v>38</v>
      </c>
      <c r="C2155" t="s">
        <v>12</v>
      </c>
      <c r="D2155" t="s">
        <v>55</v>
      </c>
      <c r="E2155" t="s">
        <v>21</v>
      </c>
      <c r="F2155" t="s">
        <v>378</v>
      </c>
      <c r="G2155" t="s">
        <v>823</v>
      </c>
      <c r="H2155">
        <v>1</v>
      </c>
      <c r="I2155" s="1">
        <v>4634.51</v>
      </c>
      <c r="J2155" t="s">
        <v>17</v>
      </c>
      <c r="K2155" t="s">
        <v>18</v>
      </c>
      <c r="L2155" t="str" cm="1">
        <f t="array" ref="L2155">_xlfn.IFS(B2155&lt;30,"18-29",B2155&lt;45,"30-44",B2155&lt;60,"45-59",B2155&lt;75,"60-74",B2155&lt;=90,"75-90")</f>
        <v>30-44</v>
      </c>
      <c r="M2155" t="str">
        <f>IF(Table1[[#This Row],[length_of_stay_days]]&gt;7,"Yes","No")</f>
        <v>No</v>
      </c>
    </row>
    <row r="2156" spans="1:13" x14ac:dyDescent="0.3">
      <c r="A2156" t="s">
        <v>2555</v>
      </c>
      <c r="B2156">
        <v>41</v>
      </c>
      <c r="C2156" t="s">
        <v>20</v>
      </c>
      <c r="D2156" t="s">
        <v>32</v>
      </c>
      <c r="E2156" t="s">
        <v>28</v>
      </c>
      <c r="F2156" t="s">
        <v>415</v>
      </c>
      <c r="G2156" t="s">
        <v>219</v>
      </c>
      <c r="H2156">
        <v>7</v>
      </c>
      <c r="I2156" s="1">
        <v>11845.23</v>
      </c>
      <c r="J2156" t="s">
        <v>17</v>
      </c>
      <c r="K2156" t="s">
        <v>18</v>
      </c>
      <c r="L2156" t="str" cm="1">
        <f t="array" ref="L2156">_xlfn.IFS(B2156&lt;30,"18-29",B2156&lt;45,"30-44",B2156&lt;60,"45-59",B2156&lt;75,"60-74",B2156&lt;=90,"75-90")</f>
        <v>30-44</v>
      </c>
      <c r="M2156" t="str">
        <f>IF(Table1[[#This Row],[length_of_stay_days]]&gt;7,"Yes","No")</f>
        <v>No</v>
      </c>
    </row>
    <row r="2157" spans="1:13" x14ac:dyDescent="0.3">
      <c r="A2157" t="s">
        <v>2556</v>
      </c>
      <c r="B2157">
        <v>46</v>
      </c>
      <c r="C2157" t="s">
        <v>20</v>
      </c>
      <c r="D2157" t="s">
        <v>13</v>
      </c>
      <c r="E2157" t="s">
        <v>14</v>
      </c>
      <c r="F2157" t="s">
        <v>663</v>
      </c>
      <c r="G2157" t="s">
        <v>327</v>
      </c>
      <c r="H2157">
        <v>4</v>
      </c>
      <c r="I2157" s="1">
        <v>3751.67</v>
      </c>
      <c r="J2157" t="s">
        <v>17</v>
      </c>
      <c r="K2157" t="s">
        <v>18</v>
      </c>
      <c r="L2157" t="str" cm="1">
        <f t="array" ref="L2157">_xlfn.IFS(B2157&lt;30,"18-29",B2157&lt;45,"30-44",B2157&lt;60,"45-59",B2157&lt;75,"60-74",B2157&lt;=90,"75-90")</f>
        <v>45-59</v>
      </c>
      <c r="M2157" t="str">
        <f>IF(Table1[[#This Row],[length_of_stay_days]]&gt;7,"Yes","No")</f>
        <v>No</v>
      </c>
    </row>
    <row r="2158" spans="1:13" x14ac:dyDescent="0.3">
      <c r="A2158" t="s">
        <v>2557</v>
      </c>
      <c r="B2158">
        <v>34</v>
      </c>
      <c r="C2158" t="s">
        <v>20</v>
      </c>
      <c r="D2158" t="s">
        <v>28</v>
      </c>
      <c r="E2158" t="s">
        <v>28</v>
      </c>
      <c r="F2158" t="s">
        <v>574</v>
      </c>
      <c r="G2158" t="s">
        <v>646</v>
      </c>
      <c r="H2158">
        <v>1</v>
      </c>
      <c r="I2158" s="1">
        <v>3702.78</v>
      </c>
      <c r="J2158" t="s">
        <v>17</v>
      </c>
      <c r="K2158" t="s">
        <v>18</v>
      </c>
      <c r="L2158" t="str" cm="1">
        <f t="array" ref="L2158">_xlfn.IFS(B2158&lt;30,"18-29",B2158&lt;45,"30-44",B2158&lt;60,"45-59",B2158&lt;75,"60-74",B2158&lt;=90,"75-90")</f>
        <v>30-44</v>
      </c>
      <c r="M2158" t="str">
        <f>IF(Table1[[#This Row],[length_of_stay_days]]&gt;7,"Yes","No")</f>
        <v>No</v>
      </c>
    </row>
    <row r="2159" spans="1:13" x14ac:dyDescent="0.3">
      <c r="A2159" t="s">
        <v>2558</v>
      </c>
      <c r="B2159">
        <v>66</v>
      </c>
      <c r="C2159" t="s">
        <v>20</v>
      </c>
      <c r="D2159" t="s">
        <v>28</v>
      </c>
      <c r="E2159" t="s">
        <v>14</v>
      </c>
      <c r="F2159" t="s">
        <v>192</v>
      </c>
      <c r="G2159" t="s">
        <v>216</v>
      </c>
      <c r="H2159">
        <v>7</v>
      </c>
      <c r="I2159" s="1">
        <v>6628.96</v>
      </c>
      <c r="J2159" t="s">
        <v>49</v>
      </c>
      <c r="K2159" t="s">
        <v>18</v>
      </c>
      <c r="L2159" t="str" cm="1">
        <f t="array" ref="L2159">_xlfn.IFS(B2159&lt;30,"18-29",B2159&lt;45,"30-44",B2159&lt;60,"45-59",B2159&lt;75,"60-74",B2159&lt;=90,"75-90")</f>
        <v>60-74</v>
      </c>
      <c r="M2159" t="str">
        <f>IF(Table1[[#This Row],[length_of_stay_days]]&gt;7,"Yes","No")</f>
        <v>No</v>
      </c>
    </row>
    <row r="2160" spans="1:13" x14ac:dyDescent="0.3">
      <c r="A2160" t="s">
        <v>2559</v>
      </c>
      <c r="B2160">
        <v>40</v>
      </c>
      <c r="C2160" t="s">
        <v>12</v>
      </c>
      <c r="D2160" t="s">
        <v>55</v>
      </c>
      <c r="E2160" t="s">
        <v>28</v>
      </c>
      <c r="F2160" t="s">
        <v>1648</v>
      </c>
      <c r="G2160" t="s">
        <v>588</v>
      </c>
      <c r="H2160">
        <v>3</v>
      </c>
      <c r="I2160" s="1">
        <v>6160.32</v>
      </c>
      <c r="J2160" t="s">
        <v>17</v>
      </c>
      <c r="K2160" t="s">
        <v>18</v>
      </c>
      <c r="L2160" t="str" cm="1">
        <f t="array" ref="L2160">_xlfn.IFS(B2160&lt;30,"18-29",B2160&lt;45,"30-44",B2160&lt;60,"45-59",B2160&lt;75,"60-74",B2160&lt;=90,"75-90")</f>
        <v>30-44</v>
      </c>
      <c r="M2160" t="str">
        <f>IF(Table1[[#This Row],[length_of_stay_days]]&gt;7,"Yes","No")</f>
        <v>No</v>
      </c>
    </row>
    <row r="2161" spans="1:13" x14ac:dyDescent="0.3">
      <c r="A2161" t="s">
        <v>2560</v>
      </c>
      <c r="B2161">
        <v>73</v>
      </c>
      <c r="C2161" t="s">
        <v>20</v>
      </c>
      <c r="D2161" t="s">
        <v>55</v>
      </c>
      <c r="E2161" t="s">
        <v>28</v>
      </c>
      <c r="F2161" t="s">
        <v>264</v>
      </c>
      <c r="G2161" t="s">
        <v>509</v>
      </c>
      <c r="H2161">
        <v>6</v>
      </c>
      <c r="I2161" s="1">
        <v>9920.7099999999991</v>
      </c>
      <c r="J2161" t="s">
        <v>17</v>
      </c>
      <c r="K2161" t="s">
        <v>44</v>
      </c>
      <c r="L2161" t="str" cm="1">
        <f t="array" ref="L2161">_xlfn.IFS(B2161&lt;30,"18-29",B2161&lt;45,"30-44",B2161&lt;60,"45-59",B2161&lt;75,"60-74",B2161&lt;=90,"75-90")</f>
        <v>60-74</v>
      </c>
      <c r="M2161" t="str">
        <f>IF(Table1[[#This Row],[length_of_stay_days]]&gt;7,"Yes","No")</f>
        <v>No</v>
      </c>
    </row>
    <row r="2162" spans="1:13" x14ac:dyDescent="0.3">
      <c r="A2162" t="s">
        <v>2561</v>
      </c>
      <c r="B2162">
        <v>36</v>
      </c>
      <c r="C2162" t="s">
        <v>12</v>
      </c>
      <c r="D2162" t="s">
        <v>28</v>
      </c>
      <c r="E2162" t="s">
        <v>14</v>
      </c>
      <c r="F2162" t="s">
        <v>453</v>
      </c>
      <c r="G2162" t="s">
        <v>584</v>
      </c>
      <c r="H2162">
        <v>1</v>
      </c>
      <c r="I2162" s="1">
        <v>4522.71</v>
      </c>
      <c r="J2162" t="s">
        <v>17</v>
      </c>
      <c r="K2162" t="s">
        <v>18</v>
      </c>
      <c r="L2162" t="str" cm="1">
        <f t="array" ref="L2162">_xlfn.IFS(B2162&lt;30,"18-29",B2162&lt;45,"30-44",B2162&lt;60,"45-59",B2162&lt;75,"60-74",B2162&lt;=90,"75-90")</f>
        <v>30-44</v>
      </c>
      <c r="M2162" t="str">
        <f>IF(Table1[[#This Row],[length_of_stay_days]]&gt;7,"Yes","No")</f>
        <v>No</v>
      </c>
    </row>
    <row r="2163" spans="1:13" x14ac:dyDescent="0.3">
      <c r="A2163" t="s">
        <v>2562</v>
      </c>
      <c r="B2163">
        <v>22</v>
      </c>
      <c r="C2163" t="s">
        <v>12</v>
      </c>
      <c r="D2163" t="s">
        <v>28</v>
      </c>
      <c r="E2163" t="s">
        <v>28</v>
      </c>
      <c r="F2163" t="s">
        <v>469</v>
      </c>
      <c r="G2163" t="s">
        <v>1283</v>
      </c>
      <c r="H2163">
        <v>7</v>
      </c>
      <c r="I2163" s="1">
        <v>9756.5400000000009</v>
      </c>
      <c r="J2163" t="s">
        <v>17</v>
      </c>
      <c r="K2163" t="s">
        <v>18</v>
      </c>
      <c r="L2163" t="str" cm="1">
        <f t="array" ref="L2163">_xlfn.IFS(B2163&lt;30,"18-29",B2163&lt;45,"30-44",B2163&lt;60,"45-59",B2163&lt;75,"60-74",B2163&lt;=90,"75-90")</f>
        <v>18-29</v>
      </c>
      <c r="M2163" t="str">
        <f>IF(Table1[[#This Row],[length_of_stay_days]]&gt;7,"Yes","No")</f>
        <v>No</v>
      </c>
    </row>
    <row r="2164" spans="1:13" x14ac:dyDescent="0.3">
      <c r="A2164" t="s">
        <v>2563</v>
      </c>
      <c r="B2164">
        <v>27</v>
      </c>
      <c r="C2164" t="s">
        <v>20</v>
      </c>
      <c r="D2164" t="s">
        <v>13</v>
      </c>
      <c r="E2164" t="s">
        <v>14</v>
      </c>
      <c r="F2164" t="s">
        <v>499</v>
      </c>
      <c r="G2164" t="s">
        <v>64</v>
      </c>
      <c r="H2164">
        <v>8</v>
      </c>
      <c r="I2164" s="1">
        <v>8792.14</v>
      </c>
      <c r="J2164" t="s">
        <v>17</v>
      </c>
      <c r="K2164" t="s">
        <v>18</v>
      </c>
      <c r="L2164" t="str" cm="1">
        <f t="array" ref="L2164">_xlfn.IFS(B2164&lt;30,"18-29",B2164&lt;45,"30-44",B2164&lt;60,"45-59",B2164&lt;75,"60-74",B2164&lt;=90,"75-90")</f>
        <v>18-29</v>
      </c>
      <c r="M2164" t="str">
        <f>IF(Table1[[#This Row],[length_of_stay_days]]&gt;7,"Yes","No")</f>
        <v>Yes</v>
      </c>
    </row>
    <row r="2165" spans="1:13" x14ac:dyDescent="0.3">
      <c r="A2165" t="s">
        <v>2564</v>
      </c>
      <c r="B2165">
        <v>61</v>
      </c>
      <c r="C2165" t="s">
        <v>12</v>
      </c>
      <c r="D2165" t="s">
        <v>28</v>
      </c>
      <c r="E2165" t="s">
        <v>28</v>
      </c>
      <c r="F2165" t="s">
        <v>975</v>
      </c>
      <c r="G2165" t="s">
        <v>581</v>
      </c>
      <c r="H2165">
        <v>5</v>
      </c>
      <c r="I2165" s="1">
        <v>3170.54</v>
      </c>
      <c r="J2165" t="s">
        <v>17</v>
      </c>
      <c r="K2165" t="s">
        <v>18</v>
      </c>
      <c r="L2165" t="str" cm="1">
        <f t="array" ref="L2165">_xlfn.IFS(B2165&lt;30,"18-29",B2165&lt;45,"30-44",B2165&lt;60,"45-59",B2165&lt;75,"60-74",B2165&lt;=90,"75-90")</f>
        <v>60-74</v>
      </c>
      <c r="M2165" t="str">
        <f>IF(Table1[[#This Row],[length_of_stay_days]]&gt;7,"Yes","No")</f>
        <v>No</v>
      </c>
    </row>
    <row r="2166" spans="1:13" x14ac:dyDescent="0.3">
      <c r="A2166" t="s">
        <v>2565</v>
      </c>
      <c r="B2166">
        <v>27</v>
      </c>
      <c r="C2166" t="s">
        <v>12</v>
      </c>
      <c r="D2166" t="s">
        <v>32</v>
      </c>
      <c r="E2166" t="s">
        <v>28</v>
      </c>
      <c r="F2166" t="s">
        <v>1648</v>
      </c>
      <c r="G2166" t="s">
        <v>179</v>
      </c>
      <c r="H2166">
        <v>8</v>
      </c>
      <c r="I2166" s="1">
        <v>13234.25</v>
      </c>
      <c r="J2166" t="s">
        <v>17</v>
      </c>
      <c r="K2166" t="s">
        <v>18</v>
      </c>
      <c r="L2166" t="str" cm="1">
        <f t="array" ref="L2166">_xlfn.IFS(B2166&lt;30,"18-29",B2166&lt;45,"30-44",B2166&lt;60,"45-59",B2166&lt;75,"60-74",B2166&lt;=90,"75-90")</f>
        <v>18-29</v>
      </c>
      <c r="M2166" t="str">
        <f>IF(Table1[[#This Row],[length_of_stay_days]]&gt;7,"Yes","No")</f>
        <v>Yes</v>
      </c>
    </row>
    <row r="2167" spans="1:13" x14ac:dyDescent="0.3">
      <c r="A2167" t="s">
        <v>2566</v>
      </c>
      <c r="B2167">
        <v>35</v>
      </c>
      <c r="C2167" t="s">
        <v>12</v>
      </c>
      <c r="D2167" t="s">
        <v>28</v>
      </c>
      <c r="E2167" t="s">
        <v>28</v>
      </c>
      <c r="F2167" t="s">
        <v>225</v>
      </c>
      <c r="G2167" t="s">
        <v>384</v>
      </c>
      <c r="H2167">
        <v>6</v>
      </c>
      <c r="I2167" s="1">
        <v>6182.63</v>
      </c>
      <c r="J2167" t="s">
        <v>17</v>
      </c>
      <c r="K2167" t="s">
        <v>18</v>
      </c>
      <c r="L2167" t="str" cm="1">
        <f t="array" ref="L2167">_xlfn.IFS(B2167&lt;30,"18-29",B2167&lt;45,"30-44",B2167&lt;60,"45-59",B2167&lt;75,"60-74",B2167&lt;=90,"75-90")</f>
        <v>30-44</v>
      </c>
      <c r="M2167" t="str">
        <f>IF(Table1[[#This Row],[length_of_stay_days]]&gt;7,"Yes","No")</f>
        <v>No</v>
      </c>
    </row>
    <row r="2168" spans="1:13" x14ac:dyDescent="0.3">
      <c r="A2168" t="s">
        <v>2567</v>
      </c>
      <c r="B2168">
        <v>39</v>
      </c>
      <c r="C2168" t="s">
        <v>20</v>
      </c>
      <c r="D2168" t="s">
        <v>32</v>
      </c>
      <c r="E2168" t="s">
        <v>14</v>
      </c>
      <c r="F2168" t="s">
        <v>29</v>
      </c>
      <c r="G2168" t="s">
        <v>271</v>
      </c>
      <c r="H2168">
        <v>4</v>
      </c>
      <c r="I2168" s="1">
        <v>6117.18</v>
      </c>
      <c r="J2168" t="s">
        <v>17</v>
      </c>
      <c r="K2168" t="s">
        <v>18</v>
      </c>
      <c r="L2168" t="str" cm="1">
        <f t="array" ref="L2168">_xlfn.IFS(B2168&lt;30,"18-29",B2168&lt;45,"30-44",B2168&lt;60,"45-59",B2168&lt;75,"60-74",B2168&lt;=90,"75-90")</f>
        <v>30-44</v>
      </c>
      <c r="M2168" t="str">
        <f>IF(Table1[[#This Row],[length_of_stay_days]]&gt;7,"Yes","No")</f>
        <v>No</v>
      </c>
    </row>
    <row r="2169" spans="1:13" x14ac:dyDescent="0.3">
      <c r="A2169" t="s">
        <v>2568</v>
      </c>
      <c r="B2169">
        <v>30</v>
      </c>
      <c r="C2169" t="s">
        <v>20</v>
      </c>
      <c r="D2169" t="s">
        <v>55</v>
      </c>
      <c r="E2169" t="s">
        <v>14</v>
      </c>
      <c r="F2169" t="s">
        <v>179</v>
      </c>
      <c r="G2169" t="s">
        <v>293</v>
      </c>
      <c r="H2169">
        <v>3</v>
      </c>
      <c r="I2169" s="1">
        <v>8484.5499999999993</v>
      </c>
      <c r="J2169" t="s">
        <v>17</v>
      </c>
      <c r="K2169" t="s">
        <v>18</v>
      </c>
      <c r="L2169" t="str" cm="1">
        <f t="array" ref="L2169">_xlfn.IFS(B2169&lt;30,"18-29",B2169&lt;45,"30-44",B2169&lt;60,"45-59",B2169&lt;75,"60-74",B2169&lt;=90,"75-90")</f>
        <v>30-44</v>
      </c>
      <c r="M2169" t="str">
        <f>IF(Table1[[#This Row],[length_of_stay_days]]&gt;7,"Yes","No")</f>
        <v>No</v>
      </c>
    </row>
    <row r="2170" spans="1:13" x14ac:dyDescent="0.3">
      <c r="A2170" t="s">
        <v>2569</v>
      </c>
      <c r="B2170">
        <v>21</v>
      </c>
      <c r="C2170" t="s">
        <v>20</v>
      </c>
      <c r="D2170" t="s">
        <v>28</v>
      </c>
      <c r="E2170" t="s">
        <v>14</v>
      </c>
      <c r="F2170" t="s">
        <v>166</v>
      </c>
      <c r="G2170" t="s">
        <v>84</v>
      </c>
      <c r="H2170">
        <v>1</v>
      </c>
      <c r="I2170" s="1">
        <v>2610.81</v>
      </c>
      <c r="J2170" t="s">
        <v>17</v>
      </c>
      <c r="K2170" t="s">
        <v>18</v>
      </c>
      <c r="L2170" t="str" cm="1">
        <f t="array" ref="L2170">_xlfn.IFS(B2170&lt;30,"18-29",B2170&lt;45,"30-44",B2170&lt;60,"45-59",B2170&lt;75,"60-74",B2170&lt;=90,"75-90")</f>
        <v>18-29</v>
      </c>
      <c r="M2170" t="str">
        <f>IF(Table1[[#This Row],[length_of_stay_days]]&gt;7,"Yes","No")</f>
        <v>No</v>
      </c>
    </row>
    <row r="2171" spans="1:13" x14ac:dyDescent="0.3">
      <c r="A2171" t="s">
        <v>2570</v>
      </c>
      <c r="B2171">
        <v>31</v>
      </c>
      <c r="C2171" t="s">
        <v>20</v>
      </c>
      <c r="D2171" t="s">
        <v>13</v>
      </c>
      <c r="E2171" t="s">
        <v>21</v>
      </c>
      <c r="F2171" t="s">
        <v>205</v>
      </c>
      <c r="G2171" t="s">
        <v>683</v>
      </c>
      <c r="H2171">
        <v>6</v>
      </c>
      <c r="I2171" s="1">
        <v>6305.31</v>
      </c>
      <c r="J2171" t="s">
        <v>17</v>
      </c>
      <c r="K2171" t="s">
        <v>18</v>
      </c>
      <c r="L2171" t="str" cm="1">
        <f t="array" ref="L2171">_xlfn.IFS(B2171&lt;30,"18-29",B2171&lt;45,"30-44",B2171&lt;60,"45-59",B2171&lt;75,"60-74",B2171&lt;=90,"75-90")</f>
        <v>30-44</v>
      </c>
      <c r="M2171" t="str">
        <f>IF(Table1[[#This Row],[length_of_stay_days]]&gt;7,"Yes","No")</f>
        <v>No</v>
      </c>
    </row>
    <row r="2172" spans="1:13" x14ac:dyDescent="0.3">
      <c r="A2172" t="s">
        <v>2571</v>
      </c>
      <c r="B2172">
        <v>34</v>
      </c>
      <c r="C2172" t="s">
        <v>20</v>
      </c>
      <c r="D2172" t="s">
        <v>55</v>
      </c>
      <c r="E2172" t="s">
        <v>28</v>
      </c>
      <c r="F2172" t="s">
        <v>155</v>
      </c>
      <c r="G2172" t="s">
        <v>337</v>
      </c>
      <c r="H2172">
        <v>7</v>
      </c>
      <c r="I2172" s="1">
        <v>10361.93</v>
      </c>
      <c r="J2172" t="s">
        <v>49</v>
      </c>
      <c r="K2172" t="s">
        <v>44</v>
      </c>
      <c r="L2172" t="str" cm="1">
        <f t="array" ref="L2172">_xlfn.IFS(B2172&lt;30,"18-29",B2172&lt;45,"30-44",B2172&lt;60,"45-59",B2172&lt;75,"60-74",B2172&lt;=90,"75-90")</f>
        <v>30-44</v>
      </c>
      <c r="M2172" t="str">
        <f>IF(Table1[[#This Row],[length_of_stay_days]]&gt;7,"Yes","No")</f>
        <v>No</v>
      </c>
    </row>
    <row r="2173" spans="1:13" x14ac:dyDescent="0.3">
      <c r="A2173" t="s">
        <v>2572</v>
      </c>
      <c r="B2173">
        <v>72</v>
      </c>
      <c r="C2173" t="s">
        <v>12</v>
      </c>
      <c r="D2173" t="s">
        <v>51</v>
      </c>
      <c r="E2173" t="s">
        <v>14</v>
      </c>
      <c r="F2173" t="s">
        <v>77</v>
      </c>
      <c r="G2173" t="s">
        <v>1229</v>
      </c>
      <c r="H2173">
        <v>7</v>
      </c>
      <c r="I2173" s="1">
        <v>12498.93</v>
      </c>
      <c r="J2173" t="s">
        <v>49</v>
      </c>
      <c r="K2173" t="s">
        <v>18</v>
      </c>
      <c r="L2173" t="str" cm="1">
        <f t="array" ref="L2173">_xlfn.IFS(B2173&lt;30,"18-29",B2173&lt;45,"30-44",B2173&lt;60,"45-59",B2173&lt;75,"60-74",B2173&lt;=90,"75-90")</f>
        <v>60-74</v>
      </c>
      <c r="M2173" t="str">
        <f>IF(Table1[[#This Row],[length_of_stay_days]]&gt;7,"Yes","No")</f>
        <v>No</v>
      </c>
    </row>
    <row r="2174" spans="1:13" x14ac:dyDescent="0.3">
      <c r="A2174" t="s">
        <v>2573</v>
      </c>
      <c r="B2174">
        <v>54</v>
      </c>
      <c r="C2174" t="s">
        <v>12</v>
      </c>
      <c r="D2174" t="s">
        <v>32</v>
      </c>
      <c r="E2174" t="s">
        <v>28</v>
      </c>
      <c r="F2174" t="s">
        <v>1054</v>
      </c>
      <c r="G2174" t="s">
        <v>975</v>
      </c>
      <c r="H2174">
        <v>7</v>
      </c>
      <c r="I2174" s="1">
        <v>10720.51</v>
      </c>
      <c r="J2174" t="s">
        <v>17</v>
      </c>
      <c r="K2174" t="s">
        <v>18</v>
      </c>
      <c r="L2174" t="str" cm="1">
        <f t="array" ref="L2174">_xlfn.IFS(B2174&lt;30,"18-29",B2174&lt;45,"30-44",B2174&lt;60,"45-59",B2174&lt;75,"60-74",B2174&lt;=90,"75-90")</f>
        <v>45-59</v>
      </c>
      <c r="M2174" t="str">
        <f>IF(Table1[[#This Row],[length_of_stay_days]]&gt;7,"Yes","No")</f>
        <v>No</v>
      </c>
    </row>
    <row r="2175" spans="1:13" x14ac:dyDescent="0.3">
      <c r="A2175" t="s">
        <v>2574</v>
      </c>
      <c r="B2175">
        <v>31</v>
      </c>
      <c r="C2175" t="s">
        <v>20</v>
      </c>
      <c r="D2175" t="s">
        <v>51</v>
      </c>
      <c r="E2175" t="s">
        <v>14</v>
      </c>
      <c r="F2175" t="s">
        <v>402</v>
      </c>
      <c r="G2175" t="s">
        <v>169</v>
      </c>
      <c r="H2175">
        <v>5</v>
      </c>
      <c r="I2175" s="1">
        <v>10990.84</v>
      </c>
      <c r="J2175" t="s">
        <v>49</v>
      </c>
      <c r="K2175" t="s">
        <v>18</v>
      </c>
      <c r="L2175" t="str" cm="1">
        <f t="array" ref="L2175">_xlfn.IFS(B2175&lt;30,"18-29",B2175&lt;45,"30-44",B2175&lt;60,"45-59",B2175&lt;75,"60-74",B2175&lt;=90,"75-90")</f>
        <v>30-44</v>
      </c>
      <c r="M2175" t="str">
        <f>IF(Table1[[#This Row],[length_of_stay_days]]&gt;7,"Yes","No")</f>
        <v>No</v>
      </c>
    </row>
    <row r="2176" spans="1:13" x14ac:dyDescent="0.3">
      <c r="A2176" t="s">
        <v>2575</v>
      </c>
      <c r="B2176">
        <v>19</v>
      </c>
      <c r="C2176" t="s">
        <v>20</v>
      </c>
      <c r="D2176" t="s">
        <v>55</v>
      </c>
      <c r="E2176" t="s">
        <v>14</v>
      </c>
      <c r="F2176" t="s">
        <v>549</v>
      </c>
      <c r="G2176" t="s">
        <v>138</v>
      </c>
      <c r="H2176">
        <v>9</v>
      </c>
      <c r="I2176" s="1">
        <v>11453.39</v>
      </c>
      <c r="J2176" t="s">
        <v>17</v>
      </c>
      <c r="K2176" t="s">
        <v>18</v>
      </c>
      <c r="L2176" t="str" cm="1">
        <f t="array" ref="L2176">_xlfn.IFS(B2176&lt;30,"18-29",B2176&lt;45,"30-44",B2176&lt;60,"45-59",B2176&lt;75,"60-74",B2176&lt;=90,"75-90")</f>
        <v>18-29</v>
      </c>
      <c r="M2176" t="str">
        <f>IF(Table1[[#This Row],[length_of_stay_days]]&gt;7,"Yes","No")</f>
        <v>Yes</v>
      </c>
    </row>
    <row r="2177" spans="1:13" x14ac:dyDescent="0.3">
      <c r="A2177" t="s">
        <v>2576</v>
      </c>
      <c r="B2177">
        <v>78</v>
      </c>
      <c r="C2177" t="s">
        <v>70</v>
      </c>
      <c r="D2177" t="s">
        <v>28</v>
      </c>
      <c r="E2177" t="s">
        <v>28</v>
      </c>
      <c r="F2177" t="s">
        <v>90</v>
      </c>
      <c r="G2177" t="s">
        <v>252</v>
      </c>
      <c r="H2177">
        <v>5</v>
      </c>
      <c r="I2177" s="1">
        <v>8575.36</v>
      </c>
      <c r="J2177" t="s">
        <v>17</v>
      </c>
      <c r="K2177" t="s">
        <v>18</v>
      </c>
      <c r="L2177" t="str" cm="1">
        <f t="array" ref="L2177">_xlfn.IFS(B2177&lt;30,"18-29",B2177&lt;45,"30-44",B2177&lt;60,"45-59",B2177&lt;75,"60-74",B2177&lt;=90,"75-90")</f>
        <v>75-90</v>
      </c>
      <c r="M2177" t="str">
        <f>IF(Table1[[#This Row],[length_of_stay_days]]&gt;7,"Yes","No")</f>
        <v>No</v>
      </c>
    </row>
    <row r="2178" spans="1:13" x14ac:dyDescent="0.3">
      <c r="A2178" t="s">
        <v>2577</v>
      </c>
      <c r="B2178">
        <v>59</v>
      </c>
      <c r="C2178" t="s">
        <v>70</v>
      </c>
      <c r="D2178" t="s">
        <v>28</v>
      </c>
      <c r="E2178" t="s">
        <v>28</v>
      </c>
      <c r="F2178" t="s">
        <v>846</v>
      </c>
      <c r="G2178" t="s">
        <v>86</v>
      </c>
      <c r="H2178">
        <v>6</v>
      </c>
      <c r="I2178" s="1">
        <v>5170.7700000000004</v>
      </c>
      <c r="J2178" t="s">
        <v>17</v>
      </c>
      <c r="K2178" t="s">
        <v>18</v>
      </c>
      <c r="L2178" t="str" cm="1">
        <f t="array" ref="L2178">_xlfn.IFS(B2178&lt;30,"18-29",B2178&lt;45,"30-44",B2178&lt;60,"45-59",B2178&lt;75,"60-74",B2178&lt;=90,"75-90")</f>
        <v>45-59</v>
      </c>
      <c r="M2178" t="str">
        <f>IF(Table1[[#This Row],[length_of_stay_days]]&gt;7,"Yes","No")</f>
        <v>No</v>
      </c>
    </row>
    <row r="2179" spans="1:13" x14ac:dyDescent="0.3">
      <c r="A2179" t="s">
        <v>2578</v>
      </c>
      <c r="B2179">
        <v>18</v>
      </c>
      <c r="C2179" t="s">
        <v>20</v>
      </c>
      <c r="D2179" t="s">
        <v>51</v>
      </c>
      <c r="E2179" t="s">
        <v>14</v>
      </c>
      <c r="F2179" t="s">
        <v>157</v>
      </c>
      <c r="G2179" t="s">
        <v>1229</v>
      </c>
      <c r="H2179">
        <v>3</v>
      </c>
      <c r="I2179" s="1">
        <v>8801.1</v>
      </c>
      <c r="J2179" t="s">
        <v>17</v>
      </c>
      <c r="K2179" t="s">
        <v>18</v>
      </c>
      <c r="L2179" t="str" cm="1">
        <f t="array" ref="L2179">_xlfn.IFS(B2179&lt;30,"18-29",B2179&lt;45,"30-44",B2179&lt;60,"45-59",B2179&lt;75,"60-74",B2179&lt;=90,"75-90")</f>
        <v>18-29</v>
      </c>
      <c r="M2179" t="str">
        <f>IF(Table1[[#This Row],[length_of_stay_days]]&gt;7,"Yes","No")</f>
        <v>No</v>
      </c>
    </row>
    <row r="2180" spans="1:13" x14ac:dyDescent="0.3">
      <c r="A2180" t="s">
        <v>2579</v>
      </c>
      <c r="B2180">
        <v>67</v>
      </c>
      <c r="C2180" t="s">
        <v>12</v>
      </c>
      <c r="D2180" t="s">
        <v>28</v>
      </c>
      <c r="E2180" t="s">
        <v>14</v>
      </c>
      <c r="F2180" t="s">
        <v>53</v>
      </c>
      <c r="G2180" t="s">
        <v>837</v>
      </c>
      <c r="H2180">
        <v>3</v>
      </c>
      <c r="I2180" s="1">
        <v>2891.25</v>
      </c>
      <c r="J2180" t="s">
        <v>17</v>
      </c>
      <c r="K2180" t="s">
        <v>18</v>
      </c>
      <c r="L2180" t="str" cm="1">
        <f t="array" ref="L2180">_xlfn.IFS(B2180&lt;30,"18-29",B2180&lt;45,"30-44",B2180&lt;60,"45-59",B2180&lt;75,"60-74",B2180&lt;=90,"75-90")</f>
        <v>60-74</v>
      </c>
      <c r="M2180" t="str">
        <f>IF(Table1[[#This Row],[length_of_stay_days]]&gt;7,"Yes","No")</f>
        <v>No</v>
      </c>
    </row>
    <row r="2181" spans="1:13" x14ac:dyDescent="0.3">
      <c r="A2181" t="s">
        <v>2580</v>
      </c>
      <c r="B2181">
        <v>34</v>
      </c>
      <c r="C2181" t="s">
        <v>20</v>
      </c>
      <c r="D2181" t="s">
        <v>32</v>
      </c>
      <c r="E2181" t="s">
        <v>28</v>
      </c>
      <c r="F2181" t="s">
        <v>26</v>
      </c>
      <c r="G2181" t="s">
        <v>109</v>
      </c>
      <c r="H2181">
        <v>7</v>
      </c>
      <c r="I2181" s="1">
        <v>10623.89</v>
      </c>
      <c r="J2181" t="s">
        <v>17</v>
      </c>
      <c r="K2181" t="s">
        <v>18</v>
      </c>
      <c r="L2181" t="str" cm="1">
        <f t="array" ref="L2181">_xlfn.IFS(B2181&lt;30,"18-29",B2181&lt;45,"30-44",B2181&lt;60,"45-59",B2181&lt;75,"60-74",B2181&lt;=90,"75-90")</f>
        <v>30-44</v>
      </c>
      <c r="M2181" t="str">
        <f>IF(Table1[[#This Row],[length_of_stay_days]]&gt;7,"Yes","No")</f>
        <v>No</v>
      </c>
    </row>
    <row r="2182" spans="1:13" x14ac:dyDescent="0.3">
      <c r="A2182" t="s">
        <v>2581</v>
      </c>
      <c r="B2182">
        <v>29</v>
      </c>
      <c r="C2182" t="s">
        <v>20</v>
      </c>
      <c r="D2182" t="s">
        <v>13</v>
      </c>
      <c r="E2182" t="s">
        <v>28</v>
      </c>
      <c r="F2182" t="s">
        <v>422</v>
      </c>
      <c r="G2182" t="s">
        <v>186</v>
      </c>
      <c r="H2182">
        <v>5</v>
      </c>
      <c r="I2182" s="1">
        <v>3330.84</v>
      </c>
      <c r="J2182" t="s">
        <v>17</v>
      </c>
      <c r="K2182" t="s">
        <v>18</v>
      </c>
      <c r="L2182" t="str" cm="1">
        <f t="array" ref="L2182">_xlfn.IFS(B2182&lt;30,"18-29",B2182&lt;45,"30-44",B2182&lt;60,"45-59",B2182&lt;75,"60-74",B2182&lt;=90,"75-90")</f>
        <v>18-29</v>
      </c>
      <c r="M2182" t="str">
        <f>IF(Table1[[#This Row],[length_of_stay_days]]&gt;7,"Yes","No")</f>
        <v>No</v>
      </c>
    </row>
    <row r="2183" spans="1:13" x14ac:dyDescent="0.3">
      <c r="A2183" t="s">
        <v>2582</v>
      </c>
      <c r="B2183">
        <v>64</v>
      </c>
      <c r="C2183" t="s">
        <v>20</v>
      </c>
      <c r="D2183" t="s">
        <v>32</v>
      </c>
      <c r="E2183" t="s">
        <v>14</v>
      </c>
      <c r="F2183" t="s">
        <v>166</v>
      </c>
      <c r="G2183" t="s">
        <v>811</v>
      </c>
      <c r="H2183">
        <v>9</v>
      </c>
      <c r="I2183" s="1">
        <v>13242.59</v>
      </c>
      <c r="J2183" t="s">
        <v>17</v>
      </c>
      <c r="K2183" t="s">
        <v>18</v>
      </c>
      <c r="L2183" t="str" cm="1">
        <f t="array" ref="L2183">_xlfn.IFS(B2183&lt;30,"18-29",B2183&lt;45,"30-44",B2183&lt;60,"45-59",B2183&lt;75,"60-74",B2183&lt;=90,"75-90")</f>
        <v>60-74</v>
      </c>
      <c r="M2183" t="str">
        <f>IF(Table1[[#This Row],[length_of_stay_days]]&gt;7,"Yes","No")</f>
        <v>Yes</v>
      </c>
    </row>
    <row r="2184" spans="1:13" x14ac:dyDescent="0.3">
      <c r="A2184" t="s">
        <v>2583</v>
      </c>
      <c r="B2184">
        <v>69</v>
      </c>
      <c r="C2184" t="s">
        <v>20</v>
      </c>
      <c r="D2184" t="s">
        <v>28</v>
      </c>
      <c r="E2184" t="s">
        <v>14</v>
      </c>
      <c r="F2184" t="s">
        <v>644</v>
      </c>
      <c r="G2184" t="s">
        <v>1248</v>
      </c>
      <c r="H2184">
        <v>5</v>
      </c>
      <c r="I2184" s="1">
        <v>4921.76</v>
      </c>
      <c r="J2184" t="s">
        <v>49</v>
      </c>
      <c r="K2184" t="s">
        <v>18</v>
      </c>
      <c r="L2184" t="str" cm="1">
        <f t="array" ref="L2184">_xlfn.IFS(B2184&lt;30,"18-29",B2184&lt;45,"30-44",B2184&lt;60,"45-59",B2184&lt;75,"60-74",B2184&lt;=90,"75-90")</f>
        <v>60-74</v>
      </c>
      <c r="M2184" t="str">
        <f>IF(Table1[[#This Row],[length_of_stay_days]]&gt;7,"Yes","No")</f>
        <v>No</v>
      </c>
    </row>
    <row r="2185" spans="1:13" x14ac:dyDescent="0.3">
      <c r="A2185" t="s">
        <v>2584</v>
      </c>
      <c r="B2185">
        <v>90</v>
      </c>
      <c r="C2185" t="s">
        <v>20</v>
      </c>
      <c r="D2185" t="s">
        <v>28</v>
      </c>
      <c r="E2185" t="s">
        <v>14</v>
      </c>
      <c r="F2185" t="s">
        <v>149</v>
      </c>
      <c r="G2185" t="s">
        <v>245</v>
      </c>
      <c r="H2185">
        <v>5</v>
      </c>
      <c r="I2185" s="1">
        <v>5440.86</v>
      </c>
      <c r="J2185" t="s">
        <v>49</v>
      </c>
      <c r="K2185" t="s">
        <v>18</v>
      </c>
      <c r="L2185" t="str" cm="1">
        <f t="array" ref="L2185">_xlfn.IFS(B2185&lt;30,"18-29",B2185&lt;45,"30-44",B2185&lt;60,"45-59",B2185&lt;75,"60-74",B2185&lt;=90,"75-90")</f>
        <v>75-90</v>
      </c>
      <c r="M2185" t="str">
        <f>IF(Table1[[#This Row],[length_of_stay_days]]&gt;7,"Yes","No")</f>
        <v>No</v>
      </c>
    </row>
    <row r="2186" spans="1:13" x14ac:dyDescent="0.3">
      <c r="A2186" t="s">
        <v>2585</v>
      </c>
      <c r="B2186">
        <v>49</v>
      </c>
      <c r="C2186" t="s">
        <v>12</v>
      </c>
      <c r="D2186" t="s">
        <v>28</v>
      </c>
      <c r="E2186" t="s">
        <v>14</v>
      </c>
      <c r="F2186" t="s">
        <v>144</v>
      </c>
      <c r="G2186" t="s">
        <v>807</v>
      </c>
      <c r="H2186">
        <v>1</v>
      </c>
      <c r="I2186" s="1">
        <v>3450.2</v>
      </c>
      <c r="J2186" t="s">
        <v>17</v>
      </c>
      <c r="K2186" t="s">
        <v>18</v>
      </c>
      <c r="L2186" t="str" cm="1">
        <f t="array" ref="L2186">_xlfn.IFS(B2186&lt;30,"18-29",B2186&lt;45,"30-44",B2186&lt;60,"45-59",B2186&lt;75,"60-74",B2186&lt;=90,"75-90")</f>
        <v>45-59</v>
      </c>
      <c r="M2186" t="str">
        <f>IF(Table1[[#This Row],[length_of_stay_days]]&gt;7,"Yes","No")</f>
        <v>No</v>
      </c>
    </row>
    <row r="2187" spans="1:13" x14ac:dyDescent="0.3">
      <c r="A2187" t="s">
        <v>2586</v>
      </c>
      <c r="B2187">
        <v>87</v>
      </c>
      <c r="C2187" t="s">
        <v>12</v>
      </c>
      <c r="D2187" t="s">
        <v>46</v>
      </c>
      <c r="E2187" t="s">
        <v>14</v>
      </c>
      <c r="F2187" t="s">
        <v>168</v>
      </c>
      <c r="G2187" t="s">
        <v>114</v>
      </c>
      <c r="H2187">
        <v>8</v>
      </c>
      <c r="I2187" s="1">
        <v>12801.12</v>
      </c>
      <c r="J2187" t="s">
        <v>17</v>
      </c>
      <c r="K2187" t="s">
        <v>18</v>
      </c>
      <c r="L2187" t="str" cm="1">
        <f t="array" ref="L2187">_xlfn.IFS(B2187&lt;30,"18-29",B2187&lt;45,"30-44",B2187&lt;60,"45-59",B2187&lt;75,"60-74",B2187&lt;=90,"75-90")</f>
        <v>75-90</v>
      </c>
      <c r="M2187" t="str">
        <f>IF(Table1[[#This Row],[length_of_stay_days]]&gt;7,"Yes","No")</f>
        <v>Yes</v>
      </c>
    </row>
    <row r="2188" spans="1:13" x14ac:dyDescent="0.3">
      <c r="A2188" t="s">
        <v>2587</v>
      </c>
      <c r="B2188">
        <v>44</v>
      </c>
      <c r="C2188" t="s">
        <v>20</v>
      </c>
      <c r="D2188" t="s">
        <v>28</v>
      </c>
      <c r="E2188" t="s">
        <v>28</v>
      </c>
      <c r="F2188" t="s">
        <v>478</v>
      </c>
      <c r="G2188" t="s">
        <v>47</v>
      </c>
      <c r="H2188">
        <v>1</v>
      </c>
      <c r="I2188" s="1">
        <v>3492.41</v>
      </c>
      <c r="J2188" t="s">
        <v>17</v>
      </c>
      <c r="K2188" t="s">
        <v>18</v>
      </c>
      <c r="L2188" t="str" cm="1">
        <f t="array" ref="L2188">_xlfn.IFS(B2188&lt;30,"18-29",B2188&lt;45,"30-44",B2188&lt;60,"45-59",B2188&lt;75,"60-74",B2188&lt;=90,"75-90")</f>
        <v>30-44</v>
      </c>
      <c r="M2188" t="str">
        <f>IF(Table1[[#This Row],[length_of_stay_days]]&gt;7,"Yes","No")</f>
        <v>No</v>
      </c>
    </row>
    <row r="2189" spans="1:13" x14ac:dyDescent="0.3">
      <c r="A2189" t="s">
        <v>2588</v>
      </c>
      <c r="B2189">
        <v>34</v>
      </c>
      <c r="C2189" t="s">
        <v>20</v>
      </c>
      <c r="D2189" t="s">
        <v>28</v>
      </c>
      <c r="E2189" t="s">
        <v>28</v>
      </c>
      <c r="F2189" t="s">
        <v>727</v>
      </c>
      <c r="G2189" t="s">
        <v>275</v>
      </c>
      <c r="H2189">
        <v>6</v>
      </c>
      <c r="I2189" s="1">
        <v>6256.59</v>
      </c>
      <c r="J2189" t="s">
        <v>17</v>
      </c>
      <c r="K2189" t="s">
        <v>18</v>
      </c>
      <c r="L2189" t="str" cm="1">
        <f t="array" ref="L2189">_xlfn.IFS(B2189&lt;30,"18-29",B2189&lt;45,"30-44",B2189&lt;60,"45-59",B2189&lt;75,"60-74",B2189&lt;=90,"75-90")</f>
        <v>30-44</v>
      </c>
      <c r="M2189" t="str">
        <f>IF(Table1[[#This Row],[length_of_stay_days]]&gt;7,"Yes","No")</f>
        <v>No</v>
      </c>
    </row>
    <row r="2190" spans="1:13" x14ac:dyDescent="0.3">
      <c r="A2190" t="s">
        <v>2589</v>
      </c>
      <c r="B2190">
        <v>40</v>
      </c>
      <c r="C2190" t="s">
        <v>20</v>
      </c>
      <c r="D2190" t="s">
        <v>13</v>
      </c>
      <c r="E2190" t="s">
        <v>28</v>
      </c>
      <c r="F2190" t="s">
        <v>37</v>
      </c>
      <c r="G2190" t="s">
        <v>555</v>
      </c>
      <c r="H2190">
        <v>4</v>
      </c>
      <c r="I2190" s="1">
        <v>7864.67</v>
      </c>
      <c r="J2190" t="s">
        <v>17</v>
      </c>
      <c r="K2190" t="s">
        <v>44</v>
      </c>
      <c r="L2190" t="str" cm="1">
        <f t="array" ref="L2190">_xlfn.IFS(B2190&lt;30,"18-29",B2190&lt;45,"30-44",B2190&lt;60,"45-59",B2190&lt;75,"60-74",B2190&lt;=90,"75-90")</f>
        <v>30-44</v>
      </c>
      <c r="M2190" t="str">
        <f>IF(Table1[[#This Row],[length_of_stay_days]]&gt;7,"Yes","No")</f>
        <v>No</v>
      </c>
    </row>
    <row r="2191" spans="1:13" x14ac:dyDescent="0.3">
      <c r="A2191" t="s">
        <v>2590</v>
      </c>
      <c r="B2191">
        <v>87</v>
      </c>
      <c r="C2191" t="s">
        <v>20</v>
      </c>
      <c r="D2191" t="s">
        <v>51</v>
      </c>
      <c r="E2191" t="s">
        <v>14</v>
      </c>
      <c r="F2191" t="s">
        <v>509</v>
      </c>
      <c r="G2191" t="s">
        <v>328</v>
      </c>
      <c r="H2191">
        <v>6</v>
      </c>
      <c r="I2191" s="1">
        <v>12419.28</v>
      </c>
      <c r="J2191" t="s">
        <v>17</v>
      </c>
      <c r="K2191" t="s">
        <v>18</v>
      </c>
      <c r="L2191" t="str" cm="1">
        <f t="array" ref="L2191">_xlfn.IFS(B2191&lt;30,"18-29",B2191&lt;45,"30-44",B2191&lt;60,"45-59",B2191&lt;75,"60-74",B2191&lt;=90,"75-90")</f>
        <v>75-90</v>
      </c>
      <c r="M2191" t="str">
        <f>IF(Table1[[#This Row],[length_of_stay_days]]&gt;7,"Yes","No")</f>
        <v>No</v>
      </c>
    </row>
    <row r="2192" spans="1:13" x14ac:dyDescent="0.3">
      <c r="A2192" t="s">
        <v>2591</v>
      </c>
      <c r="B2192">
        <v>56</v>
      </c>
      <c r="C2192" t="s">
        <v>12</v>
      </c>
      <c r="D2192" t="s">
        <v>55</v>
      </c>
      <c r="E2192" t="s">
        <v>28</v>
      </c>
      <c r="F2192" t="s">
        <v>245</v>
      </c>
      <c r="G2192" t="s">
        <v>119</v>
      </c>
      <c r="H2192">
        <v>4</v>
      </c>
      <c r="I2192" s="1">
        <v>9275.36</v>
      </c>
      <c r="J2192" t="s">
        <v>17</v>
      </c>
      <c r="K2192" t="s">
        <v>44</v>
      </c>
      <c r="L2192" t="str" cm="1">
        <f t="array" ref="L2192">_xlfn.IFS(B2192&lt;30,"18-29",B2192&lt;45,"30-44",B2192&lt;60,"45-59",B2192&lt;75,"60-74",B2192&lt;=90,"75-90")</f>
        <v>45-59</v>
      </c>
      <c r="M2192" t="str">
        <f>IF(Table1[[#This Row],[length_of_stay_days]]&gt;7,"Yes","No")</f>
        <v>No</v>
      </c>
    </row>
    <row r="2193" spans="1:13" x14ac:dyDescent="0.3">
      <c r="A2193" t="s">
        <v>2592</v>
      </c>
      <c r="B2193">
        <v>61</v>
      </c>
      <c r="C2193" t="s">
        <v>12</v>
      </c>
      <c r="D2193" t="s">
        <v>55</v>
      </c>
      <c r="E2193" t="s">
        <v>14</v>
      </c>
      <c r="F2193" t="s">
        <v>629</v>
      </c>
      <c r="G2193" t="s">
        <v>638</v>
      </c>
      <c r="H2193">
        <v>3</v>
      </c>
      <c r="I2193" s="1">
        <v>6258.57</v>
      </c>
      <c r="J2193" t="s">
        <v>17</v>
      </c>
      <c r="K2193" t="s">
        <v>18</v>
      </c>
      <c r="L2193" t="str" cm="1">
        <f t="array" ref="L2193">_xlfn.IFS(B2193&lt;30,"18-29",B2193&lt;45,"30-44",B2193&lt;60,"45-59",B2193&lt;75,"60-74",B2193&lt;=90,"75-90")</f>
        <v>60-74</v>
      </c>
      <c r="M2193" t="str">
        <f>IF(Table1[[#This Row],[length_of_stay_days]]&gt;7,"Yes","No")</f>
        <v>No</v>
      </c>
    </row>
    <row r="2194" spans="1:13" x14ac:dyDescent="0.3">
      <c r="A2194" t="s">
        <v>2593</v>
      </c>
      <c r="B2194">
        <v>68</v>
      </c>
      <c r="C2194" t="s">
        <v>20</v>
      </c>
      <c r="D2194" t="s">
        <v>13</v>
      </c>
      <c r="E2194" t="s">
        <v>28</v>
      </c>
      <c r="F2194" t="s">
        <v>53</v>
      </c>
      <c r="G2194" t="s">
        <v>15</v>
      </c>
      <c r="H2194">
        <v>11</v>
      </c>
      <c r="I2194" s="1">
        <v>9305.17</v>
      </c>
      <c r="J2194" t="s">
        <v>49</v>
      </c>
      <c r="K2194" t="s">
        <v>18</v>
      </c>
      <c r="L2194" t="str" cm="1">
        <f t="array" ref="L2194">_xlfn.IFS(B2194&lt;30,"18-29",B2194&lt;45,"30-44",B2194&lt;60,"45-59",B2194&lt;75,"60-74",B2194&lt;=90,"75-90")</f>
        <v>60-74</v>
      </c>
      <c r="M2194" t="str">
        <f>IF(Table1[[#This Row],[length_of_stay_days]]&gt;7,"Yes","No")</f>
        <v>Yes</v>
      </c>
    </row>
    <row r="2195" spans="1:13" x14ac:dyDescent="0.3">
      <c r="A2195" t="s">
        <v>2594</v>
      </c>
      <c r="B2195">
        <v>48</v>
      </c>
      <c r="C2195" t="s">
        <v>12</v>
      </c>
      <c r="D2195" t="s">
        <v>46</v>
      </c>
      <c r="E2195" t="s">
        <v>28</v>
      </c>
      <c r="F2195" t="s">
        <v>16</v>
      </c>
      <c r="G2195" t="s">
        <v>320</v>
      </c>
      <c r="H2195">
        <v>5</v>
      </c>
      <c r="I2195" s="1">
        <v>12997.94</v>
      </c>
      <c r="J2195" t="s">
        <v>17</v>
      </c>
      <c r="K2195" t="s">
        <v>18</v>
      </c>
      <c r="L2195" t="str" cm="1">
        <f t="array" ref="L2195">_xlfn.IFS(B2195&lt;30,"18-29",B2195&lt;45,"30-44",B2195&lt;60,"45-59",B2195&lt;75,"60-74",B2195&lt;=90,"75-90")</f>
        <v>45-59</v>
      </c>
      <c r="M2195" t="str">
        <f>IF(Table1[[#This Row],[length_of_stay_days]]&gt;7,"Yes","No")</f>
        <v>No</v>
      </c>
    </row>
    <row r="2196" spans="1:13" x14ac:dyDescent="0.3">
      <c r="A2196" t="s">
        <v>2595</v>
      </c>
      <c r="B2196">
        <v>47</v>
      </c>
      <c r="C2196" t="s">
        <v>20</v>
      </c>
      <c r="D2196" t="s">
        <v>28</v>
      </c>
      <c r="E2196" t="s">
        <v>21</v>
      </c>
      <c r="F2196" t="s">
        <v>309</v>
      </c>
      <c r="G2196" t="s">
        <v>23</v>
      </c>
      <c r="H2196">
        <v>2</v>
      </c>
      <c r="I2196" s="1">
        <v>4597.01</v>
      </c>
      <c r="J2196" t="s">
        <v>17</v>
      </c>
      <c r="K2196" t="s">
        <v>18</v>
      </c>
      <c r="L2196" t="str" cm="1">
        <f t="array" ref="L2196">_xlfn.IFS(B2196&lt;30,"18-29",B2196&lt;45,"30-44",B2196&lt;60,"45-59",B2196&lt;75,"60-74",B2196&lt;=90,"75-90")</f>
        <v>45-59</v>
      </c>
      <c r="M2196" t="str">
        <f>IF(Table1[[#This Row],[length_of_stay_days]]&gt;7,"Yes","No")</f>
        <v>No</v>
      </c>
    </row>
    <row r="2197" spans="1:13" x14ac:dyDescent="0.3">
      <c r="A2197" t="s">
        <v>2596</v>
      </c>
      <c r="B2197">
        <v>90</v>
      </c>
      <c r="C2197" t="s">
        <v>12</v>
      </c>
      <c r="D2197" t="s">
        <v>46</v>
      </c>
      <c r="E2197" t="s">
        <v>21</v>
      </c>
      <c r="F2197" t="s">
        <v>283</v>
      </c>
      <c r="G2197" t="s">
        <v>189</v>
      </c>
      <c r="H2197">
        <v>7</v>
      </c>
      <c r="I2197" s="1">
        <v>12803.78</v>
      </c>
      <c r="J2197" t="s">
        <v>17</v>
      </c>
      <c r="K2197" t="s">
        <v>18</v>
      </c>
      <c r="L2197" t="str" cm="1">
        <f t="array" ref="L2197">_xlfn.IFS(B2197&lt;30,"18-29",B2197&lt;45,"30-44",B2197&lt;60,"45-59",B2197&lt;75,"60-74",B2197&lt;=90,"75-90")</f>
        <v>75-90</v>
      </c>
      <c r="M2197" t="str">
        <f>IF(Table1[[#This Row],[length_of_stay_days]]&gt;7,"Yes","No")</f>
        <v>No</v>
      </c>
    </row>
    <row r="2198" spans="1:13" x14ac:dyDescent="0.3">
      <c r="A2198" t="s">
        <v>2597</v>
      </c>
      <c r="B2198">
        <v>38</v>
      </c>
      <c r="C2198" t="s">
        <v>70</v>
      </c>
      <c r="D2198" t="s">
        <v>13</v>
      </c>
      <c r="E2198" t="s">
        <v>28</v>
      </c>
      <c r="F2198" t="s">
        <v>285</v>
      </c>
      <c r="G2198" t="s">
        <v>266</v>
      </c>
      <c r="H2198">
        <v>7</v>
      </c>
      <c r="I2198" s="1">
        <v>10648.21</v>
      </c>
      <c r="J2198" t="s">
        <v>17</v>
      </c>
      <c r="K2198" t="s">
        <v>18</v>
      </c>
      <c r="L2198" t="str" cm="1">
        <f t="array" ref="L2198">_xlfn.IFS(B2198&lt;30,"18-29",B2198&lt;45,"30-44",B2198&lt;60,"45-59",B2198&lt;75,"60-74",B2198&lt;=90,"75-90")</f>
        <v>30-44</v>
      </c>
      <c r="M2198" t="str">
        <f>IF(Table1[[#This Row],[length_of_stay_days]]&gt;7,"Yes","No")</f>
        <v>No</v>
      </c>
    </row>
    <row r="2199" spans="1:13" x14ac:dyDescent="0.3">
      <c r="A2199" t="s">
        <v>2598</v>
      </c>
      <c r="B2199">
        <v>36</v>
      </c>
      <c r="C2199" t="s">
        <v>20</v>
      </c>
      <c r="D2199" t="s">
        <v>28</v>
      </c>
      <c r="E2199" t="s">
        <v>14</v>
      </c>
      <c r="F2199" t="s">
        <v>47</v>
      </c>
      <c r="G2199" t="s">
        <v>268</v>
      </c>
      <c r="H2199">
        <v>4</v>
      </c>
      <c r="I2199" s="1">
        <v>7300.58</v>
      </c>
      <c r="J2199" t="s">
        <v>17</v>
      </c>
      <c r="K2199" t="s">
        <v>18</v>
      </c>
      <c r="L2199" t="str" cm="1">
        <f t="array" ref="L2199">_xlfn.IFS(B2199&lt;30,"18-29",B2199&lt;45,"30-44",B2199&lt;60,"45-59",B2199&lt;75,"60-74",B2199&lt;=90,"75-90")</f>
        <v>30-44</v>
      </c>
      <c r="M2199" t="str">
        <f>IF(Table1[[#This Row],[length_of_stay_days]]&gt;7,"Yes","No")</f>
        <v>No</v>
      </c>
    </row>
    <row r="2200" spans="1:13" x14ac:dyDescent="0.3">
      <c r="A2200" t="s">
        <v>2599</v>
      </c>
      <c r="B2200">
        <v>85</v>
      </c>
      <c r="C2200" t="s">
        <v>20</v>
      </c>
      <c r="D2200" t="s">
        <v>55</v>
      </c>
      <c r="E2200" t="s">
        <v>28</v>
      </c>
      <c r="F2200" t="s">
        <v>841</v>
      </c>
      <c r="G2200" t="s">
        <v>48</v>
      </c>
      <c r="H2200">
        <v>6</v>
      </c>
      <c r="I2200" s="1">
        <v>11684.57</v>
      </c>
      <c r="J2200" t="s">
        <v>17</v>
      </c>
      <c r="K2200" t="s">
        <v>18</v>
      </c>
      <c r="L2200" t="str" cm="1">
        <f t="array" ref="L2200">_xlfn.IFS(B2200&lt;30,"18-29",B2200&lt;45,"30-44",B2200&lt;60,"45-59",B2200&lt;75,"60-74",B2200&lt;=90,"75-90")</f>
        <v>75-90</v>
      </c>
      <c r="M2200" t="str">
        <f>IF(Table1[[#This Row],[length_of_stay_days]]&gt;7,"Yes","No")</f>
        <v>No</v>
      </c>
    </row>
    <row r="2201" spans="1:13" x14ac:dyDescent="0.3">
      <c r="A2201" t="s">
        <v>2600</v>
      </c>
      <c r="B2201">
        <v>72</v>
      </c>
      <c r="C2201" t="s">
        <v>12</v>
      </c>
      <c r="D2201" t="s">
        <v>13</v>
      </c>
      <c r="E2201" t="s">
        <v>14</v>
      </c>
      <c r="F2201" t="s">
        <v>105</v>
      </c>
      <c r="G2201" t="s">
        <v>663</v>
      </c>
      <c r="H2201">
        <v>4</v>
      </c>
      <c r="I2201" s="1">
        <v>7222.56</v>
      </c>
      <c r="J2201" t="s">
        <v>17</v>
      </c>
      <c r="K2201" t="s">
        <v>18</v>
      </c>
      <c r="L2201" t="str" cm="1">
        <f t="array" ref="L2201">_xlfn.IFS(B2201&lt;30,"18-29",B2201&lt;45,"30-44",B2201&lt;60,"45-59",B2201&lt;75,"60-74",B2201&lt;=90,"75-90")</f>
        <v>60-74</v>
      </c>
      <c r="M2201" t="str">
        <f>IF(Table1[[#This Row],[length_of_stay_days]]&gt;7,"Yes","No")</f>
        <v>No</v>
      </c>
    </row>
    <row r="2202" spans="1:13" x14ac:dyDescent="0.3">
      <c r="A2202" t="s">
        <v>2601</v>
      </c>
      <c r="B2202">
        <v>19</v>
      </c>
      <c r="C2202" t="s">
        <v>20</v>
      </c>
      <c r="D2202" t="s">
        <v>13</v>
      </c>
      <c r="E2202" t="s">
        <v>14</v>
      </c>
      <c r="F2202" t="s">
        <v>517</v>
      </c>
      <c r="G2202" t="s">
        <v>296</v>
      </c>
      <c r="H2202">
        <v>4</v>
      </c>
      <c r="I2202" s="1">
        <v>5891.15</v>
      </c>
      <c r="J2202" t="s">
        <v>17</v>
      </c>
      <c r="K2202" t="s">
        <v>18</v>
      </c>
      <c r="L2202" t="str" cm="1">
        <f t="array" ref="L2202">_xlfn.IFS(B2202&lt;30,"18-29",B2202&lt;45,"30-44",B2202&lt;60,"45-59",B2202&lt;75,"60-74",B2202&lt;=90,"75-90")</f>
        <v>18-29</v>
      </c>
      <c r="M2202" t="str">
        <f>IF(Table1[[#This Row],[length_of_stay_days]]&gt;7,"Yes","No")</f>
        <v>No</v>
      </c>
    </row>
    <row r="2203" spans="1:13" x14ac:dyDescent="0.3">
      <c r="A2203" t="s">
        <v>2602</v>
      </c>
      <c r="B2203">
        <v>56</v>
      </c>
      <c r="C2203" t="s">
        <v>20</v>
      </c>
      <c r="D2203" t="s">
        <v>13</v>
      </c>
      <c r="E2203" t="s">
        <v>14</v>
      </c>
      <c r="F2203" t="s">
        <v>472</v>
      </c>
      <c r="G2203" t="s">
        <v>315</v>
      </c>
      <c r="H2203">
        <v>1</v>
      </c>
      <c r="I2203" s="1">
        <v>6056.5</v>
      </c>
      <c r="J2203" t="s">
        <v>49</v>
      </c>
      <c r="K2203" t="s">
        <v>18</v>
      </c>
      <c r="L2203" t="str" cm="1">
        <f t="array" ref="L2203">_xlfn.IFS(B2203&lt;30,"18-29",B2203&lt;45,"30-44",B2203&lt;60,"45-59",B2203&lt;75,"60-74",B2203&lt;=90,"75-90")</f>
        <v>45-59</v>
      </c>
      <c r="M2203" t="str">
        <f>IF(Table1[[#This Row],[length_of_stay_days]]&gt;7,"Yes","No")</f>
        <v>No</v>
      </c>
    </row>
    <row r="2204" spans="1:13" x14ac:dyDescent="0.3">
      <c r="A2204" t="s">
        <v>2603</v>
      </c>
      <c r="B2204">
        <v>81</v>
      </c>
      <c r="C2204" t="s">
        <v>12</v>
      </c>
      <c r="D2204" t="s">
        <v>28</v>
      </c>
      <c r="E2204" t="s">
        <v>21</v>
      </c>
      <c r="F2204" t="s">
        <v>141</v>
      </c>
      <c r="G2204" t="s">
        <v>173</v>
      </c>
      <c r="H2204">
        <v>8</v>
      </c>
      <c r="I2204" s="1">
        <v>6778.4</v>
      </c>
      <c r="J2204" t="s">
        <v>17</v>
      </c>
      <c r="K2204" t="s">
        <v>18</v>
      </c>
      <c r="L2204" t="str" cm="1">
        <f t="array" ref="L2204">_xlfn.IFS(B2204&lt;30,"18-29",B2204&lt;45,"30-44",B2204&lt;60,"45-59",B2204&lt;75,"60-74",B2204&lt;=90,"75-90")</f>
        <v>75-90</v>
      </c>
      <c r="M2204" t="str">
        <f>IF(Table1[[#This Row],[length_of_stay_days]]&gt;7,"Yes","No")</f>
        <v>Yes</v>
      </c>
    </row>
    <row r="2205" spans="1:13" x14ac:dyDescent="0.3">
      <c r="A2205" t="s">
        <v>2604</v>
      </c>
      <c r="B2205">
        <v>25</v>
      </c>
      <c r="C2205" t="s">
        <v>20</v>
      </c>
      <c r="D2205" t="s">
        <v>51</v>
      </c>
      <c r="E2205" t="s">
        <v>21</v>
      </c>
      <c r="F2205" t="s">
        <v>675</v>
      </c>
      <c r="G2205" t="s">
        <v>282</v>
      </c>
      <c r="H2205">
        <v>10</v>
      </c>
      <c r="I2205" s="1">
        <v>14894.15</v>
      </c>
      <c r="J2205" t="s">
        <v>17</v>
      </c>
      <c r="K2205" t="s">
        <v>18</v>
      </c>
      <c r="L2205" t="str" cm="1">
        <f t="array" ref="L2205">_xlfn.IFS(B2205&lt;30,"18-29",B2205&lt;45,"30-44",B2205&lt;60,"45-59",B2205&lt;75,"60-74",B2205&lt;=90,"75-90")</f>
        <v>18-29</v>
      </c>
      <c r="M2205" t="str">
        <f>IF(Table1[[#This Row],[length_of_stay_days]]&gt;7,"Yes","No")</f>
        <v>Yes</v>
      </c>
    </row>
    <row r="2206" spans="1:13" x14ac:dyDescent="0.3">
      <c r="A2206" t="s">
        <v>2605</v>
      </c>
      <c r="B2206">
        <v>18</v>
      </c>
      <c r="C2206" t="s">
        <v>20</v>
      </c>
      <c r="D2206" t="s">
        <v>46</v>
      </c>
      <c r="E2206" t="s">
        <v>28</v>
      </c>
      <c r="F2206" t="s">
        <v>162</v>
      </c>
      <c r="G2206" t="s">
        <v>616</v>
      </c>
      <c r="H2206">
        <v>4</v>
      </c>
      <c r="I2206" s="1">
        <v>10902.46</v>
      </c>
      <c r="J2206" t="s">
        <v>49</v>
      </c>
      <c r="K2206" t="s">
        <v>18</v>
      </c>
      <c r="L2206" t="str" cm="1">
        <f t="array" ref="L2206">_xlfn.IFS(B2206&lt;30,"18-29",B2206&lt;45,"30-44",B2206&lt;60,"45-59",B2206&lt;75,"60-74",B2206&lt;=90,"75-90")</f>
        <v>18-29</v>
      </c>
      <c r="M2206" t="str">
        <f>IF(Table1[[#This Row],[length_of_stay_days]]&gt;7,"Yes","No")</f>
        <v>No</v>
      </c>
    </row>
    <row r="2207" spans="1:13" x14ac:dyDescent="0.3">
      <c r="A2207" t="s">
        <v>2606</v>
      </c>
      <c r="B2207">
        <v>26</v>
      </c>
      <c r="C2207" t="s">
        <v>12</v>
      </c>
      <c r="D2207" t="s">
        <v>13</v>
      </c>
      <c r="E2207" t="s">
        <v>28</v>
      </c>
      <c r="F2207" t="s">
        <v>683</v>
      </c>
      <c r="G2207" t="s">
        <v>1595</v>
      </c>
      <c r="H2207">
        <v>7</v>
      </c>
      <c r="I2207" s="1">
        <v>8531.43</v>
      </c>
      <c r="J2207" t="s">
        <v>17</v>
      </c>
      <c r="K2207" t="s">
        <v>18</v>
      </c>
      <c r="L2207" t="str" cm="1">
        <f t="array" ref="L2207">_xlfn.IFS(B2207&lt;30,"18-29",B2207&lt;45,"30-44",B2207&lt;60,"45-59",B2207&lt;75,"60-74",B2207&lt;=90,"75-90")</f>
        <v>18-29</v>
      </c>
      <c r="M2207" t="str">
        <f>IF(Table1[[#This Row],[length_of_stay_days]]&gt;7,"Yes","No")</f>
        <v>No</v>
      </c>
    </row>
    <row r="2208" spans="1:13" x14ac:dyDescent="0.3">
      <c r="A2208" t="s">
        <v>2607</v>
      </c>
      <c r="B2208">
        <v>25</v>
      </c>
      <c r="C2208" t="s">
        <v>12</v>
      </c>
      <c r="D2208" t="s">
        <v>28</v>
      </c>
      <c r="E2208" t="s">
        <v>14</v>
      </c>
      <c r="F2208" t="s">
        <v>333</v>
      </c>
      <c r="G2208" t="s">
        <v>15</v>
      </c>
      <c r="H2208">
        <v>3</v>
      </c>
      <c r="I2208" s="1">
        <v>5649.61</v>
      </c>
      <c r="J2208" t="s">
        <v>49</v>
      </c>
      <c r="K2208" t="s">
        <v>18</v>
      </c>
      <c r="L2208" t="str" cm="1">
        <f t="array" ref="L2208">_xlfn.IFS(B2208&lt;30,"18-29",B2208&lt;45,"30-44",B2208&lt;60,"45-59",B2208&lt;75,"60-74",B2208&lt;=90,"75-90")</f>
        <v>18-29</v>
      </c>
      <c r="M2208" t="str">
        <f>IF(Table1[[#This Row],[length_of_stay_days]]&gt;7,"Yes","No")</f>
        <v>No</v>
      </c>
    </row>
    <row r="2209" spans="1:13" x14ac:dyDescent="0.3">
      <c r="A2209" t="s">
        <v>2608</v>
      </c>
      <c r="B2209">
        <v>76</v>
      </c>
      <c r="C2209" t="s">
        <v>12</v>
      </c>
      <c r="D2209" t="s">
        <v>13</v>
      </c>
      <c r="E2209" t="s">
        <v>21</v>
      </c>
      <c r="F2209" t="s">
        <v>210</v>
      </c>
      <c r="G2209" t="s">
        <v>149</v>
      </c>
      <c r="H2209">
        <v>6</v>
      </c>
      <c r="I2209" s="1">
        <v>10775.58</v>
      </c>
      <c r="J2209" t="s">
        <v>17</v>
      </c>
      <c r="K2209" t="s">
        <v>18</v>
      </c>
      <c r="L2209" t="str" cm="1">
        <f t="array" ref="L2209">_xlfn.IFS(B2209&lt;30,"18-29",B2209&lt;45,"30-44",B2209&lt;60,"45-59",B2209&lt;75,"60-74",B2209&lt;=90,"75-90")</f>
        <v>75-90</v>
      </c>
      <c r="M2209" t="str">
        <f>IF(Table1[[#This Row],[length_of_stay_days]]&gt;7,"Yes","No")</f>
        <v>No</v>
      </c>
    </row>
    <row r="2210" spans="1:13" x14ac:dyDescent="0.3">
      <c r="A2210" t="s">
        <v>2609</v>
      </c>
      <c r="B2210">
        <v>20</v>
      </c>
      <c r="C2210" t="s">
        <v>12</v>
      </c>
      <c r="D2210" t="s">
        <v>55</v>
      </c>
      <c r="E2210" t="s">
        <v>28</v>
      </c>
      <c r="F2210" t="s">
        <v>59</v>
      </c>
      <c r="G2210" t="s">
        <v>288</v>
      </c>
      <c r="H2210">
        <v>5</v>
      </c>
      <c r="I2210" s="1">
        <v>10137.879999999999</v>
      </c>
      <c r="J2210" t="s">
        <v>17</v>
      </c>
      <c r="K2210" t="s">
        <v>18</v>
      </c>
      <c r="L2210" t="str" cm="1">
        <f t="array" ref="L2210">_xlfn.IFS(B2210&lt;30,"18-29",B2210&lt;45,"30-44",B2210&lt;60,"45-59",B2210&lt;75,"60-74",B2210&lt;=90,"75-90")</f>
        <v>18-29</v>
      </c>
      <c r="M2210" t="str">
        <f>IF(Table1[[#This Row],[length_of_stay_days]]&gt;7,"Yes","No")</f>
        <v>No</v>
      </c>
    </row>
    <row r="2211" spans="1:13" x14ac:dyDescent="0.3">
      <c r="A2211" t="s">
        <v>2610</v>
      </c>
      <c r="B2211">
        <v>36</v>
      </c>
      <c r="C2211" t="s">
        <v>12</v>
      </c>
      <c r="D2211" t="s">
        <v>28</v>
      </c>
      <c r="E2211" t="s">
        <v>14</v>
      </c>
      <c r="F2211" t="s">
        <v>767</v>
      </c>
      <c r="G2211" t="s">
        <v>276</v>
      </c>
      <c r="H2211">
        <v>3</v>
      </c>
      <c r="I2211" s="1">
        <v>6377.98</v>
      </c>
      <c r="J2211" t="s">
        <v>17</v>
      </c>
      <c r="K2211" t="s">
        <v>18</v>
      </c>
      <c r="L2211" t="str" cm="1">
        <f t="array" ref="L2211">_xlfn.IFS(B2211&lt;30,"18-29",B2211&lt;45,"30-44",B2211&lt;60,"45-59",B2211&lt;75,"60-74",B2211&lt;=90,"75-90")</f>
        <v>30-44</v>
      </c>
      <c r="M2211" t="str">
        <f>IF(Table1[[#This Row],[length_of_stay_days]]&gt;7,"Yes","No")</f>
        <v>No</v>
      </c>
    </row>
    <row r="2212" spans="1:13" x14ac:dyDescent="0.3">
      <c r="A2212" t="s">
        <v>2611</v>
      </c>
      <c r="B2212">
        <v>84</v>
      </c>
      <c r="C2212" t="s">
        <v>12</v>
      </c>
      <c r="D2212" t="s">
        <v>55</v>
      </c>
      <c r="E2212" t="s">
        <v>14</v>
      </c>
      <c r="F2212" t="s">
        <v>402</v>
      </c>
      <c r="G2212" t="s">
        <v>629</v>
      </c>
      <c r="H2212">
        <v>6</v>
      </c>
      <c r="I2212" s="1">
        <v>9920.1299999999992</v>
      </c>
      <c r="J2212" t="s">
        <v>17</v>
      </c>
      <c r="K2212" t="s">
        <v>18</v>
      </c>
      <c r="L2212" t="str" cm="1">
        <f t="array" ref="L2212">_xlfn.IFS(B2212&lt;30,"18-29",B2212&lt;45,"30-44",B2212&lt;60,"45-59",B2212&lt;75,"60-74",B2212&lt;=90,"75-90")</f>
        <v>75-90</v>
      </c>
      <c r="M2212" t="str">
        <f>IF(Table1[[#This Row],[length_of_stay_days]]&gt;7,"Yes","No")</f>
        <v>No</v>
      </c>
    </row>
    <row r="2213" spans="1:13" x14ac:dyDescent="0.3">
      <c r="A2213" t="s">
        <v>2612</v>
      </c>
      <c r="B2213">
        <v>61</v>
      </c>
      <c r="C2213" t="s">
        <v>20</v>
      </c>
      <c r="D2213" t="s">
        <v>32</v>
      </c>
      <c r="E2213" t="s">
        <v>28</v>
      </c>
      <c r="F2213" t="s">
        <v>68</v>
      </c>
      <c r="G2213" t="s">
        <v>520</v>
      </c>
      <c r="H2213">
        <v>8</v>
      </c>
      <c r="I2213" s="1">
        <v>13871.49</v>
      </c>
      <c r="J2213" t="s">
        <v>17</v>
      </c>
      <c r="K2213" t="s">
        <v>18</v>
      </c>
      <c r="L2213" t="str" cm="1">
        <f t="array" ref="L2213">_xlfn.IFS(B2213&lt;30,"18-29",B2213&lt;45,"30-44",B2213&lt;60,"45-59",B2213&lt;75,"60-74",B2213&lt;=90,"75-90")</f>
        <v>60-74</v>
      </c>
      <c r="M2213" t="str">
        <f>IF(Table1[[#This Row],[length_of_stay_days]]&gt;7,"Yes","No")</f>
        <v>Yes</v>
      </c>
    </row>
    <row r="2214" spans="1:13" x14ac:dyDescent="0.3">
      <c r="A2214" t="s">
        <v>2613</v>
      </c>
      <c r="B2214">
        <v>64</v>
      </c>
      <c r="C2214" t="s">
        <v>20</v>
      </c>
      <c r="D2214" t="s">
        <v>13</v>
      </c>
      <c r="E2214" t="s">
        <v>28</v>
      </c>
      <c r="F2214" t="s">
        <v>80</v>
      </c>
      <c r="G2214" t="s">
        <v>290</v>
      </c>
      <c r="H2214">
        <v>7</v>
      </c>
      <c r="I2214" s="1">
        <v>8976.17</v>
      </c>
      <c r="J2214" t="s">
        <v>17</v>
      </c>
      <c r="K2214" t="s">
        <v>18</v>
      </c>
      <c r="L2214" t="str" cm="1">
        <f t="array" ref="L2214">_xlfn.IFS(B2214&lt;30,"18-29",B2214&lt;45,"30-44",B2214&lt;60,"45-59",B2214&lt;75,"60-74",B2214&lt;=90,"75-90")</f>
        <v>60-74</v>
      </c>
      <c r="M2214" t="str">
        <f>IF(Table1[[#This Row],[length_of_stay_days]]&gt;7,"Yes","No")</f>
        <v>No</v>
      </c>
    </row>
    <row r="2215" spans="1:13" x14ac:dyDescent="0.3">
      <c r="A2215" t="s">
        <v>2614</v>
      </c>
      <c r="B2215">
        <v>44</v>
      </c>
      <c r="C2215" t="s">
        <v>20</v>
      </c>
      <c r="D2215" t="s">
        <v>46</v>
      </c>
      <c r="E2215" t="s">
        <v>28</v>
      </c>
      <c r="F2215" t="s">
        <v>712</v>
      </c>
      <c r="G2215" t="s">
        <v>361</v>
      </c>
      <c r="H2215">
        <v>7</v>
      </c>
      <c r="I2215" s="1">
        <v>12674.74</v>
      </c>
      <c r="J2215" t="s">
        <v>17</v>
      </c>
      <c r="K2215" t="s">
        <v>18</v>
      </c>
      <c r="L2215" t="str" cm="1">
        <f t="array" ref="L2215">_xlfn.IFS(B2215&lt;30,"18-29",B2215&lt;45,"30-44",B2215&lt;60,"45-59",B2215&lt;75,"60-74",B2215&lt;=90,"75-90")</f>
        <v>30-44</v>
      </c>
      <c r="M2215" t="str">
        <f>IF(Table1[[#This Row],[length_of_stay_days]]&gt;7,"Yes","No")</f>
        <v>No</v>
      </c>
    </row>
    <row r="2216" spans="1:13" x14ac:dyDescent="0.3">
      <c r="A2216" t="s">
        <v>2615</v>
      </c>
      <c r="B2216">
        <v>63</v>
      </c>
      <c r="C2216" t="s">
        <v>20</v>
      </c>
      <c r="D2216" t="s">
        <v>28</v>
      </c>
      <c r="E2216" t="s">
        <v>21</v>
      </c>
      <c r="F2216" t="s">
        <v>328</v>
      </c>
      <c r="G2216" t="s">
        <v>151</v>
      </c>
      <c r="H2216">
        <v>2</v>
      </c>
      <c r="I2216" s="1">
        <v>3674.75</v>
      </c>
      <c r="J2216" t="s">
        <v>17</v>
      </c>
      <c r="K2216" t="s">
        <v>18</v>
      </c>
      <c r="L2216" t="str" cm="1">
        <f t="array" ref="L2216">_xlfn.IFS(B2216&lt;30,"18-29",B2216&lt;45,"30-44",B2216&lt;60,"45-59",B2216&lt;75,"60-74",B2216&lt;=90,"75-90")</f>
        <v>60-74</v>
      </c>
      <c r="M2216" t="str">
        <f>IF(Table1[[#This Row],[length_of_stay_days]]&gt;7,"Yes","No")</f>
        <v>No</v>
      </c>
    </row>
    <row r="2217" spans="1:13" x14ac:dyDescent="0.3">
      <c r="A2217" t="s">
        <v>2616</v>
      </c>
      <c r="B2217">
        <v>80</v>
      </c>
      <c r="C2217" t="s">
        <v>20</v>
      </c>
      <c r="D2217" t="s">
        <v>28</v>
      </c>
      <c r="E2217" t="s">
        <v>28</v>
      </c>
      <c r="F2217" t="s">
        <v>675</v>
      </c>
      <c r="G2217" t="s">
        <v>75</v>
      </c>
      <c r="H2217">
        <v>8</v>
      </c>
      <c r="I2217" s="1">
        <v>7351.86</v>
      </c>
      <c r="J2217" t="s">
        <v>49</v>
      </c>
      <c r="K2217" t="s">
        <v>18</v>
      </c>
      <c r="L2217" t="str" cm="1">
        <f t="array" ref="L2217">_xlfn.IFS(B2217&lt;30,"18-29",B2217&lt;45,"30-44",B2217&lt;60,"45-59",B2217&lt;75,"60-74",B2217&lt;=90,"75-90")</f>
        <v>75-90</v>
      </c>
      <c r="M2217" t="str">
        <f>IF(Table1[[#This Row],[length_of_stay_days]]&gt;7,"Yes","No")</f>
        <v>Yes</v>
      </c>
    </row>
    <row r="2218" spans="1:13" x14ac:dyDescent="0.3">
      <c r="A2218" t="s">
        <v>2617</v>
      </c>
      <c r="B2218">
        <v>81</v>
      </c>
      <c r="C2218" t="s">
        <v>12</v>
      </c>
      <c r="D2218" t="s">
        <v>28</v>
      </c>
      <c r="E2218" t="s">
        <v>14</v>
      </c>
      <c r="F2218" t="s">
        <v>504</v>
      </c>
      <c r="G2218" t="s">
        <v>678</v>
      </c>
      <c r="H2218">
        <v>4</v>
      </c>
      <c r="I2218" s="1">
        <v>6574.69</v>
      </c>
      <c r="J2218" t="s">
        <v>49</v>
      </c>
      <c r="K2218" t="s">
        <v>18</v>
      </c>
      <c r="L2218" t="str" cm="1">
        <f t="array" ref="L2218">_xlfn.IFS(B2218&lt;30,"18-29",B2218&lt;45,"30-44",B2218&lt;60,"45-59",B2218&lt;75,"60-74",B2218&lt;=90,"75-90")</f>
        <v>75-90</v>
      </c>
      <c r="M2218" t="str">
        <f>IF(Table1[[#This Row],[length_of_stay_days]]&gt;7,"Yes","No")</f>
        <v>No</v>
      </c>
    </row>
    <row r="2219" spans="1:13" x14ac:dyDescent="0.3">
      <c r="A2219" t="s">
        <v>2618</v>
      </c>
      <c r="B2219">
        <v>38</v>
      </c>
      <c r="C2219" t="s">
        <v>20</v>
      </c>
      <c r="D2219" t="s">
        <v>28</v>
      </c>
      <c r="E2219" t="s">
        <v>21</v>
      </c>
      <c r="F2219" t="s">
        <v>485</v>
      </c>
      <c r="G2219" t="s">
        <v>208</v>
      </c>
      <c r="H2219">
        <v>7</v>
      </c>
      <c r="I2219" s="1">
        <v>6756.67</v>
      </c>
      <c r="J2219" t="s">
        <v>17</v>
      </c>
      <c r="K2219" t="s">
        <v>18</v>
      </c>
      <c r="L2219" t="str" cm="1">
        <f t="array" ref="L2219">_xlfn.IFS(B2219&lt;30,"18-29",B2219&lt;45,"30-44",B2219&lt;60,"45-59",B2219&lt;75,"60-74",B2219&lt;=90,"75-90")</f>
        <v>30-44</v>
      </c>
      <c r="M2219" t="str">
        <f>IF(Table1[[#This Row],[length_of_stay_days]]&gt;7,"Yes","No")</f>
        <v>No</v>
      </c>
    </row>
    <row r="2220" spans="1:13" x14ac:dyDescent="0.3">
      <c r="A2220" t="s">
        <v>2619</v>
      </c>
      <c r="B2220">
        <v>46</v>
      </c>
      <c r="C2220" t="s">
        <v>20</v>
      </c>
      <c r="D2220" t="s">
        <v>13</v>
      </c>
      <c r="E2220" t="s">
        <v>28</v>
      </c>
      <c r="F2220" t="s">
        <v>143</v>
      </c>
      <c r="G2220" t="s">
        <v>382</v>
      </c>
      <c r="H2220">
        <v>6</v>
      </c>
      <c r="I2220" s="1">
        <v>9602.19</v>
      </c>
      <c r="J2220" t="s">
        <v>17</v>
      </c>
      <c r="K2220" t="s">
        <v>18</v>
      </c>
      <c r="L2220" t="str" cm="1">
        <f t="array" ref="L2220">_xlfn.IFS(B2220&lt;30,"18-29",B2220&lt;45,"30-44",B2220&lt;60,"45-59",B2220&lt;75,"60-74",B2220&lt;=90,"75-90")</f>
        <v>45-59</v>
      </c>
      <c r="M2220" t="str">
        <f>IF(Table1[[#This Row],[length_of_stay_days]]&gt;7,"Yes","No")</f>
        <v>No</v>
      </c>
    </row>
    <row r="2221" spans="1:13" x14ac:dyDescent="0.3">
      <c r="A2221" t="s">
        <v>2620</v>
      </c>
      <c r="B2221">
        <v>84</v>
      </c>
      <c r="C2221" t="s">
        <v>12</v>
      </c>
      <c r="D2221" t="s">
        <v>32</v>
      </c>
      <c r="E2221" t="s">
        <v>14</v>
      </c>
      <c r="F2221" t="s">
        <v>259</v>
      </c>
      <c r="G2221" t="s">
        <v>724</v>
      </c>
      <c r="H2221">
        <v>7</v>
      </c>
      <c r="I2221" s="1">
        <v>12228.57</v>
      </c>
      <c r="J2221" t="s">
        <v>17</v>
      </c>
      <c r="K2221" t="s">
        <v>18</v>
      </c>
      <c r="L2221" t="str" cm="1">
        <f t="array" ref="L2221">_xlfn.IFS(B2221&lt;30,"18-29",B2221&lt;45,"30-44",B2221&lt;60,"45-59",B2221&lt;75,"60-74",B2221&lt;=90,"75-90")</f>
        <v>75-90</v>
      </c>
      <c r="M2221" t="str">
        <f>IF(Table1[[#This Row],[length_of_stay_days]]&gt;7,"Yes","No")</f>
        <v>No</v>
      </c>
    </row>
    <row r="2222" spans="1:13" x14ac:dyDescent="0.3">
      <c r="A2222" t="s">
        <v>2621</v>
      </c>
      <c r="B2222">
        <v>22</v>
      </c>
      <c r="C2222" t="s">
        <v>12</v>
      </c>
      <c r="D2222" t="s">
        <v>51</v>
      </c>
      <c r="E2222" t="s">
        <v>28</v>
      </c>
      <c r="F2222" t="s">
        <v>575</v>
      </c>
      <c r="G2222" t="s">
        <v>415</v>
      </c>
      <c r="H2222">
        <v>8</v>
      </c>
      <c r="I2222" s="1">
        <v>12668.48</v>
      </c>
      <c r="J2222" t="s">
        <v>17</v>
      </c>
      <c r="K2222" t="s">
        <v>18</v>
      </c>
      <c r="L2222" t="str" cm="1">
        <f t="array" ref="L2222">_xlfn.IFS(B2222&lt;30,"18-29",B2222&lt;45,"30-44",B2222&lt;60,"45-59",B2222&lt;75,"60-74",B2222&lt;=90,"75-90")</f>
        <v>18-29</v>
      </c>
      <c r="M2222" t="str">
        <f>IF(Table1[[#This Row],[length_of_stay_days]]&gt;7,"Yes","No")</f>
        <v>Yes</v>
      </c>
    </row>
    <row r="2223" spans="1:13" x14ac:dyDescent="0.3">
      <c r="A2223" t="s">
        <v>2622</v>
      </c>
      <c r="B2223">
        <v>39</v>
      </c>
      <c r="C2223" t="s">
        <v>20</v>
      </c>
      <c r="D2223" t="s">
        <v>51</v>
      </c>
      <c r="E2223" t="s">
        <v>28</v>
      </c>
      <c r="F2223" t="s">
        <v>246</v>
      </c>
      <c r="G2223" t="s">
        <v>320</v>
      </c>
      <c r="H2223">
        <v>6</v>
      </c>
      <c r="I2223" s="1">
        <v>8563.9500000000007</v>
      </c>
      <c r="J2223" t="s">
        <v>49</v>
      </c>
      <c r="K2223" t="s">
        <v>18</v>
      </c>
      <c r="L2223" t="str" cm="1">
        <f t="array" ref="L2223">_xlfn.IFS(B2223&lt;30,"18-29",B2223&lt;45,"30-44",B2223&lt;60,"45-59",B2223&lt;75,"60-74",B2223&lt;=90,"75-90")</f>
        <v>30-44</v>
      </c>
      <c r="M2223" t="str">
        <f>IF(Table1[[#This Row],[length_of_stay_days]]&gt;7,"Yes","No")</f>
        <v>No</v>
      </c>
    </row>
    <row r="2224" spans="1:13" x14ac:dyDescent="0.3">
      <c r="A2224" t="s">
        <v>2623</v>
      </c>
      <c r="B2224">
        <v>46</v>
      </c>
      <c r="C2224" t="s">
        <v>20</v>
      </c>
      <c r="D2224" t="s">
        <v>28</v>
      </c>
      <c r="E2224" t="s">
        <v>21</v>
      </c>
      <c r="F2224" t="s">
        <v>1160</v>
      </c>
      <c r="G2224" t="s">
        <v>575</v>
      </c>
      <c r="H2224">
        <v>6</v>
      </c>
      <c r="I2224" s="1">
        <v>7446.5</v>
      </c>
      <c r="J2224" t="s">
        <v>49</v>
      </c>
      <c r="K2224" t="s">
        <v>18</v>
      </c>
      <c r="L2224" t="str" cm="1">
        <f t="array" ref="L2224">_xlfn.IFS(B2224&lt;30,"18-29",B2224&lt;45,"30-44",B2224&lt;60,"45-59",B2224&lt;75,"60-74",B2224&lt;=90,"75-90")</f>
        <v>45-59</v>
      </c>
      <c r="M2224" t="str">
        <f>IF(Table1[[#This Row],[length_of_stay_days]]&gt;7,"Yes","No")</f>
        <v>No</v>
      </c>
    </row>
    <row r="2225" spans="1:13" x14ac:dyDescent="0.3">
      <c r="A2225" t="s">
        <v>2624</v>
      </c>
      <c r="B2225">
        <v>45</v>
      </c>
      <c r="C2225" t="s">
        <v>20</v>
      </c>
      <c r="D2225" t="s">
        <v>28</v>
      </c>
      <c r="E2225" t="s">
        <v>28</v>
      </c>
      <c r="F2225" t="s">
        <v>617</v>
      </c>
      <c r="G2225" t="s">
        <v>259</v>
      </c>
      <c r="H2225">
        <v>8</v>
      </c>
      <c r="I2225" s="1">
        <v>6472.16</v>
      </c>
      <c r="J2225" t="s">
        <v>17</v>
      </c>
      <c r="K2225" t="s">
        <v>18</v>
      </c>
      <c r="L2225" t="str" cm="1">
        <f t="array" ref="L2225">_xlfn.IFS(B2225&lt;30,"18-29",B2225&lt;45,"30-44",B2225&lt;60,"45-59",B2225&lt;75,"60-74",B2225&lt;=90,"75-90")</f>
        <v>45-59</v>
      </c>
      <c r="M2225" t="str">
        <f>IF(Table1[[#This Row],[length_of_stay_days]]&gt;7,"Yes","No")</f>
        <v>Yes</v>
      </c>
    </row>
    <row r="2226" spans="1:13" x14ac:dyDescent="0.3">
      <c r="A2226" t="s">
        <v>2625</v>
      </c>
      <c r="B2226">
        <v>85</v>
      </c>
      <c r="C2226" t="s">
        <v>12</v>
      </c>
      <c r="D2226" t="s">
        <v>28</v>
      </c>
      <c r="E2226" t="s">
        <v>28</v>
      </c>
      <c r="F2226" t="s">
        <v>360</v>
      </c>
      <c r="H2226">
        <v>3</v>
      </c>
      <c r="I2226" s="1">
        <v>6254.41</v>
      </c>
      <c r="J2226" t="s">
        <v>17</v>
      </c>
      <c r="K2226" t="s">
        <v>18</v>
      </c>
      <c r="L2226" t="str" cm="1">
        <f t="array" ref="L2226">_xlfn.IFS(B2226&lt;30,"18-29",B2226&lt;45,"30-44",B2226&lt;60,"45-59",B2226&lt;75,"60-74",B2226&lt;=90,"75-90")</f>
        <v>75-90</v>
      </c>
      <c r="M2226" t="str">
        <f>IF(Table1[[#This Row],[length_of_stay_days]]&gt;7,"Yes","No")</f>
        <v>No</v>
      </c>
    </row>
    <row r="2227" spans="1:13" x14ac:dyDescent="0.3">
      <c r="A2227" t="s">
        <v>2626</v>
      </c>
      <c r="B2227">
        <v>78</v>
      </c>
      <c r="C2227" t="s">
        <v>20</v>
      </c>
      <c r="D2227" t="s">
        <v>28</v>
      </c>
      <c r="E2227" t="s">
        <v>28</v>
      </c>
      <c r="F2227" t="s">
        <v>554</v>
      </c>
      <c r="G2227" t="s">
        <v>620</v>
      </c>
      <c r="H2227">
        <v>5</v>
      </c>
      <c r="I2227" s="1">
        <v>6466.8</v>
      </c>
      <c r="J2227" t="s">
        <v>17</v>
      </c>
      <c r="K2227" t="s">
        <v>44</v>
      </c>
      <c r="L2227" t="str" cm="1">
        <f t="array" ref="L2227">_xlfn.IFS(B2227&lt;30,"18-29",B2227&lt;45,"30-44",B2227&lt;60,"45-59",B2227&lt;75,"60-74",B2227&lt;=90,"75-90")</f>
        <v>75-90</v>
      </c>
      <c r="M2227" t="str">
        <f>IF(Table1[[#This Row],[length_of_stay_days]]&gt;7,"Yes","No")</f>
        <v>No</v>
      </c>
    </row>
    <row r="2228" spans="1:13" x14ac:dyDescent="0.3">
      <c r="A2228" t="s">
        <v>2627</v>
      </c>
      <c r="B2228">
        <v>18</v>
      </c>
      <c r="C2228" t="s">
        <v>20</v>
      </c>
      <c r="D2228" t="s">
        <v>46</v>
      </c>
      <c r="E2228" t="s">
        <v>28</v>
      </c>
      <c r="F2228" t="s">
        <v>155</v>
      </c>
      <c r="G2228" t="s">
        <v>471</v>
      </c>
      <c r="H2228">
        <v>8</v>
      </c>
      <c r="I2228" s="1">
        <v>14876.21</v>
      </c>
      <c r="J2228" t="s">
        <v>17</v>
      </c>
      <c r="K2228" t="s">
        <v>18</v>
      </c>
      <c r="L2228" t="str" cm="1">
        <f t="array" ref="L2228">_xlfn.IFS(B2228&lt;30,"18-29",B2228&lt;45,"30-44",B2228&lt;60,"45-59",B2228&lt;75,"60-74",B2228&lt;=90,"75-90")</f>
        <v>18-29</v>
      </c>
      <c r="M2228" t="str">
        <f>IF(Table1[[#This Row],[length_of_stay_days]]&gt;7,"Yes","No")</f>
        <v>Yes</v>
      </c>
    </row>
    <row r="2229" spans="1:13" x14ac:dyDescent="0.3">
      <c r="A2229" t="s">
        <v>2628</v>
      </c>
      <c r="B2229">
        <v>29</v>
      </c>
      <c r="C2229" t="s">
        <v>12</v>
      </c>
      <c r="D2229" t="s">
        <v>32</v>
      </c>
      <c r="E2229" t="s">
        <v>21</v>
      </c>
      <c r="F2229" t="s">
        <v>493</v>
      </c>
      <c r="G2229" t="s">
        <v>616</v>
      </c>
      <c r="H2229">
        <v>5</v>
      </c>
      <c r="I2229" s="1">
        <v>12669</v>
      </c>
      <c r="J2229" t="s">
        <v>49</v>
      </c>
      <c r="K2229" t="s">
        <v>18</v>
      </c>
      <c r="L2229" t="str" cm="1">
        <f t="array" ref="L2229">_xlfn.IFS(B2229&lt;30,"18-29",B2229&lt;45,"30-44",B2229&lt;60,"45-59",B2229&lt;75,"60-74",B2229&lt;=90,"75-90")</f>
        <v>18-29</v>
      </c>
      <c r="M2229" t="str">
        <f>IF(Table1[[#This Row],[length_of_stay_days]]&gt;7,"Yes","No")</f>
        <v>No</v>
      </c>
    </row>
    <row r="2230" spans="1:13" x14ac:dyDescent="0.3">
      <c r="A2230" t="s">
        <v>2629</v>
      </c>
      <c r="B2230">
        <v>49</v>
      </c>
      <c r="C2230" t="s">
        <v>12</v>
      </c>
      <c r="D2230" t="s">
        <v>13</v>
      </c>
      <c r="E2230" t="s">
        <v>14</v>
      </c>
      <c r="F2230" t="s">
        <v>559</v>
      </c>
      <c r="G2230" t="s">
        <v>74</v>
      </c>
      <c r="H2230">
        <v>1</v>
      </c>
      <c r="I2230" s="1">
        <v>7530.12</v>
      </c>
      <c r="J2230" t="s">
        <v>17</v>
      </c>
      <c r="K2230" t="s">
        <v>18</v>
      </c>
      <c r="L2230" t="str" cm="1">
        <f t="array" ref="L2230">_xlfn.IFS(B2230&lt;30,"18-29",B2230&lt;45,"30-44",B2230&lt;60,"45-59",B2230&lt;75,"60-74",B2230&lt;=90,"75-90")</f>
        <v>45-59</v>
      </c>
      <c r="M2230" t="str">
        <f>IF(Table1[[#This Row],[length_of_stay_days]]&gt;7,"Yes","No")</f>
        <v>No</v>
      </c>
    </row>
    <row r="2231" spans="1:13" x14ac:dyDescent="0.3">
      <c r="A2231" t="s">
        <v>2630</v>
      </c>
      <c r="B2231">
        <v>53</v>
      </c>
      <c r="C2231" t="s">
        <v>20</v>
      </c>
      <c r="D2231" t="s">
        <v>32</v>
      </c>
      <c r="E2231" t="s">
        <v>28</v>
      </c>
      <c r="F2231" t="s">
        <v>527</v>
      </c>
      <c r="G2231" t="s">
        <v>166</v>
      </c>
      <c r="H2231">
        <v>8</v>
      </c>
      <c r="I2231" s="1">
        <v>11245.21</v>
      </c>
      <c r="J2231" t="s">
        <v>17</v>
      </c>
      <c r="K2231" t="s">
        <v>18</v>
      </c>
      <c r="L2231" t="str" cm="1">
        <f t="array" ref="L2231">_xlfn.IFS(B2231&lt;30,"18-29",B2231&lt;45,"30-44",B2231&lt;60,"45-59",B2231&lt;75,"60-74",B2231&lt;=90,"75-90")</f>
        <v>45-59</v>
      </c>
      <c r="M2231" t="str">
        <f>IF(Table1[[#This Row],[length_of_stay_days]]&gt;7,"Yes","No")</f>
        <v>Yes</v>
      </c>
    </row>
    <row r="2232" spans="1:13" x14ac:dyDescent="0.3">
      <c r="A2232" t="s">
        <v>2631</v>
      </c>
      <c r="B2232">
        <v>83</v>
      </c>
      <c r="C2232" t="s">
        <v>20</v>
      </c>
      <c r="D2232" t="s">
        <v>28</v>
      </c>
      <c r="E2232" t="s">
        <v>28</v>
      </c>
      <c r="F2232" t="s">
        <v>579</v>
      </c>
      <c r="G2232" t="s">
        <v>460</v>
      </c>
      <c r="H2232">
        <v>4</v>
      </c>
      <c r="I2232" s="1">
        <v>4575.51</v>
      </c>
      <c r="J2232" t="s">
        <v>49</v>
      </c>
      <c r="K2232" t="s">
        <v>18</v>
      </c>
      <c r="L2232" t="str" cm="1">
        <f t="array" ref="L2232">_xlfn.IFS(B2232&lt;30,"18-29",B2232&lt;45,"30-44",B2232&lt;60,"45-59",B2232&lt;75,"60-74",B2232&lt;=90,"75-90")</f>
        <v>75-90</v>
      </c>
      <c r="M2232" t="str">
        <f>IF(Table1[[#This Row],[length_of_stay_days]]&gt;7,"Yes","No")</f>
        <v>No</v>
      </c>
    </row>
    <row r="2233" spans="1:13" x14ac:dyDescent="0.3">
      <c r="A2233" t="s">
        <v>2632</v>
      </c>
      <c r="B2233">
        <v>60</v>
      </c>
      <c r="C2233" t="s">
        <v>12</v>
      </c>
      <c r="D2233" t="s">
        <v>55</v>
      </c>
      <c r="E2233" t="s">
        <v>14</v>
      </c>
      <c r="F2233" t="s">
        <v>616</v>
      </c>
      <c r="G2233" t="s">
        <v>797</v>
      </c>
      <c r="H2233">
        <v>4</v>
      </c>
      <c r="I2233" s="1">
        <v>7908.82</v>
      </c>
      <c r="J2233" t="s">
        <v>17</v>
      </c>
      <c r="K2233" t="s">
        <v>18</v>
      </c>
      <c r="L2233" t="str" cm="1">
        <f t="array" ref="L2233">_xlfn.IFS(B2233&lt;30,"18-29",B2233&lt;45,"30-44",B2233&lt;60,"45-59",B2233&lt;75,"60-74",B2233&lt;=90,"75-90")</f>
        <v>60-74</v>
      </c>
      <c r="M2233" t="str">
        <f>IF(Table1[[#This Row],[length_of_stay_days]]&gt;7,"Yes","No")</f>
        <v>No</v>
      </c>
    </row>
    <row r="2234" spans="1:13" x14ac:dyDescent="0.3">
      <c r="A2234" t="s">
        <v>2633</v>
      </c>
      <c r="B2234">
        <v>36</v>
      </c>
      <c r="C2234" t="s">
        <v>20</v>
      </c>
      <c r="D2234" t="s">
        <v>51</v>
      </c>
      <c r="E2234" t="s">
        <v>28</v>
      </c>
      <c r="F2234" t="s">
        <v>453</v>
      </c>
      <c r="G2234" t="s">
        <v>98</v>
      </c>
      <c r="H2234">
        <v>6</v>
      </c>
      <c r="I2234" s="1">
        <v>11286.88</v>
      </c>
      <c r="J2234" t="s">
        <v>17</v>
      </c>
      <c r="K2234" t="s">
        <v>18</v>
      </c>
      <c r="L2234" t="str" cm="1">
        <f t="array" ref="L2234">_xlfn.IFS(B2234&lt;30,"18-29",B2234&lt;45,"30-44",B2234&lt;60,"45-59",B2234&lt;75,"60-74",B2234&lt;=90,"75-90")</f>
        <v>30-44</v>
      </c>
      <c r="M2234" t="str">
        <f>IF(Table1[[#This Row],[length_of_stay_days]]&gt;7,"Yes","No")</f>
        <v>No</v>
      </c>
    </row>
    <row r="2235" spans="1:13" x14ac:dyDescent="0.3">
      <c r="A2235" t="s">
        <v>2634</v>
      </c>
      <c r="B2235">
        <v>26</v>
      </c>
      <c r="C2235" t="s">
        <v>20</v>
      </c>
      <c r="D2235" t="s">
        <v>55</v>
      </c>
      <c r="E2235" t="s">
        <v>14</v>
      </c>
      <c r="F2235" t="s">
        <v>37</v>
      </c>
      <c r="G2235" t="s">
        <v>116</v>
      </c>
      <c r="H2235">
        <v>3</v>
      </c>
      <c r="I2235" s="1">
        <v>8137.83</v>
      </c>
      <c r="J2235" t="s">
        <v>17</v>
      </c>
      <c r="K2235" t="s">
        <v>44</v>
      </c>
      <c r="L2235" t="str" cm="1">
        <f t="array" ref="L2235">_xlfn.IFS(B2235&lt;30,"18-29",B2235&lt;45,"30-44",B2235&lt;60,"45-59",B2235&lt;75,"60-74",B2235&lt;=90,"75-90")</f>
        <v>18-29</v>
      </c>
      <c r="M2235" t="str">
        <f>IF(Table1[[#This Row],[length_of_stay_days]]&gt;7,"Yes","No")</f>
        <v>No</v>
      </c>
    </row>
    <row r="2236" spans="1:13" x14ac:dyDescent="0.3">
      <c r="A2236" t="s">
        <v>2635</v>
      </c>
      <c r="B2236">
        <v>50</v>
      </c>
      <c r="C2236" t="s">
        <v>20</v>
      </c>
      <c r="D2236" t="s">
        <v>32</v>
      </c>
      <c r="E2236" t="s">
        <v>28</v>
      </c>
      <c r="F2236" t="s">
        <v>1018</v>
      </c>
      <c r="G2236" t="s">
        <v>1160</v>
      </c>
      <c r="H2236">
        <v>5</v>
      </c>
      <c r="I2236" s="1">
        <v>12085.72</v>
      </c>
      <c r="J2236" t="s">
        <v>17</v>
      </c>
      <c r="K2236" t="s">
        <v>18</v>
      </c>
      <c r="L2236" t="str" cm="1">
        <f t="array" ref="L2236">_xlfn.IFS(B2236&lt;30,"18-29",B2236&lt;45,"30-44",B2236&lt;60,"45-59",B2236&lt;75,"60-74",B2236&lt;=90,"75-90")</f>
        <v>45-59</v>
      </c>
      <c r="M2236" t="str">
        <f>IF(Table1[[#This Row],[length_of_stay_days]]&gt;7,"Yes","No")</f>
        <v>No</v>
      </c>
    </row>
    <row r="2237" spans="1:13" x14ac:dyDescent="0.3">
      <c r="A2237" t="s">
        <v>2636</v>
      </c>
      <c r="B2237">
        <v>28</v>
      </c>
      <c r="C2237" t="s">
        <v>12</v>
      </c>
      <c r="D2237" t="s">
        <v>51</v>
      </c>
      <c r="E2237" t="s">
        <v>28</v>
      </c>
      <c r="F2237" t="s">
        <v>558</v>
      </c>
      <c r="G2237" t="s">
        <v>74</v>
      </c>
      <c r="H2237">
        <v>7</v>
      </c>
      <c r="I2237" s="1">
        <v>10452.540000000001</v>
      </c>
      <c r="J2237" t="s">
        <v>17</v>
      </c>
      <c r="K2237" t="s">
        <v>18</v>
      </c>
      <c r="L2237" t="str" cm="1">
        <f t="array" ref="L2237">_xlfn.IFS(B2237&lt;30,"18-29",B2237&lt;45,"30-44",B2237&lt;60,"45-59",B2237&lt;75,"60-74",B2237&lt;=90,"75-90")</f>
        <v>18-29</v>
      </c>
      <c r="M2237" t="str">
        <f>IF(Table1[[#This Row],[length_of_stay_days]]&gt;7,"Yes","No")</f>
        <v>No</v>
      </c>
    </row>
    <row r="2238" spans="1:13" x14ac:dyDescent="0.3">
      <c r="A2238" t="s">
        <v>2637</v>
      </c>
      <c r="B2238">
        <v>65</v>
      </c>
      <c r="C2238" t="s">
        <v>20</v>
      </c>
      <c r="D2238" t="s">
        <v>28</v>
      </c>
      <c r="E2238" t="s">
        <v>28</v>
      </c>
      <c r="F2238" t="s">
        <v>654</v>
      </c>
      <c r="G2238" t="s">
        <v>683</v>
      </c>
      <c r="H2238">
        <v>5</v>
      </c>
      <c r="I2238" s="1">
        <v>6575.5</v>
      </c>
      <c r="J2238" t="s">
        <v>17</v>
      </c>
      <c r="K2238" t="s">
        <v>18</v>
      </c>
      <c r="L2238" t="str" cm="1">
        <f t="array" ref="L2238">_xlfn.IFS(B2238&lt;30,"18-29",B2238&lt;45,"30-44",B2238&lt;60,"45-59",B2238&lt;75,"60-74",B2238&lt;=90,"75-90")</f>
        <v>60-74</v>
      </c>
      <c r="M2238" t="str">
        <f>IF(Table1[[#This Row],[length_of_stay_days]]&gt;7,"Yes","No")</f>
        <v>No</v>
      </c>
    </row>
    <row r="2239" spans="1:13" x14ac:dyDescent="0.3">
      <c r="A2239" t="s">
        <v>2638</v>
      </c>
      <c r="B2239">
        <v>63</v>
      </c>
      <c r="C2239" t="s">
        <v>12</v>
      </c>
      <c r="D2239" t="s">
        <v>13</v>
      </c>
      <c r="E2239" t="s">
        <v>14</v>
      </c>
      <c r="F2239" t="s">
        <v>208</v>
      </c>
      <c r="G2239" t="s">
        <v>25</v>
      </c>
      <c r="H2239">
        <v>5</v>
      </c>
      <c r="I2239" s="1">
        <v>6411.47</v>
      </c>
      <c r="J2239" t="s">
        <v>17</v>
      </c>
      <c r="K2239" t="s">
        <v>18</v>
      </c>
      <c r="L2239" t="str" cm="1">
        <f t="array" ref="L2239">_xlfn.IFS(B2239&lt;30,"18-29",B2239&lt;45,"30-44",B2239&lt;60,"45-59",B2239&lt;75,"60-74",B2239&lt;=90,"75-90")</f>
        <v>60-74</v>
      </c>
      <c r="M2239" t="str">
        <f>IF(Table1[[#This Row],[length_of_stay_days]]&gt;7,"Yes","No")</f>
        <v>No</v>
      </c>
    </row>
    <row r="2240" spans="1:13" x14ac:dyDescent="0.3">
      <c r="A2240" t="s">
        <v>2639</v>
      </c>
      <c r="B2240">
        <v>55</v>
      </c>
      <c r="C2240" t="s">
        <v>20</v>
      </c>
      <c r="D2240" t="s">
        <v>55</v>
      </c>
      <c r="E2240" t="s">
        <v>28</v>
      </c>
      <c r="F2240" t="s">
        <v>517</v>
      </c>
      <c r="G2240" t="s">
        <v>248</v>
      </c>
      <c r="H2240">
        <v>7</v>
      </c>
      <c r="I2240" s="1">
        <v>11157.88</v>
      </c>
      <c r="J2240" t="s">
        <v>17</v>
      </c>
      <c r="K2240" t="s">
        <v>18</v>
      </c>
      <c r="L2240" t="str" cm="1">
        <f t="array" ref="L2240">_xlfn.IFS(B2240&lt;30,"18-29",B2240&lt;45,"30-44",B2240&lt;60,"45-59",B2240&lt;75,"60-74",B2240&lt;=90,"75-90")</f>
        <v>45-59</v>
      </c>
      <c r="M2240" t="str">
        <f>IF(Table1[[#This Row],[length_of_stay_days]]&gt;7,"Yes","No")</f>
        <v>No</v>
      </c>
    </row>
    <row r="2241" spans="1:13" x14ac:dyDescent="0.3">
      <c r="A2241" t="s">
        <v>2640</v>
      </c>
      <c r="B2241">
        <v>61</v>
      </c>
      <c r="C2241" t="s">
        <v>12</v>
      </c>
      <c r="D2241" t="s">
        <v>55</v>
      </c>
      <c r="E2241" t="s">
        <v>28</v>
      </c>
      <c r="F2241" t="s">
        <v>112</v>
      </c>
      <c r="G2241" t="s">
        <v>654</v>
      </c>
      <c r="H2241">
        <v>8</v>
      </c>
      <c r="I2241" s="1">
        <v>11134.02</v>
      </c>
      <c r="J2241" t="s">
        <v>17</v>
      </c>
      <c r="K2241" t="s">
        <v>18</v>
      </c>
      <c r="L2241" t="str" cm="1">
        <f t="array" ref="L2241">_xlfn.IFS(B2241&lt;30,"18-29",B2241&lt;45,"30-44",B2241&lt;60,"45-59",B2241&lt;75,"60-74",B2241&lt;=90,"75-90")</f>
        <v>60-74</v>
      </c>
      <c r="M2241" t="str">
        <f>IF(Table1[[#This Row],[length_of_stay_days]]&gt;7,"Yes","No")</f>
        <v>Yes</v>
      </c>
    </row>
    <row r="2242" spans="1:13" x14ac:dyDescent="0.3">
      <c r="A2242" t="s">
        <v>2641</v>
      </c>
      <c r="B2242">
        <v>87</v>
      </c>
      <c r="C2242" t="s">
        <v>12</v>
      </c>
      <c r="D2242" t="s">
        <v>46</v>
      </c>
      <c r="E2242" t="s">
        <v>21</v>
      </c>
      <c r="F2242" t="s">
        <v>155</v>
      </c>
      <c r="G2242" t="s">
        <v>62</v>
      </c>
      <c r="H2242">
        <v>5</v>
      </c>
      <c r="I2242" s="1">
        <v>11913.98</v>
      </c>
      <c r="J2242" t="s">
        <v>17</v>
      </c>
      <c r="K2242" t="s">
        <v>18</v>
      </c>
      <c r="L2242" t="str" cm="1">
        <f t="array" ref="L2242">_xlfn.IFS(B2242&lt;30,"18-29",B2242&lt;45,"30-44",B2242&lt;60,"45-59",B2242&lt;75,"60-74",B2242&lt;=90,"75-90")</f>
        <v>75-90</v>
      </c>
      <c r="M2242" t="str">
        <f>IF(Table1[[#This Row],[length_of_stay_days]]&gt;7,"Yes","No")</f>
        <v>No</v>
      </c>
    </row>
    <row r="2243" spans="1:13" x14ac:dyDescent="0.3">
      <c r="A2243" t="s">
        <v>2642</v>
      </c>
      <c r="B2243">
        <v>29</v>
      </c>
      <c r="C2243" t="s">
        <v>20</v>
      </c>
      <c r="D2243" t="s">
        <v>32</v>
      </c>
      <c r="E2243" t="s">
        <v>28</v>
      </c>
      <c r="F2243" t="s">
        <v>849</v>
      </c>
      <c r="G2243" t="s">
        <v>625</v>
      </c>
      <c r="H2243">
        <v>5</v>
      </c>
      <c r="I2243" s="1">
        <v>12335.96</v>
      </c>
      <c r="J2243" t="s">
        <v>17</v>
      </c>
      <c r="K2243" t="s">
        <v>18</v>
      </c>
      <c r="L2243" t="str" cm="1">
        <f t="array" ref="L2243">_xlfn.IFS(B2243&lt;30,"18-29",B2243&lt;45,"30-44",B2243&lt;60,"45-59",B2243&lt;75,"60-74",B2243&lt;=90,"75-90")</f>
        <v>18-29</v>
      </c>
      <c r="M2243" t="str">
        <f>IF(Table1[[#This Row],[length_of_stay_days]]&gt;7,"Yes","No")</f>
        <v>No</v>
      </c>
    </row>
    <row r="2244" spans="1:13" x14ac:dyDescent="0.3">
      <c r="A2244" t="s">
        <v>2643</v>
      </c>
      <c r="B2244">
        <v>32</v>
      </c>
      <c r="C2244" t="s">
        <v>20</v>
      </c>
      <c r="D2244" t="s">
        <v>28</v>
      </c>
      <c r="E2244" t="s">
        <v>14</v>
      </c>
      <c r="F2244" t="s">
        <v>259</v>
      </c>
      <c r="G2244" t="s">
        <v>298</v>
      </c>
      <c r="H2244">
        <v>1</v>
      </c>
      <c r="I2244" s="1">
        <v>3402.68</v>
      </c>
      <c r="J2244" t="s">
        <v>17</v>
      </c>
      <c r="K2244" t="s">
        <v>18</v>
      </c>
      <c r="L2244" t="str" cm="1">
        <f t="array" ref="L2244">_xlfn.IFS(B2244&lt;30,"18-29",B2244&lt;45,"30-44",B2244&lt;60,"45-59",B2244&lt;75,"60-74",B2244&lt;=90,"75-90")</f>
        <v>30-44</v>
      </c>
      <c r="M2244" t="str">
        <f>IF(Table1[[#This Row],[length_of_stay_days]]&gt;7,"Yes","No")</f>
        <v>No</v>
      </c>
    </row>
    <row r="2245" spans="1:13" x14ac:dyDescent="0.3">
      <c r="A2245" t="s">
        <v>2644</v>
      </c>
      <c r="B2245">
        <v>54</v>
      </c>
      <c r="C2245" t="s">
        <v>20</v>
      </c>
      <c r="D2245" t="s">
        <v>51</v>
      </c>
      <c r="E2245" t="s">
        <v>28</v>
      </c>
      <c r="F2245" t="s">
        <v>501</v>
      </c>
      <c r="G2245" t="s">
        <v>203</v>
      </c>
      <c r="H2245">
        <v>6</v>
      </c>
      <c r="I2245" s="1">
        <v>10759.35</v>
      </c>
      <c r="J2245" t="s">
        <v>17</v>
      </c>
      <c r="K2245" t="s">
        <v>18</v>
      </c>
      <c r="L2245" t="str" cm="1">
        <f t="array" ref="L2245">_xlfn.IFS(B2245&lt;30,"18-29",B2245&lt;45,"30-44",B2245&lt;60,"45-59",B2245&lt;75,"60-74",B2245&lt;=90,"75-90")</f>
        <v>45-59</v>
      </c>
      <c r="M2245" t="str">
        <f>IF(Table1[[#This Row],[length_of_stay_days]]&gt;7,"Yes","No")</f>
        <v>No</v>
      </c>
    </row>
    <row r="2246" spans="1:13" x14ac:dyDescent="0.3">
      <c r="A2246" t="s">
        <v>2645</v>
      </c>
      <c r="B2246">
        <v>81</v>
      </c>
      <c r="C2246" t="s">
        <v>20</v>
      </c>
      <c r="D2246" t="s">
        <v>28</v>
      </c>
      <c r="E2246" t="s">
        <v>14</v>
      </c>
      <c r="F2246" t="s">
        <v>449</v>
      </c>
      <c r="G2246" t="s">
        <v>517</v>
      </c>
      <c r="H2246">
        <v>5</v>
      </c>
      <c r="I2246" s="1">
        <v>4570.1899999999996</v>
      </c>
      <c r="J2246" t="s">
        <v>17</v>
      </c>
      <c r="K2246" t="s">
        <v>18</v>
      </c>
      <c r="L2246" t="str" cm="1">
        <f t="array" ref="L2246">_xlfn.IFS(B2246&lt;30,"18-29",B2246&lt;45,"30-44",B2246&lt;60,"45-59",B2246&lt;75,"60-74",B2246&lt;=90,"75-90")</f>
        <v>75-90</v>
      </c>
      <c r="M2246" t="str">
        <f>IF(Table1[[#This Row],[length_of_stay_days]]&gt;7,"Yes","No")</f>
        <v>No</v>
      </c>
    </row>
    <row r="2247" spans="1:13" x14ac:dyDescent="0.3">
      <c r="A2247" t="s">
        <v>2646</v>
      </c>
      <c r="B2247">
        <v>21</v>
      </c>
      <c r="C2247" t="s">
        <v>12</v>
      </c>
      <c r="D2247" t="s">
        <v>28</v>
      </c>
      <c r="E2247" t="s">
        <v>21</v>
      </c>
      <c r="F2247" t="s">
        <v>765</v>
      </c>
      <c r="G2247" t="s">
        <v>472</v>
      </c>
      <c r="H2247">
        <v>1</v>
      </c>
      <c r="I2247" s="1">
        <v>1216.49</v>
      </c>
      <c r="J2247" t="s">
        <v>17</v>
      </c>
      <c r="K2247" t="s">
        <v>18</v>
      </c>
      <c r="L2247" t="str" cm="1">
        <f t="array" ref="L2247">_xlfn.IFS(B2247&lt;30,"18-29",B2247&lt;45,"30-44",B2247&lt;60,"45-59",B2247&lt;75,"60-74",B2247&lt;=90,"75-90")</f>
        <v>18-29</v>
      </c>
      <c r="M2247" t="str">
        <f>IF(Table1[[#This Row],[length_of_stay_days]]&gt;7,"Yes","No")</f>
        <v>No</v>
      </c>
    </row>
    <row r="2248" spans="1:13" x14ac:dyDescent="0.3">
      <c r="A2248" t="s">
        <v>2647</v>
      </c>
      <c r="B2248">
        <v>82</v>
      </c>
      <c r="C2248" t="s">
        <v>12</v>
      </c>
      <c r="D2248" t="s">
        <v>13</v>
      </c>
      <c r="E2248" t="s">
        <v>28</v>
      </c>
      <c r="F2248" t="s">
        <v>320</v>
      </c>
      <c r="G2248" t="s">
        <v>250</v>
      </c>
      <c r="H2248">
        <v>5</v>
      </c>
      <c r="I2248" s="1">
        <v>6601.57</v>
      </c>
      <c r="J2248" t="s">
        <v>17</v>
      </c>
      <c r="K2248" t="s">
        <v>18</v>
      </c>
      <c r="L2248" t="str" cm="1">
        <f t="array" ref="L2248">_xlfn.IFS(B2248&lt;30,"18-29",B2248&lt;45,"30-44",B2248&lt;60,"45-59",B2248&lt;75,"60-74",B2248&lt;=90,"75-90")</f>
        <v>75-90</v>
      </c>
      <c r="M2248" t="str">
        <f>IF(Table1[[#This Row],[length_of_stay_days]]&gt;7,"Yes","No")</f>
        <v>No</v>
      </c>
    </row>
    <row r="2249" spans="1:13" x14ac:dyDescent="0.3">
      <c r="A2249" t="s">
        <v>2648</v>
      </c>
      <c r="B2249">
        <v>87</v>
      </c>
      <c r="C2249" t="s">
        <v>12</v>
      </c>
      <c r="D2249" t="s">
        <v>28</v>
      </c>
      <c r="E2249" t="s">
        <v>14</v>
      </c>
      <c r="F2249" t="s">
        <v>386</v>
      </c>
      <c r="G2249" t="s">
        <v>30</v>
      </c>
      <c r="H2249">
        <v>4</v>
      </c>
      <c r="I2249" s="1">
        <v>3375.82</v>
      </c>
      <c r="J2249" t="s">
        <v>17</v>
      </c>
      <c r="K2249" t="s">
        <v>18</v>
      </c>
      <c r="L2249" t="str" cm="1">
        <f t="array" ref="L2249">_xlfn.IFS(B2249&lt;30,"18-29",B2249&lt;45,"30-44",B2249&lt;60,"45-59",B2249&lt;75,"60-74",B2249&lt;=90,"75-90")</f>
        <v>75-90</v>
      </c>
      <c r="M2249" t="str">
        <f>IF(Table1[[#This Row],[length_of_stay_days]]&gt;7,"Yes","No")</f>
        <v>No</v>
      </c>
    </row>
    <row r="2250" spans="1:13" x14ac:dyDescent="0.3">
      <c r="A2250" t="s">
        <v>2649</v>
      </c>
      <c r="B2250">
        <v>88</v>
      </c>
      <c r="C2250" t="s">
        <v>20</v>
      </c>
      <c r="D2250" t="s">
        <v>55</v>
      </c>
      <c r="E2250" t="s">
        <v>14</v>
      </c>
      <c r="F2250" t="s">
        <v>514</v>
      </c>
      <c r="G2250" t="s">
        <v>378</v>
      </c>
      <c r="H2250">
        <v>6</v>
      </c>
      <c r="I2250" s="1">
        <v>10701.84</v>
      </c>
      <c r="J2250" t="s">
        <v>49</v>
      </c>
      <c r="K2250" t="s">
        <v>18</v>
      </c>
      <c r="L2250" t="str" cm="1">
        <f t="array" ref="L2250">_xlfn.IFS(B2250&lt;30,"18-29",B2250&lt;45,"30-44",B2250&lt;60,"45-59",B2250&lt;75,"60-74",B2250&lt;=90,"75-90")</f>
        <v>75-90</v>
      </c>
      <c r="M2250" t="str">
        <f>IF(Table1[[#This Row],[length_of_stay_days]]&gt;7,"Yes","No")</f>
        <v>No</v>
      </c>
    </row>
    <row r="2251" spans="1:13" x14ac:dyDescent="0.3">
      <c r="A2251" t="s">
        <v>2650</v>
      </c>
      <c r="B2251">
        <v>84</v>
      </c>
      <c r="C2251" t="s">
        <v>20</v>
      </c>
      <c r="D2251" t="s">
        <v>13</v>
      </c>
      <c r="E2251" t="s">
        <v>21</v>
      </c>
      <c r="F2251" t="s">
        <v>271</v>
      </c>
      <c r="G2251" t="s">
        <v>198</v>
      </c>
      <c r="H2251">
        <v>5</v>
      </c>
      <c r="I2251" s="1">
        <v>5429.56</v>
      </c>
      <c r="J2251" t="s">
        <v>17</v>
      </c>
      <c r="K2251" t="s">
        <v>18</v>
      </c>
      <c r="L2251" t="str" cm="1">
        <f t="array" ref="L2251">_xlfn.IFS(B2251&lt;30,"18-29",B2251&lt;45,"30-44",B2251&lt;60,"45-59",B2251&lt;75,"60-74",B2251&lt;=90,"75-90")</f>
        <v>75-90</v>
      </c>
      <c r="M2251" t="str">
        <f>IF(Table1[[#This Row],[length_of_stay_days]]&gt;7,"Yes","No")</f>
        <v>No</v>
      </c>
    </row>
    <row r="2252" spans="1:13" x14ac:dyDescent="0.3">
      <c r="A2252" t="s">
        <v>2651</v>
      </c>
      <c r="B2252">
        <v>24</v>
      </c>
      <c r="C2252" t="s">
        <v>20</v>
      </c>
      <c r="D2252" t="s">
        <v>32</v>
      </c>
      <c r="E2252" t="s">
        <v>14</v>
      </c>
      <c r="F2252" t="s">
        <v>282</v>
      </c>
      <c r="G2252" t="s">
        <v>283</v>
      </c>
      <c r="H2252">
        <v>4</v>
      </c>
      <c r="I2252" s="1">
        <v>11084.23</v>
      </c>
      <c r="J2252" t="s">
        <v>17</v>
      </c>
      <c r="K2252" t="s">
        <v>18</v>
      </c>
      <c r="L2252" t="str" cm="1">
        <f t="array" ref="L2252">_xlfn.IFS(B2252&lt;30,"18-29",B2252&lt;45,"30-44",B2252&lt;60,"45-59",B2252&lt;75,"60-74",B2252&lt;=90,"75-90")</f>
        <v>18-29</v>
      </c>
      <c r="M2252" t="str">
        <f>IF(Table1[[#This Row],[length_of_stay_days]]&gt;7,"Yes","No")</f>
        <v>No</v>
      </c>
    </row>
    <row r="2253" spans="1:13" x14ac:dyDescent="0.3">
      <c r="A2253" t="s">
        <v>2652</v>
      </c>
      <c r="B2253">
        <v>86</v>
      </c>
      <c r="C2253" t="s">
        <v>12</v>
      </c>
      <c r="D2253" t="s">
        <v>28</v>
      </c>
      <c r="E2253" t="s">
        <v>21</v>
      </c>
      <c r="F2253" t="s">
        <v>26</v>
      </c>
      <c r="G2253" t="s">
        <v>109</v>
      </c>
      <c r="H2253">
        <v>7</v>
      </c>
      <c r="I2253" s="1">
        <v>8395.5</v>
      </c>
      <c r="J2253" t="s">
        <v>49</v>
      </c>
      <c r="K2253" t="s">
        <v>18</v>
      </c>
      <c r="L2253" t="str" cm="1">
        <f t="array" ref="L2253">_xlfn.IFS(B2253&lt;30,"18-29",B2253&lt;45,"30-44",B2253&lt;60,"45-59",B2253&lt;75,"60-74",B2253&lt;=90,"75-90")</f>
        <v>75-90</v>
      </c>
      <c r="M2253" t="str">
        <f>IF(Table1[[#This Row],[length_of_stay_days]]&gt;7,"Yes","No")</f>
        <v>No</v>
      </c>
    </row>
    <row r="2254" spans="1:13" x14ac:dyDescent="0.3">
      <c r="A2254" t="s">
        <v>2653</v>
      </c>
      <c r="B2254">
        <v>74</v>
      </c>
      <c r="C2254" t="s">
        <v>12</v>
      </c>
      <c r="D2254" t="s">
        <v>28</v>
      </c>
      <c r="E2254" t="s">
        <v>21</v>
      </c>
      <c r="F2254" t="s">
        <v>186</v>
      </c>
      <c r="G2254" t="s">
        <v>536</v>
      </c>
      <c r="H2254">
        <v>2</v>
      </c>
      <c r="I2254" s="1">
        <v>2762.36</v>
      </c>
      <c r="J2254" t="s">
        <v>17</v>
      </c>
      <c r="K2254" t="s">
        <v>18</v>
      </c>
      <c r="L2254" t="str" cm="1">
        <f t="array" ref="L2254">_xlfn.IFS(B2254&lt;30,"18-29",B2254&lt;45,"30-44",B2254&lt;60,"45-59",B2254&lt;75,"60-74",B2254&lt;=90,"75-90")</f>
        <v>60-74</v>
      </c>
      <c r="M2254" t="str">
        <f>IF(Table1[[#This Row],[length_of_stay_days]]&gt;7,"Yes","No")</f>
        <v>No</v>
      </c>
    </row>
    <row r="2255" spans="1:13" x14ac:dyDescent="0.3">
      <c r="A2255" t="s">
        <v>2654</v>
      </c>
      <c r="B2255">
        <v>73</v>
      </c>
      <c r="C2255" t="s">
        <v>12</v>
      </c>
      <c r="D2255" t="s">
        <v>32</v>
      </c>
      <c r="E2255" t="s">
        <v>28</v>
      </c>
      <c r="F2255" t="s">
        <v>355</v>
      </c>
      <c r="G2255" t="s">
        <v>575</v>
      </c>
      <c r="H2255">
        <v>8</v>
      </c>
      <c r="I2255" s="1">
        <v>13327.97</v>
      </c>
      <c r="J2255" t="s">
        <v>17</v>
      </c>
      <c r="K2255" t="s">
        <v>18</v>
      </c>
      <c r="L2255" t="str" cm="1">
        <f t="array" ref="L2255">_xlfn.IFS(B2255&lt;30,"18-29",B2255&lt;45,"30-44",B2255&lt;60,"45-59",B2255&lt;75,"60-74",B2255&lt;=90,"75-90")</f>
        <v>60-74</v>
      </c>
      <c r="M2255" t="str">
        <f>IF(Table1[[#This Row],[length_of_stay_days]]&gt;7,"Yes","No")</f>
        <v>Yes</v>
      </c>
    </row>
    <row r="2256" spans="1:13" x14ac:dyDescent="0.3">
      <c r="A2256" t="s">
        <v>2655</v>
      </c>
      <c r="B2256">
        <v>45</v>
      </c>
      <c r="C2256" t="s">
        <v>20</v>
      </c>
      <c r="D2256" t="s">
        <v>13</v>
      </c>
      <c r="E2256" t="s">
        <v>14</v>
      </c>
      <c r="F2256" t="s">
        <v>194</v>
      </c>
      <c r="G2256" t="s">
        <v>837</v>
      </c>
      <c r="H2256">
        <v>4</v>
      </c>
      <c r="I2256" s="1">
        <v>5029.8999999999996</v>
      </c>
      <c r="J2256" t="s">
        <v>17</v>
      </c>
      <c r="K2256" t="s">
        <v>18</v>
      </c>
      <c r="L2256" t="str" cm="1">
        <f t="array" ref="L2256">_xlfn.IFS(B2256&lt;30,"18-29",B2256&lt;45,"30-44",B2256&lt;60,"45-59",B2256&lt;75,"60-74",B2256&lt;=90,"75-90")</f>
        <v>45-59</v>
      </c>
      <c r="M2256" t="str">
        <f>IF(Table1[[#This Row],[length_of_stay_days]]&gt;7,"Yes","No")</f>
        <v>No</v>
      </c>
    </row>
    <row r="2257" spans="1:13" x14ac:dyDescent="0.3">
      <c r="A2257" t="s">
        <v>2656</v>
      </c>
      <c r="B2257">
        <v>24</v>
      </c>
      <c r="C2257" t="s">
        <v>20</v>
      </c>
      <c r="D2257" t="s">
        <v>28</v>
      </c>
      <c r="E2257" t="s">
        <v>14</v>
      </c>
      <c r="F2257" t="s">
        <v>434</v>
      </c>
      <c r="G2257" t="s">
        <v>72</v>
      </c>
      <c r="H2257">
        <v>4</v>
      </c>
      <c r="I2257" s="1">
        <v>5703.34</v>
      </c>
      <c r="J2257" t="s">
        <v>17</v>
      </c>
      <c r="K2257" t="s">
        <v>18</v>
      </c>
      <c r="L2257" t="str" cm="1">
        <f t="array" ref="L2257">_xlfn.IFS(B2257&lt;30,"18-29",B2257&lt;45,"30-44",B2257&lt;60,"45-59",B2257&lt;75,"60-74",B2257&lt;=90,"75-90")</f>
        <v>18-29</v>
      </c>
      <c r="M2257" t="str">
        <f>IF(Table1[[#This Row],[length_of_stay_days]]&gt;7,"Yes","No")</f>
        <v>No</v>
      </c>
    </row>
    <row r="2258" spans="1:13" x14ac:dyDescent="0.3">
      <c r="A2258" t="s">
        <v>2657</v>
      </c>
      <c r="B2258">
        <v>44</v>
      </c>
      <c r="C2258" t="s">
        <v>20</v>
      </c>
      <c r="D2258" t="s">
        <v>32</v>
      </c>
      <c r="E2258" t="s">
        <v>14</v>
      </c>
      <c r="F2258" t="s">
        <v>778</v>
      </c>
      <c r="G2258" t="s">
        <v>975</v>
      </c>
      <c r="H2258">
        <v>5</v>
      </c>
      <c r="I2258" s="1">
        <v>11857.31</v>
      </c>
      <c r="J2258" t="s">
        <v>17</v>
      </c>
      <c r="K2258" t="s">
        <v>18</v>
      </c>
      <c r="L2258" t="str" cm="1">
        <f t="array" ref="L2258">_xlfn.IFS(B2258&lt;30,"18-29",B2258&lt;45,"30-44",B2258&lt;60,"45-59",B2258&lt;75,"60-74",B2258&lt;=90,"75-90")</f>
        <v>30-44</v>
      </c>
      <c r="M2258" t="str">
        <f>IF(Table1[[#This Row],[length_of_stay_days]]&gt;7,"Yes","No")</f>
        <v>No</v>
      </c>
    </row>
    <row r="2259" spans="1:13" x14ac:dyDescent="0.3">
      <c r="A2259" t="s">
        <v>2658</v>
      </c>
      <c r="B2259">
        <v>59</v>
      </c>
      <c r="C2259" t="s">
        <v>12</v>
      </c>
      <c r="D2259" t="s">
        <v>28</v>
      </c>
      <c r="E2259" t="s">
        <v>21</v>
      </c>
      <c r="F2259" t="s">
        <v>428</v>
      </c>
      <c r="G2259" t="s">
        <v>1229</v>
      </c>
      <c r="H2259">
        <v>2</v>
      </c>
      <c r="I2259" s="1">
        <v>4370.58</v>
      </c>
      <c r="J2259" t="s">
        <v>17</v>
      </c>
      <c r="K2259" t="s">
        <v>18</v>
      </c>
      <c r="L2259" t="str" cm="1">
        <f t="array" ref="L2259">_xlfn.IFS(B2259&lt;30,"18-29",B2259&lt;45,"30-44",B2259&lt;60,"45-59",B2259&lt;75,"60-74",B2259&lt;=90,"75-90")</f>
        <v>45-59</v>
      </c>
      <c r="M2259" t="str">
        <f>IF(Table1[[#This Row],[length_of_stay_days]]&gt;7,"Yes","No")</f>
        <v>No</v>
      </c>
    </row>
    <row r="2260" spans="1:13" x14ac:dyDescent="0.3">
      <c r="A2260" t="s">
        <v>2659</v>
      </c>
      <c r="B2260">
        <v>55</v>
      </c>
      <c r="C2260" t="s">
        <v>20</v>
      </c>
      <c r="D2260" t="s">
        <v>28</v>
      </c>
      <c r="E2260" t="s">
        <v>21</v>
      </c>
      <c r="F2260" t="s">
        <v>335</v>
      </c>
      <c r="G2260" t="s">
        <v>767</v>
      </c>
      <c r="H2260">
        <v>5</v>
      </c>
      <c r="I2260" s="1">
        <v>6533.86</v>
      </c>
      <c r="J2260" t="s">
        <v>17</v>
      </c>
      <c r="K2260" t="s">
        <v>18</v>
      </c>
      <c r="L2260" t="str" cm="1">
        <f t="array" ref="L2260">_xlfn.IFS(B2260&lt;30,"18-29",B2260&lt;45,"30-44",B2260&lt;60,"45-59",B2260&lt;75,"60-74",B2260&lt;=90,"75-90")</f>
        <v>45-59</v>
      </c>
      <c r="M2260" t="str">
        <f>IF(Table1[[#This Row],[length_of_stay_days]]&gt;7,"Yes","No")</f>
        <v>No</v>
      </c>
    </row>
    <row r="2261" spans="1:13" x14ac:dyDescent="0.3">
      <c r="A2261" t="s">
        <v>2660</v>
      </c>
      <c r="B2261">
        <v>61</v>
      </c>
      <c r="C2261" t="s">
        <v>12</v>
      </c>
      <c r="D2261" t="s">
        <v>13</v>
      </c>
      <c r="E2261" t="s">
        <v>28</v>
      </c>
      <c r="F2261" t="s">
        <v>562</v>
      </c>
      <c r="G2261" t="s">
        <v>530</v>
      </c>
      <c r="H2261">
        <v>5</v>
      </c>
      <c r="I2261" s="1">
        <v>8178.88</v>
      </c>
      <c r="J2261" t="s">
        <v>17</v>
      </c>
      <c r="K2261" t="s">
        <v>18</v>
      </c>
      <c r="L2261" t="str" cm="1">
        <f t="array" ref="L2261">_xlfn.IFS(B2261&lt;30,"18-29",B2261&lt;45,"30-44",B2261&lt;60,"45-59",B2261&lt;75,"60-74",B2261&lt;=90,"75-90")</f>
        <v>60-74</v>
      </c>
      <c r="M2261" t="str">
        <f>IF(Table1[[#This Row],[length_of_stay_days]]&gt;7,"Yes","No")</f>
        <v>No</v>
      </c>
    </row>
    <row r="2262" spans="1:13" x14ac:dyDescent="0.3">
      <c r="A2262" t="s">
        <v>2661</v>
      </c>
      <c r="B2262">
        <v>46</v>
      </c>
      <c r="C2262" t="s">
        <v>12</v>
      </c>
      <c r="D2262" t="s">
        <v>55</v>
      </c>
      <c r="E2262" t="s">
        <v>14</v>
      </c>
      <c r="F2262" t="s">
        <v>56</v>
      </c>
      <c r="G2262" t="s">
        <v>173</v>
      </c>
      <c r="H2262">
        <v>5</v>
      </c>
      <c r="I2262" s="1">
        <v>11037.39</v>
      </c>
      <c r="J2262" t="s">
        <v>17</v>
      </c>
      <c r="K2262" t="s">
        <v>18</v>
      </c>
      <c r="L2262" t="str" cm="1">
        <f t="array" ref="L2262">_xlfn.IFS(B2262&lt;30,"18-29",B2262&lt;45,"30-44",B2262&lt;60,"45-59",B2262&lt;75,"60-74",B2262&lt;=90,"75-90")</f>
        <v>45-59</v>
      </c>
      <c r="M2262" t="str">
        <f>IF(Table1[[#This Row],[length_of_stay_days]]&gt;7,"Yes","No")</f>
        <v>No</v>
      </c>
    </row>
    <row r="2263" spans="1:13" x14ac:dyDescent="0.3">
      <c r="A2263" t="s">
        <v>2662</v>
      </c>
      <c r="B2263">
        <v>89</v>
      </c>
      <c r="C2263" t="s">
        <v>20</v>
      </c>
      <c r="D2263" t="s">
        <v>13</v>
      </c>
      <c r="E2263" t="s">
        <v>28</v>
      </c>
      <c r="F2263" t="s">
        <v>320</v>
      </c>
      <c r="G2263" t="s">
        <v>250</v>
      </c>
      <c r="H2263">
        <v>5</v>
      </c>
      <c r="I2263" s="1">
        <v>7095.76</v>
      </c>
      <c r="J2263" t="s">
        <v>17</v>
      </c>
      <c r="K2263" t="s">
        <v>18</v>
      </c>
      <c r="L2263" t="str" cm="1">
        <f t="array" ref="L2263">_xlfn.IFS(B2263&lt;30,"18-29",B2263&lt;45,"30-44",B2263&lt;60,"45-59",B2263&lt;75,"60-74",B2263&lt;=90,"75-90")</f>
        <v>75-90</v>
      </c>
      <c r="M2263" t="str">
        <f>IF(Table1[[#This Row],[length_of_stay_days]]&gt;7,"Yes","No")</f>
        <v>No</v>
      </c>
    </row>
    <row r="2264" spans="1:13" x14ac:dyDescent="0.3">
      <c r="A2264" t="s">
        <v>2663</v>
      </c>
      <c r="B2264">
        <v>56</v>
      </c>
      <c r="C2264" t="s">
        <v>12</v>
      </c>
      <c r="D2264" t="s">
        <v>32</v>
      </c>
      <c r="E2264" t="s">
        <v>21</v>
      </c>
      <c r="F2264" t="s">
        <v>173</v>
      </c>
      <c r="G2264" t="s">
        <v>258</v>
      </c>
      <c r="H2264">
        <v>8</v>
      </c>
      <c r="I2264" s="1">
        <v>14904.31</v>
      </c>
      <c r="J2264" t="s">
        <v>17</v>
      </c>
      <c r="K2264" t="s">
        <v>18</v>
      </c>
      <c r="L2264" t="str" cm="1">
        <f t="array" ref="L2264">_xlfn.IFS(B2264&lt;30,"18-29",B2264&lt;45,"30-44",B2264&lt;60,"45-59",B2264&lt;75,"60-74",B2264&lt;=90,"75-90")</f>
        <v>45-59</v>
      </c>
      <c r="M2264" t="str">
        <f>IF(Table1[[#This Row],[length_of_stay_days]]&gt;7,"Yes","No")</f>
        <v>Yes</v>
      </c>
    </row>
    <row r="2265" spans="1:13" x14ac:dyDescent="0.3">
      <c r="A2265" t="s">
        <v>2664</v>
      </c>
      <c r="B2265">
        <v>24</v>
      </c>
      <c r="C2265" t="s">
        <v>20</v>
      </c>
      <c r="D2265" t="s">
        <v>28</v>
      </c>
      <c r="E2265" t="s">
        <v>28</v>
      </c>
      <c r="F2265" t="s">
        <v>158</v>
      </c>
      <c r="G2265" t="s">
        <v>184</v>
      </c>
      <c r="H2265">
        <v>3</v>
      </c>
      <c r="I2265" s="1">
        <v>2762.56</v>
      </c>
      <c r="J2265" t="s">
        <v>17</v>
      </c>
      <c r="K2265" t="s">
        <v>18</v>
      </c>
      <c r="L2265" t="str" cm="1">
        <f t="array" ref="L2265">_xlfn.IFS(B2265&lt;30,"18-29",B2265&lt;45,"30-44",B2265&lt;60,"45-59",B2265&lt;75,"60-74",B2265&lt;=90,"75-90")</f>
        <v>18-29</v>
      </c>
      <c r="M2265" t="str">
        <f>IF(Table1[[#This Row],[length_of_stay_days]]&gt;7,"Yes","No")</f>
        <v>No</v>
      </c>
    </row>
    <row r="2266" spans="1:13" x14ac:dyDescent="0.3">
      <c r="A2266" t="s">
        <v>2665</v>
      </c>
      <c r="B2266">
        <v>31</v>
      </c>
      <c r="C2266" t="s">
        <v>20</v>
      </c>
      <c r="D2266" t="s">
        <v>55</v>
      </c>
      <c r="E2266" t="s">
        <v>28</v>
      </c>
      <c r="F2266" t="s">
        <v>256</v>
      </c>
      <c r="G2266" t="s">
        <v>295</v>
      </c>
      <c r="H2266">
        <v>9</v>
      </c>
      <c r="I2266" s="1">
        <v>14219.76</v>
      </c>
      <c r="J2266" t="s">
        <v>17</v>
      </c>
      <c r="K2266" t="s">
        <v>18</v>
      </c>
      <c r="L2266" t="str" cm="1">
        <f t="array" ref="L2266">_xlfn.IFS(B2266&lt;30,"18-29",B2266&lt;45,"30-44",B2266&lt;60,"45-59",B2266&lt;75,"60-74",B2266&lt;=90,"75-90")</f>
        <v>30-44</v>
      </c>
      <c r="M2266" t="str">
        <f>IF(Table1[[#This Row],[length_of_stay_days]]&gt;7,"Yes","No")</f>
        <v>Yes</v>
      </c>
    </row>
    <row r="2267" spans="1:13" x14ac:dyDescent="0.3">
      <c r="A2267" t="s">
        <v>2666</v>
      </c>
      <c r="B2267">
        <v>21</v>
      </c>
      <c r="C2267" t="s">
        <v>12</v>
      </c>
      <c r="D2267" t="s">
        <v>46</v>
      </c>
      <c r="E2267" t="s">
        <v>28</v>
      </c>
      <c r="F2267" t="s">
        <v>144</v>
      </c>
      <c r="G2267" t="s">
        <v>33</v>
      </c>
      <c r="H2267">
        <v>6</v>
      </c>
      <c r="I2267" s="1">
        <v>14598.33</v>
      </c>
      <c r="J2267" t="s">
        <v>49</v>
      </c>
      <c r="K2267" t="s">
        <v>18</v>
      </c>
      <c r="L2267" t="str" cm="1">
        <f t="array" ref="L2267">_xlfn.IFS(B2267&lt;30,"18-29",B2267&lt;45,"30-44",B2267&lt;60,"45-59",B2267&lt;75,"60-74",B2267&lt;=90,"75-90")</f>
        <v>18-29</v>
      </c>
      <c r="M2267" t="str">
        <f>IF(Table1[[#This Row],[length_of_stay_days]]&gt;7,"Yes","No")</f>
        <v>No</v>
      </c>
    </row>
    <row r="2268" spans="1:13" x14ac:dyDescent="0.3">
      <c r="A2268" t="s">
        <v>2667</v>
      </c>
      <c r="B2268">
        <v>60</v>
      </c>
      <c r="C2268" t="s">
        <v>12</v>
      </c>
      <c r="D2268" t="s">
        <v>28</v>
      </c>
      <c r="E2268" t="s">
        <v>28</v>
      </c>
      <c r="F2268" t="s">
        <v>33</v>
      </c>
      <c r="G2268" t="s">
        <v>644</v>
      </c>
      <c r="H2268">
        <v>4</v>
      </c>
      <c r="I2268" s="1">
        <v>4887.97</v>
      </c>
      <c r="J2268" t="s">
        <v>17</v>
      </c>
      <c r="K2268" t="s">
        <v>18</v>
      </c>
      <c r="L2268" t="str" cm="1">
        <f t="array" ref="L2268">_xlfn.IFS(B2268&lt;30,"18-29",B2268&lt;45,"30-44",B2268&lt;60,"45-59",B2268&lt;75,"60-74",B2268&lt;=90,"75-90")</f>
        <v>60-74</v>
      </c>
      <c r="M2268" t="str">
        <f>IF(Table1[[#This Row],[length_of_stay_days]]&gt;7,"Yes","No")</f>
        <v>No</v>
      </c>
    </row>
    <row r="2269" spans="1:13" x14ac:dyDescent="0.3">
      <c r="A2269" t="s">
        <v>2668</v>
      </c>
      <c r="B2269">
        <v>39</v>
      </c>
      <c r="C2269" t="s">
        <v>12</v>
      </c>
      <c r="D2269" t="s">
        <v>13</v>
      </c>
      <c r="E2269" t="s">
        <v>21</v>
      </c>
      <c r="F2269" t="s">
        <v>116</v>
      </c>
      <c r="G2269" t="s">
        <v>579</v>
      </c>
      <c r="H2269">
        <v>6</v>
      </c>
      <c r="I2269" s="1">
        <v>7762.82</v>
      </c>
      <c r="J2269" t="s">
        <v>17</v>
      </c>
      <c r="K2269" t="s">
        <v>18</v>
      </c>
      <c r="L2269" t="str" cm="1">
        <f t="array" ref="L2269">_xlfn.IFS(B2269&lt;30,"18-29",B2269&lt;45,"30-44",B2269&lt;60,"45-59",B2269&lt;75,"60-74",B2269&lt;=90,"75-90")</f>
        <v>30-44</v>
      </c>
      <c r="M2269" t="str">
        <f>IF(Table1[[#This Row],[length_of_stay_days]]&gt;7,"Yes","No")</f>
        <v>No</v>
      </c>
    </row>
    <row r="2270" spans="1:13" x14ac:dyDescent="0.3">
      <c r="A2270" t="s">
        <v>2669</v>
      </c>
      <c r="B2270">
        <v>77</v>
      </c>
      <c r="C2270" t="s">
        <v>12</v>
      </c>
      <c r="D2270" t="s">
        <v>28</v>
      </c>
      <c r="E2270" t="s">
        <v>28</v>
      </c>
      <c r="F2270" t="s">
        <v>37</v>
      </c>
      <c r="G2270" t="s">
        <v>555</v>
      </c>
      <c r="H2270">
        <v>4</v>
      </c>
      <c r="I2270" s="1">
        <v>6293.07</v>
      </c>
      <c r="J2270" t="s">
        <v>17</v>
      </c>
      <c r="K2270" t="s">
        <v>18</v>
      </c>
      <c r="L2270" t="str" cm="1">
        <f t="array" ref="L2270">_xlfn.IFS(B2270&lt;30,"18-29",B2270&lt;45,"30-44",B2270&lt;60,"45-59",B2270&lt;75,"60-74",B2270&lt;=90,"75-90")</f>
        <v>75-90</v>
      </c>
      <c r="M2270" t="str">
        <f>IF(Table1[[#This Row],[length_of_stay_days]]&gt;7,"Yes","No")</f>
        <v>No</v>
      </c>
    </row>
    <row r="2271" spans="1:13" x14ac:dyDescent="0.3">
      <c r="A2271" t="s">
        <v>2670</v>
      </c>
      <c r="B2271">
        <v>47</v>
      </c>
      <c r="C2271" t="s">
        <v>20</v>
      </c>
      <c r="D2271" t="s">
        <v>13</v>
      </c>
      <c r="E2271" t="s">
        <v>28</v>
      </c>
      <c r="F2271" t="s">
        <v>839</v>
      </c>
      <c r="G2271" t="s">
        <v>413</v>
      </c>
      <c r="H2271">
        <v>6</v>
      </c>
      <c r="I2271" s="1">
        <v>7110.62</v>
      </c>
      <c r="J2271" t="s">
        <v>17</v>
      </c>
      <c r="K2271" t="s">
        <v>18</v>
      </c>
      <c r="L2271" t="str" cm="1">
        <f t="array" ref="L2271">_xlfn.IFS(B2271&lt;30,"18-29",B2271&lt;45,"30-44",B2271&lt;60,"45-59",B2271&lt;75,"60-74",B2271&lt;=90,"75-90")</f>
        <v>45-59</v>
      </c>
      <c r="M2271" t="str">
        <f>IF(Table1[[#This Row],[length_of_stay_days]]&gt;7,"Yes","No")</f>
        <v>No</v>
      </c>
    </row>
    <row r="2272" spans="1:13" x14ac:dyDescent="0.3">
      <c r="A2272" t="s">
        <v>2671</v>
      </c>
      <c r="B2272">
        <v>66</v>
      </c>
      <c r="C2272" t="s">
        <v>20</v>
      </c>
      <c r="D2272" t="s">
        <v>28</v>
      </c>
      <c r="E2272" t="s">
        <v>28</v>
      </c>
      <c r="F2272" t="s">
        <v>221</v>
      </c>
      <c r="G2272" t="s">
        <v>186</v>
      </c>
      <c r="H2272">
        <v>7</v>
      </c>
      <c r="I2272" s="1">
        <v>9401.0499999999993</v>
      </c>
      <c r="J2272" t="s">
        <v>17</v>
      </c>
      <c r="K2272" t="s">
        <v>18</v>
      </c>
      <c r="L2272" t="str" cm="1">
        <f t="array" ref="L2272">_xlfn.IFS(B2272&lt;30,"18-29",B2272&lt;45,"30-44",B2272&lt;60,"45-59",B2272&lt;75,"60-74",B2272&lt;=90,"75-90")</f>
        <v>60-74</v>
      </c>
      <c r="M2272" t="str">
        <f>IF(Table1[[#This Row],[length_of_stay_days]]&gt;7,"Yes","No")</f>
        <v>No</v>
      </c>
    </row>
    <row r="2273" spans="1:13" x14ac:dyDescent="0.3">
      <c r="A2273" t="s">
        <v>2672</v>
      </c>
      <c r="B2273">
        <v>23</v>
      </c>
      <c r="C2273" t="s">
        <v>20</v>
      </c>
      <c r="D2273" t="s">
        <v>55</v>
      </c>
      <c r="E2273" t="s">
        <v>14</v>
      </c>
      <c r="F2273" t="s">
        <v>129</v>
      </c>
      <c r="G2273" t="s">
        <v>270</v>
      </c>
      <c r="H2273">
        <v>7</v>
      </c>
      <c r="I2273" s="1">
        <v>11793.68</v>
      </c>
      <c r="J2273" t="s">
        <v>17</v>
      </c>
      <c r="K2273" t="s">
        <v>18</v>
      </c>
      <c r="L2273" t="str" cm="1">
        <f t="array" ref="L2273">_xlfn.IFS(B2273&lt;30,"18-29",B2273&lt;45,"30-44",B2273&lt;60,"45-59",B2273&lt;75,"60-74",B2273&lt;=90,"75-90")</f>
        <v>18-29</v>
      </c>
      <c r="M2273" t="str">
        <f>IF(Table1[[#This Row],[length_of_stay_days]]&gt;7,"Yes","No")</f>
        <v>No</v>
      </c>
    </row>
    <row r="2274" spans="1:13" x14ac:dyDescent="0.3">
      <c r="A2274" t="s">
        <v>2673</v>
      </c>
      <c r="B2274">
        <v>28</v>
      </c>
      <c r="C2274" t="s">
        <v>12</v>
      </c>
      <c r="D2274" t="s">
        <v>13</v>
      </c>
      <c r="E2274" t="s">
        <v>14</v>
      </c>
      <c r="F2274" t="s">
        <v>372</v>
      </c>
      <c r="G2274" t="s">
        <v>410</v>
      </c>
      <c r="H2274">
        <v>3</v>
      </c>
      <c r="I2274" s="1">
        <v>7782.28</v>
      </c>
      <c r="J2274" t="s">
        <v>17</v>
      </c>
      <c r="K2274" t="s">
        <v>44</v>
      </c>
      <c r="L2274" t="str" cm="1">
        <f t="array" ref="L2274">_xlfn.IFS(B2274&lt;30,"18-29",B2274&lt;45,"30-44",B2274&lt;60,"45-59",B2274&lt;75,"60-74",B2274&lt;=90,"75-90")</f>
        <v>18-29</v>
      </c>
      <c r="M2274" t="str">
        <f>IF(Table1[[#This Row],[length_of_stay_days]]&gt;7,"Yes","No")</f>
        <v>No</v>
      </c>
    </row>
    <row r="2275" spans="1:13" x14ac:dyDescent="0.3">
      <c r="A2275" t="s">
        <v>2674</v>
      </c>
      <c r="B2275">
        <v>54</v>
      </c>
      <c r="C2275" t="s">
        <v>12</v>
      </c>
      <c r="D2275" t="s">
        <v>13</v>
      </c>
      <c r="E2275" t="s">
        <v>21</v>
      </c>
      <c r="F2275" t="s">
        <v>67</v>
      </c>
      <c r="G2275" t="s">
        <v>169</v>
      </c>
      <c r="H2275">
        <v>4</v>
      </c>
      <c r="I2275" s="1">
        <v>8318.3700000000008</v>
      </c>
      <c r="J2275" t="s">
        <v>49</v>
      </c>
      <c r="K2275" t="s">
        <v>18</v>
      </c>
      <c r="L2275" t="str" cm="1">
        <f t="array" ref="L2275">_xlfn.IFS(B2275&lt;30,"18-29",B2275&lt;45,"30-44",B2275&lt;60,"45-59",B2275&lt;75,"60-74",B2275&lt;=90,"75-90")</f>
        <v>45-59</v>
      </c>
      <c r="M2275" t="str">
        <f>IF(Table1[[#This Row],[length_of_stay_days]]&gt;7,"Yes","No")</f>
        <v>No</v>
      </c>
    </row>
    <row r="2276" spans="1:13" x14ac:dyDescent="0.3">
      <c r="A2276" t="s">
        <v>2675</v>
      </c>
      <c r="B2276">
        <v>83</v>
      </c>
      <c r="C2276" t="s">
        <v>20</v>
      </c>
      <c r="D2276" t="s">
        <v>28</v>
      </c>
      <c r="E2276" t="s">
        <v>21</v>
      </c>
      <c r="F2276" t="s">
        <v>1160</v>
      </c>
      <c r="G2276" t="s">
        <v>489</v>
      </c>
      <c r="H2276">
        <v>5</v>
      </c>
      <c r="I2276" s="1">
        <v>5515.07</v>
      </c>
      <c r="J2276" t="s">
        <v>17</v>
      </c>
      <c r="K2276" t="s">
        <v>18</v>
      </c>
      <c r="L2276" t="str" cm="1">
        <f t="array" ref="L2276">_xlfn.IFS(B2276&lt;30,"18-29",B2276&lt;45,"30-44",B2276&lt;60,"45-59",B2276&lt;75,"60-74",B2276&lt;=90,"75-90")</f>
        <v>75-90</v>
      </c>
      <c r="M2276" t="str">
        <f>IF(Table1[[#This Row],[length_of_stay_days]]&gt;7,"Yes","No")</f>
        <v>No</v>
      </c>
    </row>
    <row r="2277" spans="1:13" x14ac:dyDescent="0.3">
      <c r="A2277" t="s">
        <v>2676</v>
      </c>
      <c r="B2277">
        <v>51</v>
      </c>
      <c r="C2277" t="s">
        <v>12</v>
      </c>
      <c r="D2277" t="s">
        <v>51</v>
      </c>
      <c r="E2277" t="s">
        <v>14</v>
      </c>
      <c r="F2277" t="s">
        <v>171</v>
      </c>
      <c r="G2277" t="s">
        <v>126</v>
      </c>
      <c r="H2277">
        <v>2</v>
      </c>
      <c r="I2277" s="1">
        <v>8066.87</v>
      </c>
      <c r="J2277" t="s">
        <v>17</v>
      </c>
      <c r="K2277" t="s">
        <v>18</v>
      </c>
      <c r="L2277" t="str" cm="1">
        <f t="array" ref="L2277">_xlfn.IFS(B2277&lt;30,"18-29",B2277&lt;45,"30-44",B2277&lt;60,"45-59",B2277&lt;75,"60-74",B2277&lt;=90,"75-90")</f>
        <v>45-59</v>
      </c>
      <c r="M2277" t="str">
        <f>IF(Table1[[#This Row],[length_of_stay_days]]&gt;7,"Yes","No")</f>
        <v>No</v>
      </c>
    </row>
    <row r="2278" spans="1:13" x14ac:dyDescent="0.3">
      <c r="A2278" t="s">
        <v>2677</v>
      </c>
      <c r="B2278">
        <v>48</v>
      </c>
      <c r="C2278" t="s">
        <v>20</v>
      </c>
      <c r="D2278" t="s">
        <v>13</v>
      </c>
      <c r="E2278" t="s">
        <v>28</v>
      </c>
      <c r="F2278" t="s">
        <v>428</v>
      </c>
      <c r="G2278" t="s">
        <v>52</v>
      </c>
      <c r="H2278">
        <v>3</v>
      </c>
      <c r="I2278" s="1">
        <v>4936.07</v>
      </c>
      <c r="J2278" t="s">
        <v>49</v>
      </c>
      <c r="K2278" t="s">
        <v>18</v>
      </c>
      <c r="L2278" t="str" cm="1">
        <f t="array" ref="L2278">_xlfn.IFS(B2278&lt;30,"18-29",B2278&lt;45,"30-44",B2278&lt;60,"45-59",B2278&lt;75,"60-74",B2278&lt;=90,"75-90")</f>
        <v>45-59</v>
      </c>
      <c r="M2278" t="str">
        <f>IF(Table1[[#This Row],[length_of_stay_days]]&gt;7,"Yes","No")</f>
        <v>No</v>
      </c>
    </row>
    <row r="2279" spans="1:13" x14ac:dyDescent="0.3">
      <c r="A2279" t="s">
        <v>2678</v>
      </c>
      <c r="B2279">
        <v>38</v>
      </c>
      <c r="C2279" t="s">
        <v>12</v>
      </c>
      <c r="D2279" t="s">
        <v>28</v>
      </c>
      <c r="E2279" t="s">
        <v>21</v>
      </c>
      <c r="F2279" t="s">
        <v>565</v>
      </c>
      <c r="G2279" t="s">
        <v>606</v>
      </c>
      <c r="H2279">
        <v>2</v>
      </c>
      <c r="I2279" s="1">
        <v>5086.6899999999996</v>
      </c>
      <c r="J2279" t="s">
        <v>17</v>
      </c>
      <c r="K2279" t="s">
        <v>18</v>
      </c>
      <c r="L2279" t="str" cm="1">
        <f t="array" ref="L2279">_xlfn.IFS(B2279&lt;30,"18-29",B2279&lt;45,"30-44",B2279&lt;60,"45-59",B2279&lt;75,"60-74",B2279&lt;=90,"75-90")</f>
        <v>30-44</v>
      </c>
      <c r="M2279" t="str">
        <f>IF(Table1[[#This Row],[length_of_stay_days]]&gt;7,"Yes","No")</f>
        <v>No</v>
      </c>
    </row>
    <row r="2280" spans="1:13" x14ac:dyDescent="0.3">
      <c r="A2280" t="s">
        <v>2679</v>
      </c>
      <c r="B2280">
        <v>18</v>
      </c>
      <c r="C2280" t="s">
        <v>12</v>
      </c>
      <c r="D2280" t="s">
        <v>13</v>
      </c>
      <c r="E2280" t="s">
        <v>14</v>
      </c>
      <c r="F2280" t="s">
        <v>591</v>
      </c>
      <c r="G2280" t="s">
        <v>285</v>
      </c>
      <c r="H2280">
        <v>5</v>
      </c>
      <c r="I2280" s="1">
        <v>7602.7</v>
      </c>
      <c r="J2280" t="s">
        <v>17</v>
      </c>
      <c r="K2280" t="s">
        <v>18</v>
      </c>
      <c r="L2280" t="str" cm="1">
        <f t="array" ref="L2280">_xlfn.IFS(B2280&lt;30,"18-29",B2280&lt;45,"30-44",B2280&lt;60,"45-59",B2280&lt;75,"60-74",B2280&lt;=90,"75-90")</f>
        <v>18-29</v>
      </c>
      <c r="M2280" t="str">
        <f>IF(Table1[[#This Row],[length_of_stay_days]]&gt;7,"Yes","No")</f>
        <v>No</v>
      </c>
    </row>
    <row r="2281" spans="1:13" x14ac:dyDescent="0.3">
      <c r="A2281" t="s">
        <v>2680</v>
      </c>
      <c r="B2281">
        <v>73</v>
      </c>
      <c r="C2281" t="s">
        <v>20</v>
      </c>
      <c r="D2281" t="s">
        <v>13</v>
      </c>
      <c r="E2281" t="s">
        <v>21</v>
      </c>
      <c r="F2281" t="s">
        <v>436</v>
      </c>
      <c r="G2281" t="s">
        <v>214</v>
      </c>
      <c r="H2281">
        <v>6</v>
      </c>
      <c r="I2281" s="1">
        <v>9837.81</v>
      </c>
      <c r="J2281" t="s">
        <v>17</v>
      </c>
      <c r="K2281" t="s">
        <v>44</v>
      </c>
      <c r="L2281" t="str" cm="1">
        <f t="array" ref="L2281">_xlfn.IFS(B2281&lt;30,"18-29",B2281&lt;45,"30-44",B2281&lt;60,"45-59",B2281&lt;75,"60-74",B2281&lt;=90,"75-90")</f>
        <v>60-74</v>
      </c>
      <c r="M2281" t="str">
        <f>IF(Table1[[#This Row],[length_of_stay_days]]&gt;7,"Yes","No")</f>
        <v>No</v>
      </c>
    </row>
    <row r="2282" spans="1:13" x14ac:dyDescent="0.3">
      <c r="A2282" t="s">
        <v>2681</v>
      </c>
      <c r="B2282">
        <v>45</v>
      </c>
      <c r="C2282" t="s">
        <v>20</v>
      </c>
      <c r="D2282" t="s">
        <v>32</v>
      </c>
      <c r="E2282" t="s">
        <v>28</v>
      </c>
      <c r="F2282" t="s">
        <v>169</v>
      </c>
      <c r="G2282" t="s">
        <v>68</v>
      </c>
      <c r="H2282">
        <v>3</v>
      </c>
      <c r="I2282" s="1">
        <v>10302.49</v>
      </c>
      <c r="J2282" t="s">
        <v>17</v>
      </c>
      <c r="K2282" t="s">
        <v>18</v>
      </c>
      <c r="L2282" t="str" cm="1">
        <f t="array" ref="L2282">_xlfn.IFS(B2282&lt;30,"18-29",B2282&lt;45,"30-44",B2282&lt;60,"45-59",B2282&lt;75,"60-74",B2282&lt;=90,"75-90")</f>
        <v>45-59</v>
      </c>
      <c r="M2282" t="str">
        <f>IF(Table1[[#This Row],[length_of_stay_days]]&gt;7,"Yes","No")</f>
        <v>No</v>
      </c>
    </row>
    <row r="2283" spans="1:13" x14ac:dyDescent="0.3">
      <c r="A2283" t="s">
        <v>2682</v>
      </c>
      <c r="B2283">
        <v>59</v>
      </c>
      <c r="C2283" t="s">
        <v>20</v>
      </c>
      <c r="D2283" t="s">
        <v>51</v>
      </c>
      <c r="E2283" t="s">
        <v>14</v>
      </c>
      <c r="F2283" t="s">
        <v>93</v>
      </c>
      <c r="G2283" t="s">
        <v>767</v>
      </c>
      <c r="H2283">
        <v>3</v>
      </c>
      <c r="I2283" s="1">
        <v>7035.45</v>
      </c>
      <c r="J2283" t="s">
        <v>17</v>
      </c>
      <c r="K2283" t="s">
        <v>18</v>
      </c>
      <c r="L2283" t="str" cm="1">
        <f t="array" ref="L2283">_xlfn.IFS(B2283&lt;30,"18-29",B2283&lt;45,"30-44",B2283&lt;60,"45-59",B2283&lt;75,"60-74",B2283&lt;=90,"75-90")</f>
        <v>45-59</v>
      </c>
      <c r="M2283" t="str">
        <f>IF(Table1[[#This Row],[length_of_stay_days]]&gt;7,"Yes","No")</f>
        <v>No</v>
      </c>
    </row>
    <row r="2284" spans="1:13" x14ac:dyDescent="0.3">
      <c r="A2284" t="s">
        <v>2683</v>
      </c>
      <c r="B2284">
        <v>68</v>
      </c>
      <c r="C2284" t="s">
        <v>12</v>
      </c>
      <c r="D2284" t="s">
        <v>28</v>
      </c>
      <c r="E2284" t="s">
        <v>14</v>
      </c>
      <c r="F2284" t="s">
        <v>523</v>
      </c>
      <c r="G2284" t="s">
        <v>428</v>
      </c>
      <c r="H2284">
        <v>3</v>
      </c>
      <c r="I2284" s="1">
        <v>4759.71</v>
      </c>
      <c r="J2284" t="s">
        <v>17</v>
      </c>
      <c r="K2284" t="s">
        <v>18</v>
      </c>
      <c r="L2284" t="str" cm="1">
        <f t="array" ref="L2284">_xlfn.IFS(B2284&lt;30,"18-29",B2284&lt;45,"30-44",B2284&lt;60,"45-59",B2284&lt;75,"60-74",B2284&lt;=90,"75-90")</f>
        <v>60-74</v>
      </c>
      <c r="M2284" t="str">
        <f>IF(Table1[[#This Row],[length_of_stay_days]]&gt;7,"Yes","No")</f>
        <v>No</v>
      </c>
    </row>
    <row r="2285" spans="1:13" x14ac:dyDescent="0.3">
      <c r="A2285" t="s">
        <v>2684</v>
      </c>
      <c r="B2285">
        <v>64</v>
      </c>
      <c r="C2285" t="s">
        <v>12</v>
      </c>
      <c r="D2285" t="s">
        <v>46</v>
      </c>
      <c r="E2285" t="s">
        <v>28</v>
      </c>
      <c r="F2285" t="s">
        <v>523</v>
      </c>
      <c r="G2285" t="s">
        <v>623</v>
      </c>
      <c r="H2285">
        <v>7</v>
      </c>
      <c r="I2285" s="1">
        <v>12971.79</v>
      </c>
      <c r="J2285" t="s">
        <v>17</v>
      </c>
      <c r="K2285" t="s">
        <v>18</v>
      </c>
      <c r="L2285" t="str" cm="1">
        <f t="array" ref="L2285">_xlfn.IFS(B2285&lt;30,"18-29",B2285&lt;45,"30-44",B2285&lt;60,"45-59",B2285&lt;75,"60-74",B2285&lt;=90,"75-90")</f>
        <v>60-74</v>
      </c>
      <c r="M2285" t="str">
        <f>IF(Table1[[#This Row],[length_of_stay_days]]&gt;7,"Yes","No")</f>
        <v>No</v>
      </c>
    </row>
    <row r="2286" spans="1:13" x14ac:dyDescent="0.3">
      <c r="A2286" t="s">
        <v>2685</v>
      </c>
      <c r="B2286">
        <v>70</v>
      </c>
      <c r="C2286" t="s">
        <v>20</v>
      </c>
      <c r="D2286" t="s">
        <v>13</v>
      </c>
      <c r="E2286" t="s">
        <v>21</v>
      </c>
      <c r="F2286" t="s">
        <v>562</v>
      </c>
      <c r="G2286" t="s">
        <v>581</v>
      </c>
      <c r="H2286">
        <v>2</v>
      </c>
      <c r="I2286" s="1">
        <v>3274.15</v>
      </c>
      <c r="J2286" t="s">
        <v>49</v>
      </c>
      <c r="K2286" t="s">
        <v>18</v>
      </c>
      <c r="L2286" t="str" cm="1">
        <f t="array" ref="L2286">_xlfn.IFS(B2286&lt;30,"18-29",B2286&lt;45,"30-44",B2286&lt;60,"45-59",B2286&lt;75,"60-74",B2286&lt;=90,"75-90")</f>
        <v>60-74</v>
      </c>
      <c r="M2286" t="str">
        <f>IF(Table1[[#This Row],[length_of_stay_days]]&gt;7,"Yes","No")</f>
        <v>No</v>
      </c>
    </row>
    <row r="2287" spans="1:13" x14ac:dyDescent="0.3">
      <c r="A2287" t="s">
        <v>2686</v>
      </c>
      <c r="B2287">
        <v>19</v>
      </c>
      <c r="C2287" t="s">
        <v>20</v>
      </c>
      <c r="D2287" t="s">
        <v>46</v>
      </c>
      <c r="E2287" t="s">
        <v>28</v>
      </c>
      <c r="F2287" t="s">
        <v>364</v>
      </c>
      <c r="G2287" t="s">
        <v>42</v>
      </c>
      <c r="H2287">
        <v>8</v>
      </c>
      <c r="I2287" s="1">
        <v>14170.45</v>
      </c>
      <c r="J2287" t="s">
        <v>49</v>
      </c>
      <c r="K2287" t="s">
        <v>18</v>
      </c>
      <c r="L2287" t="str" cm="1">
        <f t="array" ref="L2287">_xlfn.IFS(B2287&lt;30,"18-29",B2287&lt;45,"30-44",B2287&lt;60,"45-59",B2287&lt;75,"60-74",B2287&lt;=90,"75-90")</f>
        <v>18-29</v>
      </c>
      <c r="M2287" t="str">
        <f>IF(Table1[[#This Row],[length_of_stay_days]]&gt;7,"Yes","No")</f>
        <v>Yes</v>
      </c>
    </row>
    <row r="2288" spans="1:13" x14ac:dyDescent="0.3">
      <c r="A2288" t="s">
        <v>2687</v>
      </c>
      <c r="B2288">
        <v>89</v>
      </c>
      <c r="C2288" t="s">
        <v>12</v>
      </c>
      <c r="D2288" t="s">
        <v>32</v>
      </c>
      <c r="E2288" t="s">
        <v>14</v>
      </c>
      <c r="F2288" t="s">
        <v>26</v>
      </c>
      <c r="G2288" t="s">
        <v>256</v>
      </c>
      <c r="H2288">
        <v>6</v>
      </c>
      <c r="I2288" s="1">
        <v>11966.31</v>
      </c>
      <c r="J2288" t="s">
        <v>17</v>
      </c>
      <c r="K2288" t="s">
        <v>18</v>
      </c>
      <c r="L2288" t="str" cm="1">
        <f t="array" ref="L2288">_xlfn.IFS(B2288&lt;30,"18-29",B2288&lt;45,"30-44",B2288&lt;60,"45-59",B2288&lt;75,"60-74",B2288&lt;=90,"75-90")</f>
        <v>75-90</v>
      </c>
      <c r="M2288" t="str">
        <f>IF(Table1[[#This Row],[length_of_stay_days]]&gt;7,"Yes","No")</f>
        <v>No</v>
      </c>
    </row>
    <row r="2289" spans="1:13" x14ac:dyDescent="0.3">
      <c r="A2289" t="s">
        <v>2688</v>
      </c>
      <c r="B2289">
        <v>89</v>
      </c>
      <c r="C2289" t="s">
        <v>12</v>
      </c>
      <c r="D2289" t="s">
        <v>28</v>
      </c>
      <c r="E2289" t="s">
        <v>14</v>
      </c>
      <c r="F2289" t="s">
        <v>33</v>
      </c>
      <c r="G2289" t="s">
        <v>425</v>
      </c>
      <c r="H2289">
        <v>7</v>
      </c>
      <c r="I2289" s="1">
        <v>8436.93</v>
      </c>
      <c r="J2289" t="s">
        <v>17</v>
      </c>
      <c r="K2289" t="s">
        <v>18</v>
      </c>
      <c r="L2289" t="str" cm="1">
        <f t="array" ref="L2289">_xlfn.IFS(B2289&lt;30,"18-29",B2289&lt;45,"30-44",B2289&lt;60,"45-59",B2289&lt;75,"60-74",B2289&lt;=90,"75-90")</f>
        <v>75-90</v>
      </c>
      <c r="M2289" t="str">
        <f>IF(Table1[[#This Row],[length_of_stay_days]]&gt;7,"Yes","No")</f>
        <v>No</v>
      </c>
    </row>
    <row r="2290" spans="1:13" x14ac:dyDescent="0.3">
      <c r="A2290" t="s">
        <v>2689</v>
      </c>
      <c r="B2290">
        <v>33</v>
      </c>
      <c r="C2290" t="s">
        <v>20</v>
      </c>
      <c r="D2290" t="s">
        <v>28</v>
      </c>
      <c r="E2290" t="s">
        <v>28</v>
      </c>
      <c r="F2290" t="s">
        <v>259</v>
      </c>
      <c r="G2290" t="s">
        <v>309</v>
      </c>
      <c r="H2290">
        <v>6</v>
      </c>
      <c r="I2290" s="1">
        <v>7438.6</v>
      </c>
      <c r="J2290" t="s">
        <v>17</v>
      </c>
      <c r="K2290" t="s">
        <v>18</v>
      </c>
      <c r="L2290" t="str" cm="1">
        <f t="array" ref="L2290">_xlfn.IFS(B2290&lt;30,"18-29",B2290&lt;45,"30-44",B2290&lt;60,"45-59",B2290&lt;75,"60-74",B2290&lt;=90,"75-90")</f>
        <v>30-44</v>
      </c>
      <c r="M2290" t="str">
        <f>IF(Table1[[#This Row],[length_of_stay_days]]&gt;7,"Yes","No")</f>
        <v>No</v>
      </c>
    </row>
    <row r="2291" spans="1:13" x14ac:dyDescent="0.3">
      <c r="A2291" t="s">
        <v>2690</v>
      </c>
      <c r="B2291">
        <v>50</v>
      </c>
      <c r="C2291" t="s">
        <v>12</v>
      </c>
      <c r="D2291" t="s">
        <v>55</v>
      </c>
      <c r="E2291" t="s">
        <v>14</v>
      </c>
      <c r="F2291" t="s">
        <v>166</v>
      </c>
      <c r="G2291" t="s">
        <v>811</v>
      </c>
      <c r="H2291">
        <v>9</v>
      </c>
      <c r="I2291" s="1">
        <v>11375.24</v>
      </c>
      <c r="J2291" t="s">
        <v>17</v>
      </c>
      <c r="K2291" t="s">
        <v>18</v>
      </c>
      <c r="L2291" t="str" cm="1">
        <f t="array" ref="L2291">_xlfn.IFS(B2291&lt;30,"18-29",B2291&lt;45,"30-44",B2291&lt;60,"45-59",B2291&lt;75,"60-74",B2291&lt;=90,"75-90")</f>
        <v>45-59</v>
      </c>
      <c r="M2291" t="str">
        <f>IF(Table1[[#This Row],[length_of_stay_days]]&gt;7,"Yes","No")</f>
        <v>Yes</v>
      </c>
    </row>
    <row r="2292" spans="1:13" x14ac:dyDescent="0.3">
      <c r="A2292" t="s">
        <v>2691</v>
      </c>
      <c r="B2292">
        <v>40</v>
      </c>
      <c r="C2292" t="s">
        <v>20</v>
      </c>
      <c r="D2292" t="s">
        <v>28</v>
      </c>
      <c r="E2292" t="s">
        <v>14</v>
      </c>
      <c r="F2292" t="s">
        <v>821</v>
      </c>
      <c r="G2292" t="s">
        <v>80</v>
      </c>
      <c r="H2292">
        <v>2</v>
      </c>
      <c r="I2292" s="1">
        <v>3210.96</v>
      </c>
      <c r="J2292" t="s">
        <v>17</v>
      </c>
      <c r="K2292" t="s">
        <v>18</v>
      </c>
      <c r="L2292" t="str" cm="1">
        <f t="array" ref="L2292">_xlfn.IFS(B2292&lt;30,"18-29",B2292&lt;45,"30-44",B2292&lt;60,"45-59",B2292&lt;75,"60-74",B2292&lt;=90,"75-90")</f>
        <v>30-44</v>
      </c>
      <c r="M2292" t="str">
        <f>IF(Table1[[#This Row],[length_of_stay_days]]&gt;7,"Yes","No")</f>
        <v>No</v>
      </c>
    </row>
    <row r="2293" spans="1:13" x14ac:dyDescent="0.3">
      <c r="A2293" t="s">
        <v>2692</v>
      </c>
      <c r="B2293">
        <v>25</v>
      </c>
      <c r="C2293" t="s">
        <v>20</v>
      </c>
      <c r="D2293" t="s">
        <v>46</v>
      </c>
      <c r="E2293" t="s">
        <v>28</v>
      </c>
      <c r="F2293" t="s">
        <v>248</v>
      </c>
      <c r="G2293" t="s">
        <v>384</v>
      </c>
      <c r="H2293">
        <v>8</v>
      </c>
      <c r="I2293" s="1">
        <v>14338.3</v>
      </c>
      <c r="J2293" t="s">
        <v>17</v>
      </c>
      <c r="K2293" t="s">
        <v>44</v>
      </c>
      <c r="L2293" t="str" cm="1">
        <f t="array" ref="L2293">_xlfn.IFS(B2293&lt;30,"18-29",B2293&lt;45,"30-44",B2293&lt;60,"45-59",B2293&lt;75,"60-74",B2293&lt;=90,"75-90")</f>
        <v>18-29</v>
      </c>
      <c r="M2293" t="str">
        <f>IF(Table1[[#This Row],[length_of_stay_days]]&gt;7,"Yes","No")</f>
        <v>Yes</v>
      </c>
    </row>
    <row r="2294" spans="1:13" x14ac:dyDescent="0.3">
      <c r="A2294" t="s">
        <v>2693</v>
      </c>
      <c r="B2294">
        <v>55</v>
      </c>
      <c r="C2294" t="s">
        <v>12</v>
      </c>
      <c r="D2294" t="s">
        <v>13</v>
      </c>
      <c r="E2294" t="s">
        <v>28</v>
      </c>
      <c r="F2294" t="s">
        <v>839</v>
      </c>
      <c r="G2294" t="s">
        <v>293</v>
      </c>
      <c r="H2294">
        <v>5</v>
      </c>
      <c r="I2294" s="1">
        <v>6372.27</v>
      </c>
      <c r="J2294" t="s">
        <v>17</v>
      </c>
      <c r="K2294" t="s">
        <v>18</v>
      </c>
      <c r="L2294" t="str" cm="1">
        <f t="array" ref="L2294">_xlfn.IFS(B2294&lt;30,"18-29",B2294&lt;45,"30-44",B2294&lt;60,"45-59",B2294&lt;75,"60-74",B2294&lt;=90,"75-90")</f>
        <v>45-59</v>
      </c>
      <c r="M2294" t="str">
        <f>IF(Table1[[#This Row],[length_of_stay_days]]&gt;7,"Yes","No")</f>
        <v>No</v>
      </c>
    </row>
    <row r="2295" spans="1:13" x14ac:dyDescent="0.3">
      <c r="A2295" t="s">
        <v>2694</v>
      </c>
      <c r="B2295">
        <v>73</v>
      </c>
      <c r="C2295" t="s">
        <v>12</v>
      </c>
      <c r="D2295" t="s">
        <v>32</v>
      </c>
      <c r="E2295" t="s">
        <v>14</v>
      </c>
      <c r="F2295" t="s">
        <v>776</v>
      </c>
      <c r="G2295" t="s">
        <v>221</v>
      </c>
      <c r="H2295">
        <v>5</v>
      </c>
      <c r="I2295" s="1">
        <v>9510.94</v>
      </c>
      <c r="J2295" t="s">
        <v>17</v>
      </c>
      <c r="K2295" t="s">
        <v>18</v>
      </c>
      <c r="L2295" t="str" cm="1">
        <f t="array" ref="L2295">_xlfn.IFS(B2295&lt;30,"18-29",B2295&lt;45,"30-44",B2295&lt;60,"45-59",B2295&lt;75,"60-74",B2295&lt;=90,"75-90")</f>
        <v>60-74</v>
      </c>
      <c r="M2295" t="str">
        <f>IF(Table1[[#This Row],[length_of_stay_days]]&gt;7,"Yes","No")</f>
        <v>No</v>
      </c>
    </row>
    <row r="2296" spans="1:13" x14ac:dyDescent="0.3">
      <c r="A2296" t="s">
        <v>2695</v>
      </c>
      <c r="B2296">
        <v>37</v>
      </c>
      <c r="C2296" t="s">
        <v>70</v>
      </c>
      <c r="D2296" t="s">
        <v>28</v>
      </c>
      <c r="E2296" t="s">
        <v>14</v>
      </c>
      <c r="F2296" t="s">
        <v>15</v>
      </c>
      <c r="G2296" t="s">
        <v>609</v>
      </c>
      <c r="H2296">
        <v>1</v>
      </c>
      <c r="I2296" s="1">
        <v>350</v>
      </c>
      <c r="J2296" t="s">
        <v>49</v>
      </c>
      <c r="K2296" t="s">
        <v>18</v>
      </c>
      <c r="L2296" t="str" cm="1">
        <f t="array" ref="L2296">_xlfn.IFS(B2296&lt;30,"18-29",B2296&lt;45,"30-44",B2296&lt;60,"45-59",B2296&lt;75,"60-74",B2296&lt;=90,"75-90")</f>
        <v>30-44</v>
      </c>
      <c r="M2296" t="str">
        <f>IF(Table1[[#This Row],[length_of_stay_days]]&gt;7,"Yes","No")</f>
        <v>No</v>
      </c>
    </row>
    <row r="2297" spans="1:13" x14ac:dyDescent="0.3">
      <c r="A2297" t="s">
        <v>2696</v>
      </c>
      <c r="B2297">
        <v>77</v>
      </c>
      <c r="C2297" t="s">
        <v>20</v>
      </c>
      <c r="D2297" t="s">
        <v>13</v>
      </c>
      <c r="E2297" t="s">
        <v>28</v>
      </c>
      <c r="F2297" t="s">
        <v>219</v>
      </c>
      <c r="G2297" t="s">
        <v>527</v>
      </c>
      <c r="H2297">
        <v>5</v>
      </c>
      <c r="I2297" s="1">
        <v>7261.02</v>
      </c>
      <c r="J2297" t="s">
        <v>17</v>
      </c>
      <c r="K2297" t="s">
        <v>18</v>
      </c>
      <c r="L2297" t="str" cm="1">
        <f t="array" ref="L2297">_xlfn.IFS(B2297&lt;30,"18-29",B2297&lt;45,"30-44",B2297&lt;60,"45-59",B2297&lt;75,"60-74",B2297&lt;=90,"75-90")</f>
        <v>75-90</v>
      </c>
      <c r="M2297" t="str">
        <f>IF(Table1[[#This Row],[length_of_stay_days]]&gt;7,"Yes","No")</f>
        <v>No</v>
      </c>
    </row>
    <row r="2298" spans="1:13" x14ac:dyDescent="0.3">
      <c r="A2298" t="s">
        <v>2697</v>
      </c>
      <c r="B2298">
        <v>20</v>
      </c>
      <c r="C2298" t="s">
        <v>20</v>
      </c>
      <c r="D2298" t="s">
        <v>13</v>
      </c>
      <c r="E2298" t="s">
        <v>28</v>
      </c>
      <c r="F2298" t="s">
        <v>275</v>
      </c>
      <c r="G2298" t="s">
        <v>846</v>
      </c>
      <c r="H2298">
        <v>8</v>
      </c>
      <c r="I2298" s="1">
        <v>6556.61</v>
      </c>
      <c r="J2298" t="s">
        <v>49</v>
      </c>
      <c r="K2298" t="s">
        <v>18</v>
      </c>
      <c r="L2298" t="str" cm="1">
        <f t="array" ref="L2298">_xlfn.IFS(B2298&lt;30,"18-29",B2298&lt;45,"30-44",B2298&lt;60,"45-59",B2298&lt;75,"60-74",B2298&lt;=90,"75-90")</f>
        <v>18-29</v>
      </c>
      <c r="M2298" t="str">
        <f>IF(Table1[[#This Row],[length_of_stay_days]]&gt;7,"Yes","No")</f>
        <v>Yes</v>
      </c>
    </row>
    <row r="2299" spans="1:13" x14ac:dyDescent="0.3">
      <c r="A2299" t="s">
        <v>2698</v>
      </c>
      <c r="B2299">
        <v>51</v>
      </c>
      <c r="C2299" t="s">
        <v>12</v>
      </c>
      <c r="D2299" t="s">
        <v>13</v>
      </c>
      <c r="E2299" t="s">
        <v>28</v>
      </c>
      <c r="F2299" t="s">
        <v>1135</v>
      </c>
      <c r="G2299" t="s">
        <v>767</v>
      </c>
      <c r="H2299">
        <v>1</v>
      </c>
      <c r="I2299" s="1">
        <v>2446.9699999999998</v>
      </c>
      <c r="J2299" t="s">
        <v>17</v>
      </c>
      <c r="K2299" t="s">
        <v>18</v>
      </c>
      <c r="L2299" t="str" cm="1">
        <f t="array" ref="L2299">_xlfn.IFS(B2299&lt;30,"18-29",B2299&lt;45,"30-44",B2299&lt;60,"45-59",B2299&lt;75,"60-74",B2299&lt;=90,"75-90")</f>
        <v>45-59</v>
      </c>
      <c r="M2299" t="str">
        <f>IF(Table1[[#This Row],[length_of_stay_days]]&gt;7,"Yes","No")</f>
        <v>No</v>
      </c>
    </row>
    <row r="2300" spans="1:13" x14ac:dyDescent="0.3">
      <c r="A2300" t="s">
        <v>2699</v>
      </c>
      <c r="B2300">
        <v>25</v>
      </c>
      <c r="C2300" t="s">
        <v>12</v>
      </c>
      <c r="D2300" t="s">
        <v>51</v>
      </c>
      <c r="E2300" t="s">
        <v>28</v>
      </c>
      <c r="F2300" t="s">
        <v>895</v>
      </c>
      <c r="G2300" t="s">
        <v>30</v>
      </c>
      <c r="H2300">
        <v>8</v>
      </c>
      <c r="I2300" s="1">
        <v>12624.16</v>
      </c>
      <c r="J2300" t="s">
        <v>17</v>
      </c>
      <c r="K2300" t="s">
        <v>18</v>
      </c>
      <c r="L2300" t="str" cm="1">
        <f t="array" ref="L2300">_xlfn.IFS(B2300&lt;30,"18-29",B2300&lt;45,"30-44",B2300&lt;60,"45-59",B2300&lt;75,"60-74",B2300&lt;=90,"75-90")</f>
        <v>18-29</v>
      </c>
      <c r="M2300" t="str">
        <f>IF(Table1[[#This Row],[length_of_stay_days]]&gt;7,"Yes","No")</f>
        <v>Yes</v>
      </c>
    </row>
    <row r="2301" spans="1:13" x14ac:dyDescent="0.3">
      <c r="A2301" t="s">
        <v>2700</v>
      </c>
      <c r="B2301">
        <v>29</v>
      </c>
      <c r="C2301" t="s">
        <v>12</v>
      </c>
      <c r="D2301" t="s">
        <v>46</v>
      </c>
      <c r="E2301" t="s">
        <v>28</v>
      </c>
      <c r="F2301" t="s">
        <v>742</v>
      </c>
      <c r="G2301" t="s">
        <v>246</v>
      </c>
      <c r="H2301">
        <v>6</v>
      </c>
      <c r="I2301" s="1">
        <v>12548.55</v>
      </c>
      <c r="J2301" t="s">
        <v>17</v>
      </c>
      <c r="K2301" t="s">
        <v>18</v>
      </c>
      <c r="L2301" t="str" cm="1">
        <f t="array" ref="L2301">_xlfn.IFS(B2301&lt;30,"18-29",B2301&lt;45,"30-44",B2301&lt;60,"45-59",B2301&lt;75,"60-74",B2301&lt;=90,"75-90")</f>
        <v>18-29</v>
      </c>
      <c r="M2301" t="str">
        <f>IF(Table1[[#This Row],[length_of_stay_days]]&gt;7,"Yes","No")</f>
        <v>No</v>
      </c>
    </row>
    <row r="2302" spans="1:13" x14ac:dyDescent="0.3">
      <c r="A2302" t="s">
        <v>2701</v>
      </c>
      <c r="B2302">
        <v>19</v>
      </c>
      <c r="C2302" t="s">
        <v>20</v>
      </c>
      <c r="D2302" t="s">
        <v>46</v>
      </c>
      <c r="E2302" t="s">
        <v>21</v>
      </c>
      <c r="F2302" t="s">
        <v>96</v>
      </c>
      <c r="G2302" t="s">
        <v>239</v>
      </c>
      <c r="H2302">
        <v>8</v>
      </c>
      <c r="I2302" s="1">
        <v>13484.94</v>
      </c>
      <c r="J2302" t="s">
        <v>17</v>
      </c>
      <c r="K2302" t="s">
        <v>18</v>
      </c>
      <c r="L2302" t="str" cm="1">
        <f t="array" ref="L2302">_xlfn.IFS(B2302&lt;30,"18-29",B2302&lt;45,"30-44",B2302&lt;60,"45-59",B2302&lt;75,"60-74",B2302&lt;=90,"75-90")</f>
        <v>18-29</v>
      </c>
      <c r="M2302" t="str">
        <f>IF(Table1[[#This Row],[length_of_stay_days]]&gt;7,"Yes","No")</f>
        <v>Yes</v>
      </c>
    </row>
    <row r="2303" spans="1:13" x14ac:dyDescent="0.3">
      <c r="A2303" t="s">
        <v>2702</v>
      </c>
      <c r="B2303">
        <v>71</v>
      </c>
      <c r="C2303" t="s">
        <v>12</v>
      </c>
      <c r="D2303" t="s">
        <v>51</v>
      </c>
      <c r="E2303" t="s">
        <v>28</v>
      </c>
      <c r="F2303" t="s">
        <v>563</v>
      </c>
      <c r="G2303" t="s">
        <v>282</v>
      </c>
      <c r="H2303">
        <v>5</v>
      </c>
      <c r="I2303" s="1">
        <v>11055.31</v>
      </c>
      <c r="J2303" t="s">
        <v>17</v>
      </c>
      <c r="K2303" t="s">
        <v>18</v>
      </c>
      <c r="L2303" t="str" cm="1">
        <f t="array" ref="L2303">_xlfn.IFS(B2303&lt;30,"18-29",B2303&lt;45,"30-44",B2303&lt;60,"45-59",B2303&lt;75,"60-74",B2303&lt;=90,"75-90")</f>
        <v>60-74</v>
      </c>
      <c r="M2303" t="str">
        <f>IF(Table1[[#This Row],[length_of_stay_days]]&gt;7,"Yes","No")</f>
        <v>No</v>
      </c>
    </row>
    <row r="2304" spans="1:13" x14ac:dyDescent="0.3">
      <c r="A2304" t="s">
        <v>2703</v>
      </c>
      <c r="B2304">
        <v>30</v>
      </c>
      <c r="C2304" t="s">
        <v>20</v>
      </c>
      <c r="D2304" t="s">
        <v>13</v>
      </c>
      <c r="E2304" t="s">
        <v>14</v>
      </c>
      <c r="F2304" t="s">
        <v>898</v>
      </c>
      <c r="G2304" t="s">
        <v>177</v>
      </c>
      <c r="H2304">
        <v>5</v>
      </c>
      <c r="I2304" s="1">
        <v>8244.8799999999992</v>
      </c>
      <c r="J2304" t="s">
        <v>17</v>
      </c>
      <c r="K2304" t="s">
        <v>18</v>
      </c>
      <c r="L2304" t="str" cm="1">
        <f t="array" ref="L2304">_xlfn.IFS(B2304&lt;30,"18-29",B2304&lt;45,"30-44",B2304&lt;60,"45-59",B2304&lt;75,"60-74",B2304&lt;=90,"75-90")</f>
        <v>30-44</v>
      </c>
      <c r="M2304" t="str">
        <f>IF(Table1[[#This Row],[length_of_stay_days]]&gt;7,"Yes","No")</f>
        <v>No</v>
      </c>
    </row>
    <row r="2305" spans="1:13" x14ac:dyDescent="0.3">
      <c r="A2305" t="s">
        <v>2704</v>
      </c>
      <c r="B2305">
        <v>43</v>
      </c>
      <c r="C2305" t="s">
        <v>12</v>
      </c>
      <c r="D2305" t="s">
        <v>13</v>
      </c>
      <c r="E2305" t="s">
        <v>21</v>
      </c>
      <c r="F2305" t="s">
        <v>301</v>
      </c>
      <c r="G2305" t="s">
        <v>225</v>
      </c>
      <c r="H2305">
        <v>7</v>
      </c>
      <c r="I2305" s="1">
        <v>8945.74</v>
      </c>
      <c r="J2305" t="s">
        <v>17</v>
      </c>
      <c r="K2305" t="s">
        <v>223</v>
      </c>
      <c r="L2305" t="str" cm="1">
        <f t="array" ref="L2305">_xlfn.IFS(B2305&lt;30,"18-29",B2305&lt;45,"30-44",B2305&lt;60,"45-59",B2305&lt;75,"60-74",B2305&lt;=90,"75-90")</f>
        <v>30-44</v>
      </c>
      <c r="M2305" t="str">
        <f>IF(Table1[[#This Row],[length_of_stay_days]]&gt;7,"Yes","No")</f>
        <v>No</v>
      </c>
    </row>
    <row r="2306" spans="1:13" x14ac:dyDescent="0.3">
      <c r="A2306" t="s">
        <v>2705</v>
      </c>
      <c r="B2306">
        <v>56</v>
      </c>
      <c r="C2306" t="s">
        <v>12</v>
      </c>
      <c r="D2306" t="s">
        <v>28</v>
      </c>
      <c r="E2306" t="s">
        <v>14</v>
      </c>
      <c r="F2306" t="s">
        <v>581</v>
      </c>
      <c r="G2306" t="s">
        <v>604</v>
      </c>
      <c r="H2306">
        <v>1</v>
      </c>
      <c r="I2306" s="1">
        <v>4744.59</v>
      </c>
      <c r="J2306" t="s">
        <v>17</v>
      </c>
      <c r="K2306" t="s">
        <v>18</v>
      </c>
      <c r="L2306" t="str" cm="1">
        <f t="array" ref="L2306">_xlfn.IFS(B2306&lt;30,"18-29",B2306&lt;45,"30-44",B2306&lt;60,"45-59",B2306&lt;75,"60-74",B2306&lt;=90,"75-90")</f>
        <v>45-59</v>
      </c>
      <c r="M2306" t="str">
        <f>IF(Table1[[#This Row],[length_of_stay_days]]&gt;7,"Yes","No")</f>
        <v>No</v>
      </c>
    </row>
    <row r="2307" spans="1:13" x14ac:dyDescent="0.3">
      <c r="A2307" t="s">
        <v>2706</v>
      </c>
      <c r="B2307">
        <v>51</v>
      </c>
      <c r="C2307" t="s">
        <v>12</v>
      </c>
      <c r="D2307" t="s">
        <v>51</v>
      </c>
      <c r="E2307" t="s">
        <v>14</v>
      </c>
      <c r="F2307" t="s">
        <v>623</v>
      </c>
      <c r="G2307" t="s">
        <v>194</v>
      </c>
      <c r="H2307">
        <v>7</v>
      </c>
      <c r="I2307" s="1">
        <v>8607.2199999999993</v>
      </c>
      <c r="J2307" t="s">
        <v>17</v>
      </c>
      <c r="K2307" t="s">
        <v>18</v>
      </c>
      <c r="L2307" t="str" cm="1">
        <f t="array" ref="L2307">_xlfn.IFS(B2307&lt;30,"18-29",B2307&lt;45,"30-44",B2307&lt;60,"45-59",B2307&lt;75,"60-74",B2307&lt;=90,"75-90")</f>
        <v>45-59</v>
      </c>
      <c r="M2307" t="str">
        <f>IF(Table1[[#This Row],[length_of_stay_days]]&gt;7,"Yes","No")</f>
        <v>No</v>
      </c>
    </row>
    <row r="2308" spans="1:13" x14ac:dyDescent="0.3">
      <c r="A2308" t="s">
        <v>2707</v>
      </c>
      <c r="B2308">
        <v>88</v>
      </c>
      <c r="C2308" t="s">
        <v>12</v>
      </c>
      <c r="D2308" t="s">
        <v>51</v>
      </c>
      <c r="E2308" t="s">
        <v>28</v>
      </c>
      <c r="F2308" t="s">
        <v>229</v>
      </c>
      <c r="G2308" t="s">
        <v>40</v>
      </c>
      <c r="H2308">
        <v>9</v>
      </c>
      <c r="I2308" s="1">
        <v>12275.82</v>
      </c>
      <c r="J2308" t="s">
        <v>49</v>
      </c>
      <c r="K2308" t="s">
        <v>18</v>
      </c>
      <c r="L2308" t="str" cm="1">
        <f t="array" ref="L2308">_xlfn.IFS(B2308&lt;30,"18-29",B2308&lt;45,"30-44",B2308&lt;60,"45-59",B2308&lt;75,"60-74",B2308&lt;=90,"75-90")</f>
        <v>75-90</v>
      </c>
      <c r="M2308" t="str">
        <f>IF(Table1[[#This Row],[length_of_stay_days]]&gt;7,"Yes","No")</f>
        <v>Yes</v>
      </c>
    </row>
    <row r="2309" spans="1:13" x14ac:dyDescent="0.3">
      <c r="A2309" t="s">
        <v>2708</v>
      </c>
      <c r="B2309">
        <v>44</v>
      </c>
      <c r="C2309" t="s">
        <v>20</v>
      </c>
      <c r="D2309" t="s">
        <v>28</v>
      </c>
      <c r="E2309" t="s">
        <v>14</v>
      </c>
      <c r="F2309" t="s">
        <v>210</v>
      </c>
      <c r="G2309" t="s">
        <v>53</v>
      </c>
      <c r="H2309">
        <v>5</v>
      </c>
      <c r="I2309" s="1">
        <v>4832.5</v>
      </c>
      <c r="J2309" t="s">
        <v>49</v>
      </c>
      <c r="K2309" t="s">
        <v>18</v>
      </c>
      <c r="L2309" t="str" cm="1">
        <f t="array" ref="L2309">_xlfn.IFS(B2309&lt;30,"18-29",B2309&lt;45,"30-44",B2309&lt;60,"45-59",B2309&lt;75,"60-74",B2309&lt;=90,"75-90")</f>
        <v>30-44</v>
      </c>
      <c r="M2309" t="str">
        <f>IF(Table1[[#This Row],[length_of_stay_days]]&gt;7,"Yes","No")</f>
        <v>No</v>
      </c>
    </row>
    <row r="2310" spans="1:13" x14ac:dyDescent="0.3">
      <c r="A2310" t="s">
        <v>2709</v>
      </c>
      <c r="B2310">
        <v>81</v>
      </c>
      <c r="C2310" t="s">
        <v>20</v>
      </c>
      <c r="D2310" t="s">
        <v>28</v>
      </c>
      <c r="E2310" t="s">
        <v>28</v>
      </c>
      <c r="F2310" t="s">
        <v>1054</v>
      </c>
      <c r="G2310" t="s">
        <v>454</v>
      </c>
      <c r="H2310">
        <v>5</v>
      </c>
      <c r="I2310" s="1">
        <v>4971.1899999999996</v>
      </c>
      <c r="J2310" t="s">
        <v>17</v>
      </c>
      <c r="K2310" t="s">
        <v>18</v>
      </c>
      <c r="L2310" t="str" cm="1">
        <f t="array" ref="L2310">_xlfn.IFS(B2310&lt;30,"18-29",B2310&lt;45,"30-44",B2310&lt;60,"45-59",B2310&lt;75,"60-74",B2310&lt;=90,"75-90")</f>
        <v>75-90</v>
      </c>
      <c r="M2310" t="str">
        <f>IF(Table1[[#This Row],[length_of_stay_days]]&gt;7,"Yes","No")</f>
        <v>No</v>
      </c>
    </row>
    <row r="2311" spans="1:13" x14ac:dyDescent="0.3">
      <c r="A2311" t="s">
        <v>2710</v>
      </c>
      <c r="B2311">
        <v>50</v>
      </c>
      <c r="C2311" t="s">
        <v>12</v>
      </c>
      <c r="D2311" t="s">
        <v>32</v>
      </c>
      <c r="E2311" t="s">
        <v>21</v>
      </c>
      <c r="F2311" t="s">
        <v>67</v>
      </c>
      <c r="G2311" t="s">
        <v>638</v>
      </c>
      <c r="H2311">
        <v>8</v>
      </c>
      <c r="I2311" s="1">
        <v>13176.89</v>
      </c>
      <c r="J2311" t="s">
        <v>17</v>
      </c>
      <c r="K2311" t="s">
        <v>18</v>
      </c>
      <c r="L2311" t="str" cm="1">
        <f t="array" ref="L2311">_xlfn.IFS(B2311&lt;30,"18-29",B2311&lt;45,"30-44",B2311&lt;60,"45-59",B2311&lt;75,"60-74",B2311&lt;=90,"75-90")</f>
        <v>45-59</v>
      </c>
      <c r="M2311" t="str">
        <f>IF(Table1[[#This Row],[length_of_stay_days]]&gt;7,"Yes","No")</f>
        <v>Yes</v>
      </c>
    </row>
    <row r="2312" spans="1:13" x14ac:dyDescent="0.3">
      <c r="A2312" t="s">
        <v>2711</v>
      </c>
      <c r="B2312">
        <v>57</v>
      </c>
      <c r="C2312" t="s">
        <v>12</v>
      </c>
      <c r="D2312" t="s">
        <v>13</v>
      </c>
      <c r="E2312" t="s">
        <v>14</v>
      </c>
      <c r="F2312" t="s">
        <v>547</v>
      </c>
      <c r="G2312" t="s">
        <v>434</v>
      </c>
      <c r="H2312">
        <v>2</v>
      </c>
      <c r="I2312" s="1">
        <v>4599.09</v>
      </c>
      <c r="J2312" t="s">
        <v>17</v>
      </c>
      <c r="K2312" t="s">
        <v>18</v>
      </c>
      <c r="L2312" t="str" cm="1">
        <f t="array" ref="L2312">_xlfn.IFS(B2312&lt;30,"18-29",B2312&lt;45,"30-44",B2312&lt;60,"45-59",B2312&lt;75,"60-74",B2312&lt;=90,"75-90")</f>
        <v>45-59</v>
      </c>
      <c r="M2312" t="str">
        <f>IF(Table1[[#This Row],[length_of_stay_days]]&gt;7,"Yes","No")</f>
        <v>No</v>
      </c>
    </row>
    <row r="2313" spans="1:13" x14ac:dyDescent="0.3">
      <c r="A2313" t="s">
        <v>2712</v>
      </c>
      <c r="B2313">
        <v>59</v>
      </c>
      <c r="C2313" t="s">
        <v>20</v>
      </c>
      <c r="D2313" t="s">
        <v>51</v>
      </c>
      <c r="E2313" t="s">
        <v>21</v>
      </c>
      <c r="F2313" t="s">
        <v>144</v>
      </c>
      <c r="G2313" t="s">
        <v>644</v>
      </c>
      <c r="H2313">
        <v>10</v>
      </c>
      <c r="I2313" s="1">
        <v>14853.68</v>
      </c>
      <c r="J2313" t="s">
        <v>17</v>
      </c>
      <c r="K2313" t="s">
        <v>18</v>
      </c>
      <c r="L2313" t="str" cm="1">
        <f t="array" ref="L2313">_xlfn.IFS(B2313&lt;30,"18-29",B2313&lt;45,"30-44",B2313&lt;60,"45-59",B2313&lt;75,"60-74",B2313&lt;=90,"75-90")</f>
        <v>45-59</v>
      </c>
      <c r="M2313" t="str">
        <f>IF(Table1[[#This Row],[length_of_stay_days]]&gt;7,"Yes","No")</f>
        <v>Yes</v>
      </c>
    </row>
    <row r="2314" spans="1:13" x14ac:dyDescent="0.3">
      <c r="A2314" t="s">
        <v>2713</v>
      </c>
      <c r="B2314">
        <v>78</v>
      </c>
      <c r="C2314" t="s">
        <v>20</v>
      </c>
      <c r="D2314" t="s">
        <v>55</v>
      </c>
      <c r="E2314" t="s">
        <v>28</v>
      </c>
      <c r="F2314" t="s">
        <v>530</v>
      </c>
      <c r="G2314" t="s">
        <v>325</v>
      </c>
      <c r="H2314">
        <v>8</v>
      </c>
      <c r="I2314" s="1">
        <v>10862.69</v>
      </c>
      <c r="J2314" t="s">
        <v>17</v>
      </c>
      <c r="K2314" t="s">
        <v>18</v>
      </c>
      <c r="L2314" t="str" cm="1">
        <f t="array" ref="L2314">_xlfn.IFS(B2314&lt;30,"18-29",B2314&lt;45,"30-44",B2314&lt;60,"45-59",B2314&lt;75,"60-74",B2314&lt;=90,"75-90")</f>
        <v>75-90</v>
      </c>
      <c r="M2314" t="str">
        <f>IF(Table1[[#This Row],[length_of_stay_days]]&gt;7,"Yes","No")</f>
        <v>Yes</v>
      </c>
    </row>
    <row r="2315" spans="1:13" x14ac:dyDescent="0.3">
      <c r="A2315" t="s">
        <v>2714</v>
      </c>
      <c r="B2315">
        <v>25</v>
      </c>
      <c r="C2315" t="s">
        <v>12</v>
      </c>
      <c r="D2315" t="s">
        <v>55</v>
      </c>
      <c r="E2315" t="s">
        <v>21</v>
      </c>
      <c r="F2315" t="s">
        <v>530</v>
      </c>
      <c r="G2315" t="s">
        <v>563</v>
      </c>
      <c r="H2315">
        <v>4</v>
      </c>
      <c r="I2315" s="1">
        <v>7704.71</v>
      </c>
      <c r="J2315" t="s">
        <v>17</v>
      </c>
      <c r="K2315" t="s">
        <v>18</v>
      </c>
      <c r="L2315" t="str" cm="1">
        <f t="array" ref="L2315">_xlfn.IFS(B2315&lt;30,"18-29",B2315&lt;45,"30-44",B2315&lt;60,"45-59",B2315&lt;75,"60-74",B2315&lt;=90,"75-90")</f>
        <v>18-29</v>
      </c>
      <c r="M2315" t="str">
        <f>IF(Table1[[#This Row],[length_of_stay_days]]&gt;7,"Yes","No")</f>
        <v>No</v>
      </c>
    </row>
    <row r="2316" spans="1:13" x14ac:dyDescent="0.3">
      <c r="A2316" t="s">
        <v>2715</v>
      </c>
      <c r="B2316">
        <v>36</v>
      </c>
      <c r="C2316" t="s">
        <v>12</v>
      </c>
      <c r="D2316" t="s">
        <v>28</v>
      </c>
      <c r="E2316" t="s">
        <v>28</v>
      </c>
      <c r="F2316" t="s">
        <v>39</v>
      </c>
      <c r="G2316" t="s">
        <v>467</v>
      </c>
      <c r="H2316">
        <v>7</v>
      </c>
      <c r="I2316" s="1">
        <v>8293.1200000000008</v>
      </c>
      <c r="J2316" t="s">
        <v>17</v>
      </c>
      <c r="K2316" t="s">
        <v>18</v>
      </c>
      <c r="L2316" t="str" cm="1">
        <f t="array" ref="L2316">_xlfn.IFS(B2316&lt;30,"18-29",B2316&lt;45,"30-44",B2316&lt;60,"45-59",B2316&lt;75,"60-74",B2316&lt;=90,"75-90")</f>
        <v>30-44</v>
      </c>
      <c r="M2316" t="str">
        <f>IF(Table1[[#This Row],[length_of_stay_days]]&gt;7,"Yes","No")</f>
        <v>No</v>
      </c>
    </row>
    <row r="2317" spans="1:13" x14ac:dyDescent="0.3">
      <c r="A2317" t="s">
        <v>2716</v>
      </c>
      <c r="B2317">
        <v>70</v>
      </c>
      <c r="C2317" t="s">
        <v>12</v>
      </c>
      <c r="D2317" t="s">
        <v>51</v>
      </c>
      <c r="E2317" t="s">
        <v>14</v>
      </c>
      <c r="F2317" t="s">
        <v>472</v>
      </c>
      <c r="G2317" t="s">
        <v>354</v>
      </c>
      <c r="H2317">
        <v>5</v>
      </c>
      <c r="I2317" s="1">
        <v>10458.379999999999</v>
      </c>
      <c r="J2317" t="s">
        <v>49</v>
      </c>
      <c r="K2317" t="s">
        <v>18</v>
      </c>
      <c r="L2317" t="str" cm="1">
        <f t="array" ref="L2317">_xlfn.IFS(B2317&lt;30,"18-29",B2317&lt;45,"30-44",B2317&lt;60,"45-59",B2317&lt;75,"60-74",B2317&lt;=90,"75-90")</f>
        <v>60-74</v>
      </c>
      <c r="M2317" t="str">
        <f>IF(Table1[[#This Row],[length_of_stay_days]]&gt;7,"Yes","No")</f>
        <v>No</v>
      </c>
    </row>
    <row r="2318" spans="1:13" x14ac:dyDescent="0.3">
      <c r="A2318" t="s">
        <v>2717</v>
      </c>
      <c r="B2318">
        <v>87</v>
      </c>
      <c r="C2318" t="s">
        <v>20</v>
      </c>
      <c r="D2318" t="s">
        <v>13</v>
      </c>
      <c r="E2318" t="s">
        <v>14</v>
      </c>
      <c r="F2318" t="s">
        <v>1018</v>
      </c>
      <c r="G2318" t="s">
        <v>1160</v>
      </c>
      <c r="H2318">
        <v>5</v>
      </c>
      <c r="I2318" s="1">
        <v>5627.82</v>
      </c>
      <c r="J2318" t="s">
        <v>17</v>
      </c>
      <c r="K2318" t="s">
        <v>18</v>
      </c>
      <c r="L2318" t="str" cm="1">
        <f t="array" ref="L2318">_xlfn.IFS(B2318&lt;30,"18-29",B2318&lt;45,"30-44",B2318&lt;60,"45-59",B2318&lt;75,"60-74",B2318&lt;=90,"75-90")</f>
        <v>75-90</v>
      </c>
      <c r="M2318" t="str">
        <f>IF(Table1[[#This Row],[length_of_stay_days]]&gt;7,"Yes","No")</f>
        <v>No</v>
      </c>
    </row>
    <row r="2319" spans="1:13" x14ac:dyDescent="0.3">
      <c r="A2319" t="s">
        <v>2718</v>
      </c>
      <c r="B2319">
        <v>37</v>
      </c>
      <c r="C2319" t="s">
        <v>12</v>
      </c>
      <c r="D2319" t="s">
        <v>51</v>
      </c>
      <c r="E2319" t="s">
        <v>28</v>
      </c>
      <c r="F2319" t="s">
        <v>376</v>
      </c>
      <c r="G2319" t="s">
        <v>144</v>
      </c>
      <c r="H2319">
        <v>6</v>
      </c>
      <c r="I2319" s="1">
        <v>9353.16</v>
      </c>
      <c r="J2319" t="s">
        <v>17</v>
      </c>
      <c r="K2319" t="s">
        <v>18</v>
      </c>
      <c r="L2319" t="str" cm="1">
        <f t="array" ref="L2319">_xlfn.IFS(B2319&lt;30,"18-29",B2319&lt;45,"30-44",B2319&lt;60,"45-59",B2319&lt;75,"60-74",B2319&lt;=90,"75-90")</f>
        <v>30-44</v>
      </c>
      <c r="M2319" t="str">
        <f>IF(Table1[[#This Row],[length_of_stay_days]]&gt;7,"Yes","No")</f>
        <v>No</v>
      </c>
    </row>
    <row r="2320" spans="1:13" x14ac:dyDescent="0.3">
      <c r="A2320" t="s">
        <v>2719</v>
      </c>
      <c r="B2320">
        <v>20</v>
      </c>
      <c r="C2320" t="s">
        <v>12</v>
      </c>
      <c r="D2320" t="s">
        <v>46</v>
      </c>
      <c r="E2320" t="s">
        <v>28</v>
      </c>
      <c r="F2320" t="s">
        <v>119</v>
      </c>
      <c r="G2320" t="s">
        <v>311</v>
      </c>
      <c r="H2320">
        <v>9</v>
      </c>
      <c r="I2320" s="1">
        <v>15424.67</v>
      </c>
      <c r="J2320" t="s">
        <v>49</v>
      </c>
      <c r="K2320" t="s">
        <v>18</v>
      </c>
      <c r="L2320" t="str" cm="1">
        <f t="array" ref="L2320">_xlfn.IFS(B2320&lt;30,"18-29",B2320&lt;45,"30-44",B2320&lt;60,"45-59",B2320&lt;75,"60-74",B2320&lt;=90,"75-90")</f>
        <v>18-29</v>
      </c>
      <c r="M2320" t="str">
        <f>IF(Table1[[#This Row],[length_of_stay_days]]&gt;7,"Yes","No")</f>
        <v>Yes</v>
      </c>
    </row>
    <row r="2321" spans="1:13" x14ac:dyDescent="0.3">
      <c r="A2321" t="s">
        <v>2720</v>
      </c>
      <c r="B2321">
        <v>56</v>
      </c>
      <c r="C2321" t="s">
        <v>20</v>
      </c>
      <c r="D2321" t="s">
        <v>28</v>
      </c>
      <c r="E2321" t="s">
        <v>28</v>
      </c>
      <c r="F2321" t="s">
        <v>129</v>
      </c>
      <c r="G2321" t="s">
        <v>29</v>
      </c>
      <c r="H2321">
        <v>5</v>
      </c>
      <c r="I2321" s="1">
        <v>7478.06</v>
      </c>
      <c r="J2321" t="s">
        <v>17</v>
      </c>
      <c r="K2321" t="s">
        <v>18</v>
      </c>
      <c r="L2321" t="str" cm="1">
        <f t="array" ref="L2321">_xlfn.IFS(B2321&lt;30,"18-29",B2321&lt;45,"30-44",B2321&lt;60,"45-59",B2321&lt;75,"60-74",B2321&lt;=90,"75-90")</f>
        <v>45-59</v>
      </c>
      <c r="M2321" t="str">
        <f>IF(Table1[[#This Row],[length_of_stay_days]]&gt;7,"Yes","No")</f>
        <v>No</v>
      </c>
    </row>
    <row r="2322" spans="1:13" x14ac:dyDescent="0.3">
      <c r="A2322" t="s">
        <v>2721</v>
      </c>
      <c r="B2322">
        <v>72</v>
      </c>
      <c r="C2322" t="s">
        <v>20</v>
      </c>
      <c r="D2322" t="s">
        <v>28</v>
      </c>
      <c r="E2322" t="s">
        <v>21</v>
      </c>
      <c r="F2322" t="s">
        <v>849</v>
      </c>
      <c r="G2322" t="s">
        <v>852</v>
      </c>
      <c r="H2322">
        <v>7</v>
      </c>
      <c r="I2322" s="1">
        <v>6568.28</v>
      </c>
      <c r="J2322" t="s">
        <v>17</v>
      </c>
      <c r="K2322" t="s">
        <v>18</v>
      </c>
      <c r="L2322" t="str" cm="1">
        <f t="array" ref="L2322">_xlfn.IFS(B2322&lt;30,"18-29",B2322&lt;45,"30-44",B2322&lt;60,"45-59",B2322&lt;75,"60-74",B2322&lt;=90,"75-90")</f>
        <v>60-74</v>
      </c>
      <c r="M2322" t="str">
        <f>IF(Table1[[#This Row],[length_of_stay_days]]&gt;7,"Yes","No")</f>
        <v>No</v>
      </c>
    </row>
    <row r="2323" spans="1:13" x14ac:dyDescent="0.3">
      <c r="A2323" t="s">
        <v>2722</v>
      </c>
      <c r="B2323">
        <v>63</v>
      </c>
      <c r="C2323" t="s">
        <v>20</v>
      </c>
      <c r="D2323" t="s">
        <v>32</v>
      </c>
      <c r="E2323" t="s">
        <v>14</v>
      </c>
      <c r="F2323" t="s">
        <v>22</v>
      </c>
      <c r="G2323" t="s">
        <v>273</v>
      </c>
      <c r="H2323">
        <v>5</v>
      </c>
      <c r="I2323" s="1">
        <v>10517.45</v>
      </c>
      <c r="J2323" t="s">
        <v>17</v>
      </c>
      <c r="K2323" t="s">
        <v>18</v>
      </c>
      <c r="L2323" t="str" cm="1">
        <f t="array" ref="L2323">_xlfn.IFS(B2323&lt;30,"18-29",B2323&lt;45,"30-44",B2323&lt;60,"45-59",B2323&lt;75,"60-74",B2323&lt;=90,"75-90")</f>
        <v>60-74</v>
      </c>
      <c r="M2323" t="str">
        <f>IF(Table1[[#This Row],[length_of_stay_days]]&gt;7,"Yes","No")</f>
        <v>No</v>
      </c>
    </row>
    <row r="2324" spans="1:13" x14ac:dyDescent="0.3">
      <c r="A2324" t="s">
        <v>2723</v>
      </c>
      <c r="B2324">
        <v>31</v>
      </c>
      <c r="C2324" t="s">
        <v>20</v>
      </c>
      <c r="D2324" t="s">
        <v>46</v>
      </c>
      <c r="E2324" t="s">
        <v>28</v>
      </c>
      <c r="F2324" t="s">
        <v>232</v>
      </c>
      <c r="G2324" t="s">
        <v>928</v>
      </c>
      <c r="H2324">
        <v>4</v>
      </c>
      <c r="I2324" s="1">
        <v>10646.08</v>
      </c>
      <c r="J2324" t="s">
        <v>17</v>
      </c>
      <c r="K2324" t="s">
        <v>18</v>
      </c>
      <c r="L2324" t="str" cm="1">
        <f t="array" ref="L2324">_xlfn.IFS(B2324&lt;30,"18-29",B2324&lt;45,"30-44",B2324&lt;60,"45-59",B2324&lt;75,"60-74",B2324&lt;=90,"75-90")</f>
        <v>30-44</v>
      </c>
      <c r="M2324" t="str">
        <f>IF(Table1[[#This Row],[length_of_stay_days]]&gt;7,"Yes","No")</f>
        <v>No</v>
      </c>
    </row>
    <row r="2325" spans="1:13" x14ac:dyDescent="0.3">
      <c r="A2325" t="s">
        <v>2724</v>
      </c>
      <c r="B2325">
        <v>52</v>
      </c>
      <c r="C2325" t="s">
        <v>20</v>
      </c>
      <c r="D2325" t="s">
        <v>13</v>
      </c>
      <c r="E2325" t="s">
        <v>28</v>
      </c>
      <c r="F2325" t="s">
        <v>162</v>
      </c>
      <c r="G2325" t="s">
        <v>762</v>
      </c>
      <c r="H2325">
        <v>2</v>
      </c>
      <c r="I2325" s="1">
        <v>4430.09</v>
      </c>
      <c r="J2325" t="s">
        <v>17</v>
      </c>
      <c r="K2325" t="s">
        <v>223</v>
      </c>
      <c r="L2325" t="str" cm="1">
        <f t="array" ref="L2325">_xlfn.IFS(B2325&lt;30,"18-29",B2325&lt;45,"30-44",B2325&lt;60,"45-59",B2325&lt;75,"60-74",B2325&lt;=90,"75-90")</f>
        <v>45-59</v>
      </c>
      <c r="M2325" t="str">
        <f>IF(Table1[[#This Row],[length_of_stay_days]]&gt;7,"Yes","No")</f>
        <v>No</v>
      </c>
    </row>
    <row r="2326" spans="1:13" x14ac:dyDescent="0.3">
      <c r="A2326" t="s">
        <v>2725</v>
      </c>
      <c r="B2326">
        <v>26</v>
      </c>
      <c r="C2326" t="s">
        <v>20</v>
      </c>
      <c r="D2326" t="s">
        <v>51</v>
      </c>
      <c r="E2326" t="s">
        <v>28</v>
      </c>
      <c r="F2326" t="s">
        <v>243</v>
      </c>
      <c r="G2326" t="s">
        <v>467</v>
      </c>
      <c r="H2326">
        <v>9</v>
      </c>
      <c r="I2326" s="1">
        <v>12476.23</v>
      </c>
      <c r="J2326" t="s">
        <v>17</v>
      </c>
      <c r="K2326" t="s">
        <v>18</v>
      </c>
      <c r="L2326" t="str" cm="1">
        <f t="array" ref="L2326">_xlfn.IFS(B2326&lt;30,"18-29",B2326&lt;45,"30-44",B2326&lt;60,"45-59",B2326&lt;75,"60-74",B2326&lt;=90,"75-90")</f>
        <v>18-29</v>
      </c>
      <c r="M2326" t="str">
        <f>IF(Table1[[#This Row],[length_of_stay_days]]&gt;7,"Yes","No")</f>
        <v>Yes</v>
      </c>
    </row>
    <row r="2327" spans="1:13" x14ac:dyDescent="0.3">
      <c r="A2327" t="s">
        <v>2726</v>
      </c>
      <c r="B2327">
        <v>90</v>
      </c>
      <c r="C2327" t="s">
        <v>20</v>
      </c>
      <c r="D2327" t="s">
        <v>28</v>
      </c>
      <c r="E2327" t="s">
        <v>21</v>
      </c>
      <c r="F2327" t="s">
        <v>146</v>
      </c>
      <c r="G2327" t="s">
        <v>841</v>
      </c>
      <c r="H2327">
        <v>6</v>
      </c>
      <c r="I2327" s="1">
        <v>7940.35</v>
      </c>
      <c r="J2327" t="s">
        <v>17</v>
      </c>
      <c r="K2327" t="s">
        <v>18</v>
      </c>
      <c r="L2327" t="str" cm="1">
        <f t="array" ref="L2327">_xlfn.IFS(B2327&lt;30,"18-29",B2327&lt;45,"30-44",B2327&lt;60,"45-59",B2327&lt;75,"60-74",B2327&lt;=90,"75-90")</f>
        <v>75-90</v>
      </c>
      <c r="M2327" t="str">
        <f>IF(Table1[[#This Row],[length_of_stay_days]]&gt;7,"Yes","No")</f>
        <v>No</v>
      </c>
    </row>
    <row r="2328" spans="1:13" x14ac:dyDescent="0.3">
      <c r="A2328" t="s">
        <v>2727</v>
      </c>
      <c r="B2328">
        <v>87</v>
      </c>
      <c r="C2328" t="s">
        <v>12</v>
      </c>
      <c r="D2328" t="s">
        <v>13</v>
      </c>
      <c r="E2328" t="s">
        <v>14</v>
      </c>
      <c r="F2328" t="s">
        <v>311</v>
      </c>
      <c r="G2328" t="s">
        <v>250</v>
      </c>
      <c r="H2328">
        <v>7</v>
      </c>
      <c r="I2328" s="1">
        <v>8290.7900000000009</v>
      </c>
      <c r="J2328" t="s">
        <v>17</v>
      </c>
      <c r="K2328" t="s">
        <v>18</v>
      </c>
      <c r="L2328" t="str" cm="1">
        <f t="array" ref="L2328">_xlfn.IFS(B2328&lt;30,"18-29",B2328&lt;45,"30-44",B2328&lt;60,"45-59",B2328&lt;75,"60-74",B2328&lt;=90,"75-90")</f>
        <v>75-90</v>
      </c>
      <c r="M2328" t="str">
        <f>IF(Table1[[#This Row],[length_of_stay_days]]&gt;7,"Yes","No")</f>
        <v>No</v>
      </c>
    </row>
    <row r="2329" spans="1:13" x14ac:dyDescent="0.3">
      <c r="A2329" t="s">
        <v>2728</v>
      </c>
      <c r="B2329">
        <v>47</v>
      </c>
      <c r="C2329" t="s">
        <v>12</v>
      </c>
      <c r="D2329" t="s">
        <v>28</v>
      </c>
      <c r="E2329" t="s">
        <v>28</v>
      </c>
      <c r="F2329" t="s">
        <v>203</v>
      </c>
      <c r="G2329" t="s">
        <v>47</v>
      </c>
      <c r="H2329">
        <v>4</v>
      </c>
      <c r="I2329" s="1">
        <v>5243.04</v>
      </c>
      <c r="J2329" t="s">
        <v>17</v>
      </c>
      <c r="K2329" t="s">
        <v>18</v>
      </c>
      <c r="L2329" t="str" cm="1">
        <f t="array" ref="L2329">_xlfn.IFS(B2329&lt;30,"18-29",B2329&lt;45,"30-44",B2329&lt;60,"45-59",B2329&lt;75,"60-74",B2329&lt;=90,"75-90")</f>
        <v>45-59</v>
      </c>
      <c r="M2329" t="str">
        <f>IF(Table1[[#This Row],[length_of_stay_days]]&gt;7,"Yes","No")</f>
        <v>No</v>
      </c>
    </row>
    <row r="2330" spans="1:13" x14ac:dyDescent="0.3">
      <c r="A2330" t="s">
        <v>2729</v>
      </c>
      <c r="B2330">
        <v>83</v>
      </c>
      <c r="C2330" t="s">
        <v>12</v>
      </c>
      <c r="D2330" t="s">
        <v>13</v>
      </c>
      <c r="E2330" t="s">
        <v>14</v>
      </c>
      <c r="F2330" t="s">
        <v>680</v>
      </c>
      <c r="G2330" t="s">
        <v>559</v>
      </c>
      <c r="H2330">
        <v>1</v>
      </c>
      <c r="I2330" s="1">
        <v>4929.09</v>
      </c>
      <c r="J2330" t="s">
        <v>17</v>
      </c>
      <c r="K2330" t="s">
        <v>18</v>
      </c>
      <c r="L2330" t="str" cm="1">
        <f t="array" ref="L2330">_xlfn.IFS(B2330&lt;30,"18-29",B2330&lt;45,"30-44",B2330&lt;60,"45-59",B2330&lt;75,"60-74",B2330&lt;=90,"75-90")</f>
        <v>75-90</v>
      </c>
      <c r="M2330" t="str">
        <f>IF(Table1[[#This Row],[length_of_stay_days]]&gt;7,"Yes","No")</f>
        <v>No</v>
      </c>
    </row>
    <row r="2331" spans="1:13" x14ac:dyDescent="0.3">
      <c r="A2331" t="s">
        <v>2730</v>
      </c>
      <c r="B2331">
        <v>83</v>
      </c>
      <c r="C2331" t="s">
        <v>12</v>
      </c>
      <c r="D2331" t="s">
        <v>32</v>
      </c>
      <c r="E2331" t="s">
        <v>14</v>
      </c>
      <c r="F2331" t="s">
        <v>827</v>
      </c>
      <c r="G2331" t="s">
        <v>162</v>
      </c>
      <c r="H2331">
        <v>7</v>
      </c>
      <c r="I2331" s="1">
        <v>14471.58</v>
      </c>
      <c r="J2331" t="s">
        <v>17</v>
      </c>
      <c r="K2331" t="s">
        <v>18</v>
      </c>
      <c r="L2331" t="str" cm="1">
        <f t="array" ref="L2331">_xlfn.IFS(B2331&lt;30,"18-29",B2331&lt;45,"30-44",B2331&lt;60,"45-59",B2331&lt;75,"60-74",B2331&lt;=90,"75-90")</f>
        <v>75-90</v>
      </c>
      <c r="M2331" t="str">
        <f>IF(Table1[[#This Row],[length_of_stay_days]]&gt;7,"Yes","No")</f>
        <v>No</v>
      </c>
    </row>
    <row r="2332" spans="1:13" x14ac:dyDescent="0.3">
      <c r="A2332" t="s">
        <v>2731</v>
      </c>
      <c r="B2332">
        <v>26</v>
      </c>
      <c r="C2332" t="s">
        <v>20</v>
      </c>
      <c r="D2332" t="s">
        <v>51</v>
      </c>
      <c r="E2332" t="s">
        <v>14</v>
      </c>
      <c r="F2332" t="s">
        <v>58</v>
      </c>
      <c r="G2332" t="s">
        <v>59</v>
      </c>
      <c r="H2332">
        <v>5</v>
      </c>
      <c r="I2332" s="1">
        <v>12889.31</v>
      </c>
      <c r="J2332" t="s">
        <v>17</v>
      </c>
      <c r="K2332" t="s">
        <v>223</v>
      </c>
      <c r="L2332" t="str" cm="1">
        <f t="array" ref="L2332">_xlfn.IFS(B2332&lt;30,"18-29",B2332&lt;45,"30-44",B2332&lt;60,"45-59",B2332&lt;75,"60-74",B2332&lt;=90,"75-90")</f>
        <v>18-29</v>
      </c>
      <c r="M2332" t="str">
        <f>IF(Table1[[#This Row],[length_of_stay_days]]&gt;7,"Yes","No")</f>
        <v>No</v>
      </c>
    </row>
    <row r="2333" spans="1:13" x14ac:dyDescent="0.3">
      <c r="A2333" t="s">
        <v>2732</v>
      </c>
      <c r="B2333">
        <v>54</v>
      </c>
      <c r="C2333" t="s">
        <v>20</v>
      </c>
      <c r="D2333" t="s">
        <v>28</v>
      </c>
      <c r="E2333" t="s">
        <v>28</v>
      </c>
      <c r="F2333" t="s">
        <v>839</v>
      </c>
      <c r="G2333" t="s">
        <v>413</v>
      </c>
      <c r="H2333">
        <v>6</v>
      </c>
      <c r="I2333" s="1">
        <v>8093.11</v>
      </c>
      <c r="J2333" t="s">
        <v>17</v>
      </c>
      <c r="K2333" t="s">
        <v>18</v>
      </c>
      <c r="L2333" t="str" cm="1">
        <f t="array" ref="L2333">_xlfn.IFS(B2333&lt;30,"18-29",B2333&lt;45,"30-44",B2333&lt;60,"45-59",B2333&lt;75,"60-74",B2333&lt;=90,"75-90")</f>
        <v>45-59</v>
      </c>
      <c r="M2333" t="str">
        <f>IF(Table1[[#This Row],[length_of_stay_days]]&gt;7,"Yes","No")</f>
        <v>No</v>
      </c>
    </row>
    <row r="2334" spans="1:13" x14ac:dyDescent="0.3">
      <c r="A2334" t="s">
        <v>2733</v>
      </c>
      <c r="B2334">
        <v>54</v>
      </c>
      <c r="C2334" t="s">
        <v>20</v>
      </c>
      <c r="D2334" t="s">
        <v>46</v>
      </c>
      <c r="E2334" t="s">
        <v>14</v>
      </c>
      <c r="F2334" t="s">
        <v>61</v>
      </c>
      <c r="G2334" t="s">
        <v>472</v>
      </c>
      <c r="H2334">
        <v>10</v>
      </c>
      <c r="I2334" s="1">
        <v>15206.8</v>
      </c>
      <c r="J2334" t="s">
        <v>17</v>
      </c>
      <c r="K2334" t="s">
        <v>18</v>
      </c>
      <c r="L2334" t="str" cm="1">
        <f t="array" ref="L2334">_xlfn.IFS(B2334&lt;30,"18-29",B2334&lt;45,"30-44",B2334&lt;60,"45-59",B2334&lt;75,"60-74",B2334&lt;=90,"75-90")</f>
        <v>45-59</v>
      </c>
      <c r="M2334" t="str">
        <f>IF(Table1[[#This Row],[length_of_stay_days]]&gt;7,"Yes","No")</f>
        <v>Yes</v>
      </c>
    </row>
    <row r="2335" spans="1:13" x14ac:dyDescent="0.3">
      <c r="A2335" t="s">
        <v>2734</v>
      </c>
      <c r="B2335">
        <v>33</v>
      </c>
      <c r="C2335" t="s">
        <v>20</v>
      </c>
      <c r="D2335" t="s">
        <v>13</v>
      </c>
      <c r="E2335" t="s">
        <v>14</v>
      </c>
      <c r="F2335" t="s">
        <v>96</v>
      </c>
      <c r="G2335" t="s">
        <v>143</v>
      </c>
      <c r="H2335">
        <v>3</v>
      </c>
      <c r="I2335" s="1">
        <v>6275.76</v>
      </c>
      <c r="J2335" t="s">
        <v>17</v>
      </c>
      <c r="K2335" t="s">
        <v>44</v>
      </c>
      <c r="L2335" t="str" cm="1">
        <f t="array" ref="L2335">_xlfn.IFS(B2335&lt;30,"18-29",B2335&lt;45,"30-44",B2335&lt;60,"45-59",B2335&lt;75,"60-74",B2335&lt;=90,"75-90")</f>
        <v>30-44</v>
      </c>
      <c r="M2335" t="str">
        <f>IF(Table1[[#This Row],[length_of_stay_days]]&gt;7,"Yes","No")</f>
        <v>No</v>
      </c>
    </row>
    <row r="2336" spans="1:13" x14ac:dyDescent="0.3">
      <c r="A2336" t="s">
        <v>2735</v>
      </c>
      <c r="B2336">
        <v>27</v>
      </c>
      <c r="C2336" t="s">
        <v>20</v>
      </c>
      <c r="D2336" t="s">
        <v>46</v>
      </c>
      <c r="E2336" t="s">
        <v>28</v>
      </c>
      <c r="F2336" t="s">
        <v>604</v>
      </c>
      <c r="G2336" t="s">
        <v>74</v>
      </c>
      <c r="H2336">
        <v>5</v>
      </c>
      <c r="I2336" s="1">
        <v>13671.91</v>
      </c>
      <c r="J2336" t="s">
        <v>17</v>
      </c>
      <c r="K2336" t="s">
        <v>18</v>
      </c>
      <c r="L2336" t="str" cm="1">
        <f t="array" ref="L2336">_xlfn.IFS(B2336&lt;30,"18-29",B2336&lt;45,"30-44",B2336&lt;60,"45-59",B2336&lt;75,"60-74",B2336&lt;=90,"75-90")</f>
        <v>18-29</v>
      </c>
      <c r="M2336" t="str">
        <f>IF(Table1[[#This Row],[length_of_stay_days]]&gt;7,"Yes","No")</f>
        <v>No</v>
      </c>
    </row>
    <row r="2337" spans="1:13" x14ac:dyDescent="0.3">
      <c r="A2337" t="s">
        <v>2736</v>
      </c>
      <c r="B2337">
        <v>80</v>
      </c>
      <c r="C2337" t="s">
        <v>20</v>
      </c>
      <c r="D2337" t="s">
        <v>13</v>
      </c>
      <c r="E2337" t="s">
        <v>28</v>
      </c>
      <c r="F2337" t="s">
        <v>512</v>
      </c>
      <c r="G2337" t="s">
        <v>462</v>
      </c>
      <c r="H2337">
        <v>7</v>
      </c>
      <c r="I2337" s="1">
        <v>8384.75</v>
      </c>
      <c r="J2337" t="s">
        <v>17</v>
      </c>
      <c r="K2337" t="s">
        <v>18</v>
      </c>
      <c r="L2337" t="str" cm="1">
        <f t="array" ref="L2337">_xlfn.IFS(B2337&lt;30,"18-29",B2337&lt;45,"30-44",B2337&lt;60,"45-59",B2337&lt;75,"60-74",B2337&lt;=90,"75-90")</f>
        <v>75-90</v>
      </c>
      <c r="M2337" t="str">
        <f>IF(Table1[[#This Row],[length_of_stay_days]]&gt;7,"Yes","No")</f>
        <v>No</v>
      </c>
    </row>
    <row r="2338" spans="1:13" x14ac:dyDescent="0.3">
      <c r="A2338" t="s">
        <v>2737</v>
      </c>
      <c r="B2338">
        <v>25</v>
      </c>
      <c r="C2338" t="s">
        <v>20</v>
      </c>
      <c r="D2338" t="s">
        <v>28</v>
      </c>
      <c r="E2338" t="s">
        <v>28</v>
      </c>
      <c r="F2338" t="s">
        <v>285</v>
      </c>
      <c r="G2338" t="s">
        <v>256</v>
      </c>
      <c r="H2338">
        <v>3</v>
      </c>
      <c r="I2338" s="1">
        <v>3913.47</v>
      </c>
      <c r="J2338" t="s">
        <v>17</v>
      </c>
      <c r="K2338" t="s">
        <v>18</v>
      </c>
      <c r="L2338" t="str" cm="1">
        <f t="array" ref="L2338">_xlfn.IFS(B2338&lt;30,"18-29",B2338&lt;45,"30-44",B2338&lt;60,"45-59",B2338&lt;75,"60-74",B2338&lt;=90,"75-90")</f>
        <v>18-29</v>
      </c>
      <c r="M2338" t="str">
        <f>IF(Table1[[#This Row],[length_of_stay_days]]&gt;7,"Yes","No")</f>
        <v>No</v>
      </c>
    </row>
    <row r="2339" spans="1:13" x14ac:dyDescent="0.3">
      <c r="A2339" t="s">
        <v>2738</v>
      </c>
      <c r="B2339">
        <v>74</v>
      </c>
      <c r="C2339" t="s">
        <v>12</v>
      </c>
      <c r="D2339" t="s">
        <v>32</v>
      </c>
      <c r="E2339" t="s">
        <v>28</v>
      </c>
      <c r="F2339" t="s">
        <v>152</v>
      </c>
      <c r="G2339" t="s">
        <v>941</v>
      </c>
      <c r="H2339">
        <v>11</v>
      </c>
      <c r="I2339" s="1">
        <v>15613.18</v>
      </c>
      <c r="J2339" t="s">
        <v>49</v>
      </c>
      <c r="K2339" t="s">
        <v>18</v>
      </c>
      <c r="L2339" t="str" cm="1">
        <f t="array" ref="L2339">_xlfn.IFS(B2339&lt;30,"18-29",B2339&lt;45,"30-44",B2339&lt;60,"45-59",B2339&lt;75,"60-74",B2339&lt;=90,"75-90")</f>
        <v>60-74</v>
      </c>
      <c r="M2339" t="str">
        <f>IF(Table1[[#This Row],[length_of_stay_days]]&gt;7,"Yes","No")</f>
        <v>Yes</v>
      </c>
    </row>
    <row r="2340" spans="1:13" x14ac:dyDescent="0.3">
      <c r="A2340" t="s">
        <v>2739</v>
      </c>
      <c r="B2340">
        <v>34</v>
      </c>
      <c r="C2340" t="s">
        <v>12</v>
      </c>
      <c r="D2340" t="s">
        <v>55</v>
      </c>
      <c r="E2340" t="s">
        <v>28</v>
      </c>
      <c r="F2340" t="s">
        <v>166</v>
      </c>
      <c r="G2340" t="s">
        <v>551</v>
      </c>
      <c r="H2340">
        <v>6</v>
      </c>
      <c r="I2340" s="1">
        <v>8744.1299999999992</v>
      </c>
      <c r="J2340" t="s">
        <v>17</v>
      </c>
      <c r="K2340" t="s">
        <v>18</v>
      </c>
      <c r="L2340" t="str" cm="1">
        <f t="array" ref="L2340">_xlfn.IFS(B2340&lt;30,"18-29",B2340&lt;45,"30-44",B2340&lt;60,"45-59",B2340&lt;75,"60-74",B2340&lt;=90,"75-90")</f>
        <v>30-44</v>
      </c>
      <c r="M2340" t="str">
        <f>IF(Table1[[#This Row],[length_of_stay_days]]&gt;7,"Yes","No")</f>
        <v>No</v>
      </c>
    </row>
    <row r="2341" spans="1:13" x14ac:dyDescent="0.3">
      <c r="A2341" t="s">
        <v>2740</v>
      </c>
      <c r="B2341">
        <v>23</v>
      </c>
      <c r="C2341" t="s">
        <v>12</v>
      </c>
      <c r="D2341" t="s">
        <v>32</v>
      </c>
      <c r="E2341" t="s">
        <v>28</v>
      </c>
      <c r="F2341" t="s">
        <v>226</v>
      </c>
      <c r="G2341" t="s">
        <v>239</v>
      </c>
      <c r="H2341">
        <v>7</v>
      </c>
      <c r="I2341" s="1">
        <v>12857</v>
      </c>
      <c r="J2341" t="s">
        <v>49</v>
      </c>
      <c r="K2341" t="s">
        <v>223</v>
      </c>
      <c r="L2341" t="str" cm="1">
        <f t="array" ref="L2341">_xlfn.IFS(B2341&lt;30,"18-29",B2341&lt;45,"30-44",B2341&lt;60,"45-59",B2341&lt;75,"60-74",B2341&lt;=90,"75-90")</f>
        <v>18-29</v>
      </c>
      <c r="M2341" t="str">
        <f>IF(Table1[[#This Row],[length_of_stay_days]]&gt;7,"Yes","No")</f>
        <v>No</v>
      </c>
    </row>
    <row r="2342" spans="1:13" x14ac:dyDescent="0.3">
      <c r="A2342" t="s">
        <v>2741</v>
      </c>
      <c r="B2342">
        <v>72</v>
      </c>
      <c r="C2342" t="s">
        <v>12</v>
      </c>
      <c r="D2342" t="s">
        <v>55</v>
      </c>
      <c r="E2342" t="s">
        <v>21</v>
      </c>
      <c r="F2342" t="s">
        <v>364</v>
      </c>
      <c r="G2342" t="s">
        <v>155</v>
      </c>
      <c r="H2342">
        <v>2</v>
      </c>
      <c r="I2342" s="1">
        <v>4742.46</v>
      </c>
      <c r="J2342" t="s">
        <v>17</v>
      </c>
      <c r="K2342" t="s">
        <v>18</v>
      </c>
      <c r="L2342" t="str" cm="1">
        <f t="array" ref="L2342">_xlfn.IFS(B2342&lt;30,"18-29",B2342&lt;45,"30-44",B2342&lt;60,"45-59",B2342&lt;75,"60-74",B2342&lt;=90,"75-90")</f>
        <v>60-74</v>
      </c>
      <c r="M2342" t="str">
        <f>IF(Table1[[#This Row],[length_of_stay_days]]&gt;7,"Yes","No")</f>
        <v>No</v>
      </c>
    </row>
    <row r="2343" spans="1:13" x14ac:dyDescent="0.3">
      <c r="A2343" t="s">
        <v>2742</v>
      </c>
      <c r="B2343">
        <v>39</v>
      </c>
      <c r="C2343" t="s">
        <v>20</v>
      </c>
      <c r="D2343" t="s">
        <v>28</v>
      </c>
      <c r="E2343" t="s">
        <v>28</v>
      </c>
      <c r="F2343" t="s">
        <v>333</v>
      </c>
      <c r="G2343" t="s">
        <v>436</v>
      </c>
      <c r="H2343">
        <v>6</v>
      </c>
      <c r="I2343" s="1">
        <v>8510.17</v>
      </c>
      <c r="J2343" t="s">
        <v>17</v>
      </c>
      <c r="K2343" t="s">
        <v>18</v>
      </c>
      <c r="L2343" t="str" cm="1">
        <f t="array" ref="L2343">_xlfn.IFS(B2343&lt;30,"18-29",B2343&lt;45,"30-44",B2343&lt;60,"45-59",B2343&lt;75,"60-74",B2343&lt;=90,"75-90")</f>
        <v>30-44</v>
      </c>
      <c r="M2343" t="str">
        <f>IF(Table1[[#This Row],[length_of_stay_days]]&gt;7,"Yes","No")</f>
        <v>No</v>
      </c>
    </row>
    <row r="2344" spans="1:13" x14ac:dyDescent="0.3">
      <c r="A2344" t="s">
        <v>2743</v>
      </c>
      <c r="B2344">
        <v>35</v>
      </c>
      <c r="C2344" t="s">
        <v>20</v>
      </c>
      <c r="D2344" t="s">
        <v>51</v>
      </c>
      <c r="E2344" t="s">
        <v>14</v>
      </c>
      <c r="F2344" t="s">
        <v>491</v>
      </c>
      <c r="G2344" t="s">
        <v>152</v>
      </c>
      <c r="H2344">
        <v>6</v>
      </c>
      <c r="I2344" s="1">
        <v>11382.74</v>
      </c>
      <c r="J2344" t="s">
        <v>17</v>
      </c>
      <c r="K2344" t="s">
        <v>18</v>
      </c>
      <c r="L2344" t="str" cm="1">
        <f t="array" ref="L2344">_xlfn.IFS(B2344&lt;30,"18-29",B2344&lt;45,"30-44",B2344&lt;60,"45-59",B2344&lt;75,"60-74",B2344&lt;=90,"75-90")</f>
        <v>30-44</v>
      </c>
      <c r="M2344" t="str">
        <f>IF(Table1[[#This Row],[length_of_stay_days]]&gt;7,"Yes","No")</f>
        <v>No</v>
      </c>
    </row>
    <row r="2345" spans="1:13" x14ac:dyDescent="0.3">
      <c r="A2345" t="s">
        <v>2744</v>
      </c>
      <c r="B2345">
        <v>39</v>
      </c>
      <c r="C2345" t="s">
        <v>12</v>
      </c>
      <c r="D2345" t="s">
        <v>55</v>
      </c>
      <c r="E2345" t="s">
        <v>21</v>
      </c>
      <c r="F2345" t="s">
        <v>192</v>
      </c>
      <c r="G2345" t="s">
        <v>496</v>
      </c>
      <c r="H2345">
        <v>2</v>
      </c>
      <c r="I2345" s="1">
        <v>6780.69</v>
      </c>
      <c r="J2345" t="s">
        <v>17</v>
      </c>
      <c r="K2345" t="s">
        <v>18</v>
      </c>
      <c r="L2345" t="str" cm="1">
        <f t="array" ref="L2345">_xlfn.IFS(B2345&lt;30,"18-29",B2345&lt;45,"30-44",B2345&lt;60,"45-59",B2345&lt;75,"60-74",B2345&lt;=90,"75-90")</f>
        <v>30-44</v>
      </c>
      <c r="M2345" t="str">
        <f>IF(Table1[[#This Row],[length_of_stay_days]]&gt;7,"Yes","No")</f>
        <v>No</v>
      </c>
    </row>
    <row r="2346" spans="1:13" x14ac:dyDescent="0.3">
      <c r="A2346" t="s">
        <v>2745</v>
      </c>
      <c r="B2346">
        <v>31</v>
      </c>
      <c r="C2346" t="s">
        <v>12</v>
      </c>
      <c r="D2346" t="s">
        <v>13</v>
      </c>
      <c r="E2346" t="s">
        <v>14</v>
      </c>
      <c r="F2346" t="s">
        <v>344</v>
      </c>
      <c r="G2346" t="s">
        <v>526</v>
      </c>
      <c r="H2346">
        <v>3</v>
      </c>
      <c r="I2346" s="1">
        <v>4288.1400000000003</v>
      </c>
      <c r="J2346" t="s">
        <v>17</v>
      </c>
      <c r="K2346" t="s">
        <v>44</v>
      </c>
      <c r="L2346" t="str" cm="1">
        <f t="array" ref="L2346">_xlfn.IFS(B2346&lt;30,"18-29",B2346&lt;45,"30-44",B2346&lt;60,"45-59",B2346&lt;75,"60-74",B2346&lt;=90,"75-90")</f>
        <v>30-44</v>
      </c>
      <c r="M2346" t="str">
        <f>IF(Table1[[#This Row],[length_of_stay_days]]&gt;7,"Yes","No")</f>
        <v>No</v>
      </c>
    </row>
    <row r="2347" spans="1:13" x14ac:dyDescent="0.3">
      <c r="A2347" t="s">
        <v>2746</v>
      </c>
      <c r="B2347">
        <v>19</v>
      </c>
      <c r="C2347" t="s">
        <v>20</v>
      </c>
      <c r="D2347" t="s">
        <v>13</v>
      </c>
      <c r="E2347" t="s">
        <v>14</v>
      </c>
      <c r="F2347" t="s">
        <v>575</v>
      </c>
      <c r="G2347" t="s">
        <v>168</v>
      </c>
      <c r="H2347">
        <v>4</v>
      </c>
      <c r="I2347" s="1">
        <v>8425.85</v>
      </c>
      <c r="J2347" t="s">
        <v>17</v>
      </c>
      <c r="K2347" t="s">
        <v>18</v>
      </c>
      <c r="L2347" t="str" cm="1">
        <f t="array" ref="L2347">_xlfn.IFS(B2347&lt;30,"18-29",B2347&lt;45,"30-44",B2347&lt;60,"45-59",B2347&lt;75,"60-74",B2347&lt;=90,"75-90")</f>
        <v>18-29</v>
      </c>
      <c r="M2347" t="str">
        <f>IF(Table1[[#This Row],[length_of_stay_days]]&gt;7,"Yes","No")</f>
        <v>No</v>
      </c>
    </row>
    <row r="2348" spans="1:13" x14ac:dyDescent="0.3">
      <c r="A2348" t="s">
        <v>2747</v>
      </c>
      <c r="B2348">
        <v>78</v>
      </c>
      <c r="C2348" t="s">
        <v>70</v>
      </c>
      <c r="D2348" t="s">
        <v>55</v>
      </c>
      <c r="E2348" t="s">
        <v>28</v>
      </c>
      <c r="F2348" t="s">
        <v>821</v>
      </c>
      <c r="G2348" t="s">
        <v>81</v>
      </c>
      <c r="H2348">
        <v>8</v>
      </c>
      <c r="I2348" s="1">
        <v>13166.39</v>
      </c>
      <c r="J2348" t="s">
        <v>17</v>
      </c>
      <c r="K2348" t="s">
        <v>18</v>
      </c>
      <c r="L2348" t="str" cm="1">
        <f t="array" ref="L2348">_xlfn.IFS(B2348&lt;30,"18-29",B2348&lt;45,"30-44",B2348&lt;60,"45-59",B2348&lt;75,"60-74",B2348&lt;=90,"75-90")</f>
        <v>75-90</v>
      </c>
      <c r="M2348" t="str">
        <f>IF(Table1[[#This Row],[length_of_stay_days]]&gt;7,"Yes","No")</f>
        <v>Yes</v>
      </c>
    </row>
    <row r="2349" spans="1:13" x14ac:dyDescent="0.3">
      <c r="A2349" t="s">
        <v>2748</v>
      </c>
      <c r="B2349">
        <v>25</v>
      </c>
      <c r="C2349" t="s">
        <v>12</v>
      </c>
      <c r="D2349" t="s">
        <v>55</v>
      </c>
      <c r="E2349" t="s">
        <v>28</v>
      </c>
      <c r="F2349" t="s">
        <v>346</v>
      </c>
      <c r="G2349" t="s">
        <v>118</v>
      </c>
      <c r="H2349">
        <v>7</v>
      </c>
      <c r="I2349" s="1">
        <v>13244.7</v>
      </c>
      <c r="J2349" t="s">
        <v>17</v>
      </c>
      <c r="K2349" t="s">
        <v>18</v>
      </c>
      <c r="L2349" t="str" cm="1">
        <f t="array" ref="L2349">_xlfn.IFS(B2349&lt;30,"18-29",B2349&lt;45,"30-44",B2349&lt;60,"45-59",B2349&lt;75,"60-74",B2349&lt;=90,"75-90")</f>
        <v>18-29</v>
      </c>
      <c r="M2349" t="str">
        <f>IF(Table1[[#This Row],[length_of_stay_days]]&gt;7,"Yes","No")</f>
        <v>No</v>
      </c>
    </row>
    <row r="2350" spans="1:13" x14ac:dyDescent="0.3">
      <c r="A2350" t="s">
        <v>2749</v>
      </c>
      <c r="B2350">
        <v>76</v>
      </c>
      <c r="C2350" t="s">
        <v>20</v>
      </c>
      <c r="D2350" t="s">
        <v>51</v>
      </c>
      <c r="E2350" t="s">
        <v>14</v>
      </c>
      <c r="F2350" t="s">
        <v>89</v>
      </c>
      <c r="G2350" t="s">
        <v>453</v>
      </c>
      <c r="H2350">
        <v>5</v>
      </c>
      <c r="I2350" s="1">
        <v>10204.17</v>
      </c>
      <c r="J2350" t="s">
        <v>49</v>
      </c>
      <c r="K2350" t="s">
        <v>18</v>
      </c>
      <c r="L2350" t="str" cm="1">
        <f t="array" ref="L2350">_xlfn.IFS(B2350&lt;30,"18-29",B2350&lt;45,"30-44",B2350&lt;60,"45-59",B2350&lt;75,"60-74",B2350&lt;=90,"75-90")</f>
        <v>75-90</v>
      </c>
      <c r="M2350" t="str">
        <f>IF(Table1[[#This Row],[length_of_stay_days]]&gt;7,"Yes","No")</f>
        <v>No</v>
      </c>
    </row>
    <row r="2351" spans="1:13" x14ac:dyDescent="0.3">
      <c r="A2351" t="s">
        <v>2750</v>
      </c>
      <c r="B2351">
        <v>23</v>
      </c>
      <c r="C2351" t="s">
        <v>12</v>
      </c>
      <c r="D2351" t="s">
        <v>13</v>
      </c>
      <c r="E2351" t="s">
        <v>21</v>
      </c>
      <c r="F2351" t="s">
        <v>148</v>
      </c>
      <c r="G2351" t="s">
        <v>837</v>
      </c>
      <c r="H2351">
        <v>9</v>
      </c>
      <c r="I2351" s="1">
        <v>10303.049999999999</v>
      </c>
      <c r="J2351" t="s">
        <v>17</v>
      </c>
      <c r="K2351" t="s">
        <v>18</v>
      </c>
      <c r="L2351" t="str" cm="1">
        <f t="array" ref="L2351">_xlfn.IFS(B2351&lt;30,"18-29",B2351&lt;45,"30-44",B2351&lt;60,"45-59",B2351&lt;75,"60-74",B2351&lt;=90,"75-90")</f>
        <v>18-29</v>
      </c>
      <c r="M2351" t="str">
        <f>IF(Table1[[#This Row],[length_of_stay_days]]&gt;7,"Yes","No")</f>
        <v>Yes</v>
      </c>
    </row>
    <row r="2352" spans="1:13" x14ac:dyDescent="0.3">
      <c r="A2352" t="s">
        <v>2751</v>
      </c>
      <c r="B2352">
        <v>50</v>
      </c>
      <c r="C2352" t="s">
        <v>20</v>
      </c>
      <c r="D2352" t="s">
        <v>46</v>
      </c>
      <c r="E2352" t="s">
        <v>28</v>
      </c>
      <c r="F2352" t="s">
        <v>141</v>
      </c>
      <c r="G2352" t="s">
        <v>762</v>
      </c>
      <c r="H2352">
        <v>7</v>
      </c>
      <c r="I2352" s="1">
        <v>15255.85</v>
      </c>
      <c r="J2352" t="s">
        <v>49</v>
      </c>
      <c r="K2352" t="s">
        <v>18</v>
      </c>
      <c r="L2352" t="str" cm="1">
        <f t="array" ref="L2352">_xlfn.IFS(B2352&lt;30,"18-29",B2352&lt;45,"30-44",B2352&lt;60,"45-59",B2352&lt;75,"60-74",B2352&lt;=90,"75-90")</f>
        <v>45-59</v>
      </c>
      <c r="M2352" t="str">
        <f>IF(Table1[[#This Row],[length_of_stay_days]]&gt;7,"Yes","No")</f>
        <v>No</v>
      </c>
    </row>
    <row r="2353" spans="1:13" x14ac:dyDescent="0.3">
      <c r="A2353" t="s">
        <v>2752</v>
      </c>
      <c r="B2353">
        <v>77</v>
      </c>
      <c r="C2353" t="s">
        <v>12</v>
      </c>
      <c r="D2353" t="s">
        <v>13</v>
      </c>
      <c r="E2353" t="s">
        <v>28</v>
      </c>
      <c r="F2353" t="s">
        <v>563</v>
      </c>
      <c r="G2353" t="s">
        <v>325</v>
      </c>
      <c r="H2353">
        <v>4</v>
      </c>
      <c r="I2353" s="1">
        <v>3303.53</v>
      </c>
      <c r="J2353" t="s">
        <v>17</v>
      </c>
      <c r="K2353" t="s">
        <v>18</v>
      </c>
      <c r="L2353" t="str" cm="1">
        <f t="array" ref="L2353">_xlfn.IFS(B2353&lt;30,"18-29",B2353&lt;45,"30-44",B2353&lt;60,"45-59",B2353&lt;75,"60-74",B2353&lt;=90,"75-90")</f>
        <v>75-90</v>
      </c>
      <c r="M2353" t="str">
        <f>IF(Table1[[#This Row],[length_of_stay_days]]&gt;7,"Yes","No")</f>
        <v>No</v>
      </c>
    </row>
    <row r="2354" spans="1:13" x14ac:dyDescent="0.3">
      <c r="A2354" t="s">
        <v>2753</v>
      </c>
      <c r="B2354">
        <v>61</v>
      </c>
      <c r="C2354" t="s">
        <v>20</v>
      </c>
      <c r="D2354" t="s">
        <v>28</v>
      </c>
      <c r="E2354" t="s">
        <v>14</v>
      </c>
      <c r="F2354" t="s">
        <v>171</v>
      </c>
      <c r="G2354" t="s">
        <v>124</v>
      </c>
      <c r="H2354">
        <v>3</v>
      </c>
      <c r="I2354" s="1">
        <v>5065.03</v>
      </c>
      <c r="J2354" t="s">
        <v>17</v>
      </c>
      <c r="K2354" t="s">
        <v>18</v>
      </c>
      <c r="L2354" t="str" cm="1">
        <f t="array" ref="L2354">_xlfn.IFS(B2354&lt;30,"18-29",B2354&lt;45,"30-44",B2354&lt;60,"45-59",B2354&lt;75,"60-74",B2354&lt;=90,"75-90")</f>
        <v>60-74</v>
      </c>
      <c r="M2354" t="str">
        <f>IF(Table1[[#This Row],[length_of_stay_days]]&gt;7,"Yes","No")</f>
        <v>No</v>
      </c>
    </row>
    <row r="2355" spans="1:13" x14ac:dyDescent="0.3">
      <c r="A2355" t="s">
        <v>2754</v>
      </c>
      <c r="B2355">
        <v>25</v>
      </c>
      <c r="C2355" t="s">
        <v>12</v>
      </c>
      <c r="D2355" t="s">
        <v>46</v>
      </c>
      <c r="E2355" t="s">
        <v>14</v>
      </c>
      <c r="F2355" t="s">
        <v>78</v>
      </c>
      <c r="G2355" t="s">
        <v>184</v>
      </c>
      <c r="H2355">
        <v>7</v>
      </c>
      <c r="I2355" s="1">
        <v>13613.86</v>
      </c>
      <c r="J2355" t="s">
        <v>17</v>
      </c>
      <c r="K2355" t="s">
        <v>18</v>
      </c>
      <c r="L2355" t="str" cm="1">
        <f t="array" ref="L2355">_xlfn.IFS(B2355&lt;30,"18-29",B2355&lt;45,"30-44",B2355&lt;60,"45-59",B2355&lt;75,"60-74",B2355&lt;=90,"75-90")</f>
        <v>18-29</v>
      </c>
      <c r="M2355" t="str">
        <f>IF(Table1[[#This Row],[length_of_stay_days]]&gt;7,"Yes","No")</f>
        <v>No</v>
      </c>
    </row>
    <row r="2356" spans="1:13" x14ac:dyDescent="0.3">
      <c r="A2356" t="s">
        <v>2755</v>
      </c>
      <c r="B2356">
        <v>26</v>
      </c>
      <c r="C2356" t="s">
        <v>12</v>
      </c>
      <c r="D2356" t="s">
        <v>51</v>
      </c>
      <c r="E2356" t="s">
        <v>28</v>
      </c>
      <c r="F2356" t="s">
        <v>489</v>
      </c>
      <c r="G2356" t="s">
        <v>67</v>
      </c>
      <c r="H2356">
        <v>7</v>
      </c>
      <c r="I2356" s="1">
        <v>10203.4</v>
      </c>
      <c r="J2356" t="s">
        <v>17</v>
      </c>
      <c r="K2356" t="s">
        <v>44</v>
      </c>
      <c r="L2356" t="str" cm="1">
        <f t="array" ref="L2356">_xlfn.IFS(B2356&lt;30,"18-29",B2356&lt;45,"30-44",B2356&lt;60,"45-59",B2356&lt;75,"60-74",B2356&lt;=90,"75-90")</f>
        <v>18-29</v>
      </c>
      <c r="M2356" t="str">
        <f>IF(Table1[[#This Row],[length_of_stay_days]]&gt;7,"Yes","No")</f>
        <v>No</v>
      </c>
    </row>
    <row r="2357" spans="1:13" x14ac:dyDescent="0.3">
      <c r="A2357" t="s">
        <v>2756</v>
      </c>
      <c r="B2357">
        <v>27</v>
      </c>
      <c r="C2357" t="s">
        <v>12</v>
      </c>
      <c r="D2357" t="s">
        <v>32</v>
      </c>
      <c r="E2357" t="s">
        <v>28</v>
      </c>
      <c r="F2357" t="s">
        <v>941</v>
      </c>
      <c r="G2357" t="s">
        <v>396</v>
      </c>
      <c r="H2357">
        <v>5</v>
      </c>
      <c r="I2357" s="1">
        <v>10133.959999999999</v>
      </c>
      <c r="J2357" t="s">
        <v>17</v>
      </c>
      <c r="K2357" t="s">
        <v>18</v>
      </c>
      <c r="L2357" t="str" cm="1">
        <f t="array" ref="L2357">_xlfn.IFS(B2357&lt;30,"18-29",B2357&lt;45,"30-44",B2357&lt;60,"45-59",B2357&lt;75,"60-74",B2357&lt;=90,"75-90")</f>
        <v>18-29</v>
      </c>
      <c r="M2357" t="str">
        <f>IF(Table1[[#This Row],[length_of_stay_days]]&gt;7,"Yes","No")</f>
        <v>No</v>
      </c>
    </row>
    <row r="2358" spans="1:13" x14ac:dyDescent="0.3">
      <c r="A2358" t="s">
        <v>2757</v>
      </c>
      <c r="B2358">
        <v>72</v>
      </c>
      <c r="C2358" t="s">
        <v>20</v>
      </c>
      <c r="D2358" t="s">
        <v>46</v>
      </c>
      <c r="E2358" t="s">
        <v>21</v>
      </c>
      <c r="F2358" t="s">
        <v>807</v>
      </c>
      <c r="G2358" t="s">
        <v>644</v>
      </c>
      <c r="H2358">
        <v>9</v>
      </c>
      <c r="I2358" s="1">
        <v>15678.09</v>
      </c>
      <c r="J2358" t="s">
        <v>49</v>
      </c>
      <c r="K2358" t="s">
        <v>18</v>
      </c>
      <c r="L2358" t="str" cm="1">
        <f t="array" ref="L2358">_xlfn.IFS(B2358&lt;30,"18-29",B2358&lt;45,"30-44",B2358&lt;60,"45-59",B2358&lt;75,"60-74",B2358&lt;=90,"75-90")</f>
        <v>60-74</v>
      </c>
      <c r="M2358" t="str">
        <f>IF(Table1[[#This Row],[length_of_stay_days]]&gt;7,"Yes","No")</f>
        <v>Yes</v>
      </c>
    </row>
    <row r="2359" spans="1:13" x14ac:dyDescent="0.3">
      <c r="A2359" t="s">
        <v>2758</v>
      </c>
      <c r="B2359">
        <v>76</v>
      </c>
      <c r="C2359" t="s">
        <v>20</v>
      </c>
      <c r="D2359" t="s">
        <v>55</v>
      </c>
      <c r="E2359" t="s">
        <v>14</v>
      </c>
      <c r="F2359" t="s">
        <v>596</v>
      </c>
      <c r="G2359" t="s">
        <v>975</v>
      </c>
      <c r="H2359">
        <v>4</v>
      </c>
      <c r="I2359" s="1">
        <v>8620.5400000000009</v>
      </c>
      <c r="J2359" t="s">
        <v>17</v>
      </c>
      <c r="K2359" t="s">
        <v>18</v>
      </c>
      <c r="L2359" t="str" cm="1">
        <f t="array" ref="L2359">_xlfn.IFS(B2359&lt;30,"18-29",B2359&lt;45,"30-44",B2359&lt;60,"45-59",B2359&lt;75,"60-74",B2359&lt;=90,"75-90")</f>
        <v>75-90</v>
      </c>
      <c r="M2359" t="str">
        <f>IF(Table1[[#This Row],[length_of_stay_days]]&gt;7,"Yes","No")</f>
        <v>No</v>
      </c>
    </row>
    <row r="2360" spans="1:13" x14ac:dyDescent="0.3">
      <c r="A2360" t="s">
        <v>2759</v>
      </c>
      <c r="B2360">
        <v>28</v>
      </c>
      <c r="C2360" t="s">
        <v>12</v>
      </c>
      <c r="D2360" t="s">
        <v>55</v>
      </c>
      <c r="E2360" t="s">
        <v>14</v>
      </c>
      <c r="F2360" t="s">
        <v>841</v>
      </c>
      <c r="G2360" t="s">
        <v>348</v>
      </c>
      <c r="H2360">
        <v>4</v>
      </c>
      <c r="I2360" s="1">
        <v>9588.0400000000009</v>
      </c>
      <c r="J2360" t="s">
        <v>17</v>
      </c>
      <c r="K2360" t="s">
        <v>18</v>
      </c>
      <c r="L2360" t="str" cm="1">
        <f t="array" ref="L2360">_xlfn.IFS(B2360&lt;30,"18-29",B2360&lt;45,"30-44",B2360&lt;60,"45-59",B2360&lt;75,"60-74",B2360&lt;=90,"75-90")</f>
        <v>18-29</v>
      </c>
      <c r="M2360" t="str">
        <f>IF(Table1[[#This Row],[length_of_stay_days]]&gt;7,"Yes","No")</f>
        <v>No</v>
      </c>
    </row>
    <row r="2361" spans="1:13" x14ac:dyDescent="0.3">
      <c r="A2361" t="s">
        <v>2760</v>
      </c>
      <c r="B2361">
        <v>46</v>
      </c>
      <c r="C2361" t="s">
        <v>12</v>
      </c>
      <c r="D2361" t="s">
        <v>46</v>
      </c>
      <c r="E2361" t="s">
        <v>28</v>
      </c>
      <c r="F2361" t="s">
        <v>239</v>
      </c>
      <c r="G2361" t="s">
        <v>306</v>
      </c>
      <c r="H2361">
        <v>9</v>
      </c>
      <c r="I2361" s="1">
        <v>13071.27</v>
      </c>
      <c r="J2361" t="s">
        <v>17</v>
      </c>
      <c r="K2361" t="s">
        <v>18</v>
      </c>
      <c r="L2361" t="str" cm="1">
        <f t="array" ref="L2361">_xlfn.IFS(B2361&lt;30,"18-29",B2361&lt;45,"30-44",B2361&lt;60,"45-59",B2361&lt;75,"60-74",B2361&lt;=90,"75-90")</f>
        <v>45-59</v>
      </c>
      <c r="M2361" t="str">
        <f>IF(Table1[[#This Row],[length_of_stay_days]]&gt;7,"Yes","No")</f>
        <v>Yes</v>
      </c>
    </row>
    <row r="2362" spans="1:13" x14ac:dyDescent="0.3">
      <c r="A2362" t="s">
        <v>2761</v>
      </c>
      <c r="B2362">
        <v>68</v>
      </c>
      <c r="C2362" t="s">
        <v>20</v>
      </c>
      <c r="D2362" t="s">
        <v>13</v>
      </c>
      <c r="E2362" t="s">
        <v>14</v>
      </c>
      <c r="F2362" t="s">
        <v>491</v>
      </c>
      <c r="G2362" t="s">
        <v>288</v>
      </c>
      <c r="H2362">
        <v>7</v>
      </c>
      <c r="I2362" s="1">
        <v>8132.86</v>
      </c>
      <c r="J2362" t="s">
        <v>17</v>
      </c>
      <c r="K2362" t="s">
        <v>18</v>
      </c>
      <c r="L2362" t="str" cm="1">
        <f t="array" ref="L2362">_xlfn.IFS(B2362&lt;30,"18-29",B2362&lt;45,"30-44",B2362&lt;60,"45-59",B2362&lt;75,"60-74",B2362&lt;=90,"75-90")</f>
        <v>60-74</v>
      </c>
      <c r="M2362" t="str">
        <f>IF(Table1[[#This Row],[length_of_stay_days]]&gt;7,"Yes","No")</f>
        <v>No</v>
      </c>
    </row>
    <row r="2363" spans="1:13" x14ac:dyDescent="0.3">
      <c r="A2363" t="s">
        <v>2762</v>
      </c>
      <c r="B2363">
        <v>81</v>
      </c>
      <c r="C2363" t="s">
        <v>20</v>
      </c>
      <c r="D2363" t="s">
        <v>28</v>
      </c>
      <c r="E2363" t="s">
        <v>14</v>
      </c>
      <c r="F2363" t="s">
        <v>606</v>
      </c>
      <c r="G2363" t="s">
        <v>361</v>
      </c>
      <c r="H2363">
        <v>1</v>
      </c>
      <c r="I2363" s="1">
        <v>5142.12</v>
      </c>
      <c r="J2363" t="s">
        <v>17</v>
      </c>
      <c r="K2363" t="s">
        <v>18</v>
      </c>
      <c r="L2363" t="str" cm="1">
        <f t="array" ref="L2363">_xlfn.IFS(B2363&lt;30,"18-29",B2363&lt;45,"30-44",B2363&lt;60,"45-59",B2363&lt;75,"60-74",B2363&lt;=90,"75-90")</f>
        <v>75-90</v>
      </c>
      <c r="M2363" t="str">
        <f>IF(Table1[[#This Row],[length_of_stay_days]]&gt;7,"Yes","No")</f>
        <v>No</v>
      </c>
    </row>
    <row r="2364" spans="1:13" x14ac:dyDescent="0.3">
      <c r="A2364" t="s">
        <v>2763</v>
      </c>
      <c r="B2364">
        <v>30</v>
      </c>
      <c r="C2364" t="s">
        <v>20</v>
      </c>
      <c r="D2364" t="s">
        <v>32</v>
      </c>
      <c r="E2364" t="s">
        <v>14</v>
      </c>
      <c r="F2364" t="s">
        <v>783</v>
      </c>
      <c r="G2364" t="s">
        <v>591</v>
      </c>
      <c r="H2364">
        <v>5</v>
      </c>
      <c r="I2364" s="1">
        <v>12468.78</v>
      </c>
      <c r="J2364" t="s">
        <v>17</v>
      </c>
      <c r="K2364" t="s">
        <v>18</v>
      </c>
      <c r="L2364" t="str" cm="1">
        <f t="array" ref="L2364">_xlfn.IFS(B2364&lt;30,"18-29",B2364&lt;45,"30-44",B2364&lt;60,"45-59",B2364&lt;75,"60-74",B2364&lt;=90,"75-90")</f>
        <v>30-44</v>
      </c>
      <c r="M2364" t="str">
        <f>IF(Table1[[#This Row],[length_of_stay_days]]&gt;7,"Yes","No")</f>
        <v>No</v>
      </c>
    </row>
    <row r="2365" spans="1:13" x14ac:dyDescent="0.3">
      <c r="A2365" t="s">
        <v>2764</v>
      </c>
      <c r="B2365">
        <v>57</v>
      </c>
      <c r="C2365" t="s">
        <v>20</v>
      </c>
      <c r="D2365" t="s">
        <v>55</v>
      </c>
      <c r="E2365" t="s">
        <v>28</v>
      </c>
      <c r="F2365" t="s">
        <v>255</v>
      </c>
      <c r="G2365" t="s">
        <v>228</v>
      </c>
      <c r="H2365">
        <v>5</v>
      </c>
      <c r="I2365" s="1">
        <v>9990.75</v>
      </c>
      <c r="J2365" t="s">
        <v>17</v>
      </c>
      <c r="K2365" t="s">
        <v>18</v>
      </c>
      <c r="L2365" t="str" cm="1">
        <f t="array" ref="L2365">_xlfn.IFS(B2365&lt;30,"18-29",B2365&lt;45,"30-44",B2365&lt;60,"45-59",B2365&lt;75,"60-74",B2365&lt;=90,"75-90")</f>
        <v>45-59</v>
      </c>
      <c r="M2365" t="str">
        <f>IF(Table1[[#This Row],[length_of_stay_days]]&gt;7,"Yes","No")</f>
        <v>No</v>
      </c>
    </row>
    <row r="2366" spans="1:13" x14ac:dyDescent="0.3">
      <c r="A2366" t="s">
        <v>2765</v>
      </c>
      <c r="B2366">
        <v>20</v>
      </c>
      <c r="C2366" t="s">
        <v>12</v>
      </c>
      <c r="D2366" t="s">
        <v>46</v>
      </c>
      <c r="E2366" t="s">
        <v>28</v>
      </c>
      <c r="F2366" t="s">
        <v>778</v>
      </c>
      <c r="G2366" t="s">
        <v>458</v>
      </c>
      <c r="H2366">
        <v>6</v>
      </c>
      <c r="I2366" s="1">
        <v>12224.39</v>
      </c>
      <c r="J2366" t="s">
        <v>17</v>
      </c>
      <c r="K2366" t="s">
        <v>18</v>
      </c>
      <c r="L2366" t="str" cm="1">
        <f t="array" ref="L2366">_xlfn.IFS(B2366&lt;30,"18-29",B2366&lt;45,"30-44",B2366&lt;60,"45-59",B2366&lt;75,"60-74",B2366&lt;=90,"75-90")</f>
        <v>18-29</v>
      </c>
      <c r="M2366" t="str">
        <f>IF(Table1[[#This Row],[length_of_stay_days]]&gt;7,"Yes","No")</f>
        <v>No</v>
      </c>
    </row>
    <row r="2367" spans="1:13" x14ac:dyDescent="0.3">
      <c r="A2367" t="s">
        <v>2766</v>
      </c>
      <c r="B2367">
        <v>37</v>
      </c>
      <c r="C2367" t="s">
        <v>12</v>
      </c>
      <c r="D2367" t="s">
        <v>13</v>
      </c>
      <c r="E2367" t="s">
        <v>28</v>
      </c>
      <c r="F2367" t="s">
        <v>491</v>
      </c>
      <c r="G2367" t="s">
        <v>288</v>
      </c>
      <c r="H2367">
        <v>7</v>
      </c>
      <c r="I2367" s="1">
        <v>8819.65</v>
      </c>
      <c r="J2367" t="s">
        <v>17</v>
      </c>
      <c r="K2367" t="s">
        <v>18</v>
      </c>
      <c r="L2367" t="str" cm="1">
        <f t="array" ref="L2367">_xlfn.IFS(B2367&lt;30,"18-29",B2367&lt;45,"30-44",B2367&lt;60,"45-59",B2367&lt;75,"60-74",B2367&lt;=90,"75-90")</f>
        <v>30-44</v>
      </c>
      <c r="M2367" t="str">
        <f>IF(Table1[[#This Row],[length_of_stay_days]]&gt;7,"Yes","No")</f>
        <v>No</v>
      </c>
    </row>
    <row r="2368" spans="1:13" x14ac:dyDescent="0.3">
      <c r="A2368" t="s">
        <v>2767</v>
      </c>
      <c r="B2368">
        <v>38</v>
      </c>
      <c r="C2368" t="s">
        <v>12</v>
      </c>
      <c r="D2368" t="s">
        <v>28</v>
      </c>
      <c r="E2368" t="s">
        <v>21</v>
      </c>
      <c r="F2368" t="s">
        <v>192</v>
      </c>
      <c r="G2368" t="s">
        <v>179</v>
      </c>
      <c r="H2368">
        <v>1</v>
      </c>
      <c r="I2368" s="1">
        <v>3547.91</v>
      </c>
      <c r="J2368" t="s">
        <v>17</v>
      </c>
      <c r="K2368" t="s">
        <v>18</v>
      </c>
      <c r="L2368" t="str" cm="1">
        <f t="array" ref="L2368">_xlfn.IFS(B2368&lt;30,"18-29",B2368&lt;45,"30-44",B2368&lt;60,"45-59",B2368&lt;75,"60-74",B2368&lt;=90,"75-90")</f>
        <v>30-44</v>
      </c>
      <c r="M2368" t="str">
        <f>IF(Table1[[#This Row],[length_of_stay_days]]&gt;7,"Yes","No")</f>
        <v>No</v>
      </c>
    </row>
    <row r="2369" spans="1:13" x14ac:dyDescent="0.3">
      <c r="A2369" t="s">
        <v>2768</v>
      </c>
      <c r="B2369">
        <v>63</v>
      </c>
      <c r="C2369" t="s">
        <v>70</v>
      </c>
      <c r="D2369" t="s">
        <v>51</v>
      </c>
      <c r="E2369" t="s">
        <v>28</v>
      </c>
      <c r="F2369" t="s">
        <v>207</v>
      </c>
      <c r="H2369">
        <v>6</v>
      </c>
      <c r="I2369" s="1">
        <v>13287.44</v>
      </c>
      <c r="J2369" t="s">
        <v>17</v>
      </c>
      <c r="K2369" t="s">
        <v>18</v>
      </c>
      <c r="L2369" t="str" cm="1">
        <f t="array" ref="L2369">_xlfn.IFS(B2369&lt;30,"18-29",B2369&lt;45,"30-44",B2369&lt;60,"45-59",B2369&lt;75,"60-74",B2369&lt;=90,"75-90")</f>
        <v>60-74</v>
      </c>
      <c r="M2369" t="str">
        <f>IF(Table1[[#This Row],[length_of_stay_days]]&gt;7,"Yes","No")</f>
        <v>No</v>
      </c>
    </row>
    <row r="2370" spans="1:13" x14ac:dyDescent="0.3">
      <c r="A2370" t="s">
        <v>2769</v>
      </c>
      <c r="B2370">
        <v>82</v>
      </c>
      <c r="C2370" t="s">
        <v>20</v>
      </c>
      <c r="D2370" t="s">
        <v>46</v>
      </c>
      <c r="E2370" t="s">
        <v>28</v>
      </c>
      <c r="F2370" t="s">
        <v>92</v>
      </c>
      <c r="G2370" t="s">
        <v>275</v>
      </c>
      <c r="H2370">
        <v>7</v>
      </c>
      <c r="I2370" s="1">
        <v>16375.58</v>
      </c>
      <c r="J2370" t="s">
        <v>17</v>
      </c>
      <c r="K2370" t="s">
        <v>18</v>
      </c>
      <c r="L2370" t="str" cm="1">
        <f t="array" ref="L2370">_xlfn.IFS(B2370&lt;30,"18-29",B2370&lt;45,"30-44",B2370&lt;60,"45-59",B2370&lt;75,"60-74",B2370&lt;=90,"75-90")</f>
        <v>75-90</v>
      </c>
      <c r="M2370" t="str">
        <f>IF(Table1[[#This Row],[length_of_stay_days]]&gt;7,"Yes","No")</f>
        <v>No</v>
      </c>
    </row>
    <row r="2371" spans="1:13" x14ac:dyDescent="0.3">
      <c r="A2371" t="s">
        <v>2770</v>
      </c>
      <c r="B2371">
        <v>30</v>
      </c>
      <c r="C2371" t="s">
        <v>12</v>
      </c>
      <c r="D2371" t="s">
        <v>13</v>
      </c>
      <c r="E2371" t="s">
        <v>28</v>
      </c>
      <c r="F2371" t="s">
        <v>174</v>
      </c>
      <c r="G2371" t="s">
        <v>322</v>
      </c>
      <c r="H2371">
        <v>2</v>
      </c>
      <c r="I2371" s="1">
        <v>3956.14</v>
      </c>
      <c r="J2371" t="s">
        <v>17</v>
      </c>
      <c r="K2371" t="s">
        <v>18</v>
      </c>
      <c r="L2371" t="str" cm="1">
        <f t="array" ref="L2371">_xlfn.IFS(B2371&lt;30,"18-29",B2371&lt;45,"30-44",B2371&lt;60,"45-59",B2371&lt;75,"60-74",B2371&lt;=90,"75-90")</f>
        <v>30-44</v>
      </c>
      <c r="M2371" t="str">
        <f>IF(Table1[[#This Row],[length_of_stay_days]]&gt;7,"Yes","No")</f>
        <v>No</v>
      </c>
    </row>
    <row r="2372" spans="1:13" x14ac:dyDescent="0.3">
      <c r="A2372" t="s">
        <v>2771</v>
      </c>
      <c r="B2372">
        <v>71</v>
      </c>
      <c r="C2372" t="s">
        <v>20</v>
      </c>
      <c r="D2372" t="s">
        <v>28</v>
      </c>
      <c r="E2372" t="s">
        <v>21</v>
      </c>
      <c r="F2372" t="s">
        <v>141</v>
      </c>
      <c r="G2372" t="s">
        <v>341</v>
      </c>
      <c r="H2372">
        <v>6</v>
      </c>
      <c r="I2372" s="1">
        <v>8310.4500000000007</v>
      </c>
      <c r="J2372" t="s">
        <v>17</v>
      </c>
      <c r="K2372" t="s">
        <v>18</v>
      </c>
      <c r="L2372" t="str" cm="1">
        <f t="array" ref="L2372">_xlfn.IFS(B2372&lt;30,"18-29",B2372&lt;45,"30-44",B2372&lt;60,"45-59",B2372&lt;75,"60-74",B2372&lt;=90,"75-90")</f>
        <v>60-74</v>
      </c>
      <c r="M2372" t="str">
        <f>IF(Table1[[#This Row],[length_of_stay_days]]&gt;7,"Yes","No")</f>
        <v>No</v>
      </c>
    </row>
    <row r="2373" spans="1:13" x14ac:dyDescent="0.3">
      <c r="A2373" t="s">
        <v>2772</v>
      </c>
      <c r="B2373">
        <v>44</v>
      </c>
      <c r="C2373" t="s">
        <v>12</v>
      </c>
      <c r="D2373" t="s">
        <v>32</v>
      </c>
      <c r="E2373" t="s">
        <v>14</v>
      </c>
      <c r="F2373" t="s">
        <v>168</v>
      </c>
      <c r="G2373" t="s">
        <v>169</v>
      </c>
      <c r="H2373">
        <v>6</v>
      </c>
      <c r="I2373" s="1">
        <v>10394.06</v>
      </c>
      <c r="J2373" t="s">
        <v>49</v>
      </c>
      <c r="K2373" t="s">
        <v>18</v>
      </c>
      <c r="L2373" t="str" cm="1">
        <f t="array" ref="L2373">_xlfn.IFS(B2373&lt;30,"18-29",B2373&lt;45,"30-44",B2373&lt;60,"45-59",B2373&lt;75,"60-74",B2373&lt;=90,"75-90")</f>
        <v>30-44</v>
      </c>
      <c r="M2373" t="str">
        <f>IF(Table1[[#This Row],[length_of_stay_days]]&gt;7,"Yes","No")</f>
        <v>No</v>
      </c>
    </row>
    <row r="2374" spans="1:13" x14ac:dyDescent="0.3">
      <c r="A2374" t="s">
        <v>2773</v>
      </c>
      <c r="B2374">
        <v>73</v>
      </c>
      <c r="C2374" t="s">
        <v>12</v>
      </c>
      <c r="D2374" t="s">
        <v>28</v>
      </c>
      <c r="E2374" t="s">
        <v>21</v>
      </c>
      <c r="F2374" t="s">
        <v>62</v>
      </c>
      <c r="G2374" t="s">
        <v>543</v>
      </c>
      <c r="H2374">
        <v>4</v>
      </c>
      <c r="I2374" s="1">
        <v>6387.6</v>
      </c>
      <c r="J2374" t="s">
        <v>49</v>
      </c>
      <c r="K2374" t="s">
        <v>18</v>
      </c>
      <c r="L2374" t="str" cm="1">
        <f t="array" ref="L2374">_xlfn.IFS(B2374&lt;30,"18-29",B2374&lt;45,"30-44",B2374&lt;60,"45-59",B2374&lt;75,"60-74",B2374&lt;=90,"75-90")</f>
        <v>60-74</v>
      </c>
      <c r="M2374" t="str">
        <f>IF(Table1[[#This Row],[length_of_stay_days]]&gt;7,"Yes","No")</f>
        <v>No</v>
      </c>
    </row>
    <row r="2375" spans="1:13" x14ac:dyDescent="0.3">
      <c r="A2375" t="s">
        <v>2774</v>
      </c>
      <c r="B2375">
        <v>51</v>
      </c>
      <c r="C2375" t="s">
        <v>20</v>
      </c>
      <c r="D2375" t="s">
        <v>55</v>
      </c>
      <c r="E2375" t="s">
        <v>28</v>
      </c>
      <c r="F2375" t="s">
        <v>25</v>
      </c>
      <c r="G2375" t="s">
        <v>108</v>
      </c>
      <c r="H2375">
        <v>5</v>
      </c>
      <c r="I2375" s="1">
        <v>6225.97</v>
      </c>
      <c r="J2375" t="s">
        <v>17</v>
      </c>
      <c r="K2375" t="s">
        <v>18</v>
      </c>
      <c r="L2375" t="str" cm="1">
        <f t="array" ref="L2375">_xlfn.IFS(B2375&lt;30,"18-29",B2375&lt;45,"30-44",B2375&lt;60,"45-59",B2375&lt;75,"60-74",B2375&lt;=90,"75-90")</f>
        <v>45-59</v>
      </c>
      <c r="M2375" t="str">
        <f>IF(Table1[[#This Row],[length_of_stay_days]]&gt;7,"Yes","No")</f>
        <v>No</v>
      </c>
    </row>
    <row r="2376" spans="1:13" x14ac:dyDescent="0.3">
      <c r="A2376" t="s">
        <v>2775</v>
      </c>
      <c r="B2376">
        <v>60</v>
      </c>
      <c r="C2376" t="s">
        <v>20</v>
      </c>
      <c r="D2376" t="s">
        <v>28</v>
      </c>
      <c r="E2376" t="s">
        <v>14</v>
      </c>
      <c r="F2376" t="s">
        <v>179</v>
      </c>
      <c r="G2376" t="s">
        <v>496</v>
      </c>
      <c r="H2376">
        <v>1</v>
      </c>
      <c r="I2376" s="1">
        <v>5235.24</v>
      </c>
      <c r="J2376" t="s">
        <v>17</v>
      </c>
      <c r="K2376" t="s">
        <v>18</v>
      </c>
      <c r="L2376" t="str" cm="1">
        <f t="array" ref="L2376">_xlfn.IFS(B2376&lt;30,"18-29",B2376&lt;45,"30-44",B2376&lt;60,"45-59",B2376&lt;75,"60-74",B2376&lt;=90,"75-90")</f>
        <v>60-74</v>
      </c>
      <c r="M2376" t="str">
        <f>IF(Table1[[#This Row],[length_of_stay_days]]&gt;7,"Yes","No")</f>
        <v>No</v>
      </c>
    </row>
    <row r="2377" spans="1:13" x14ac:dyDescent="0.3">
      <c r="A2377" t="s">
        <v>2776</v>
      </c>
      <c r="B2377">
        <v>65</v>
      </c>
      <c r="C2377" t="s">
        <v>20</v>
      </c>
      <c r="D2377" t="s">
        <v>55</v>
      </c>
      <c r="E2377" t="s">
        <v>14</v>
      </c>
      <c r="F2377" t="s">
        <v>108</v>
      </c>
      <c r="G2377" t="s">
        <v>286</v>
      </c>
      <c r="H2377">
        <v>4</v>
      </c>
      <c r="I2377" s="1">
        <v>8473.31</v>
      </c>
      <c r="J2377" t="s">
        <v>17</v>
      </c>
      <c r="K2377" t="s">
        <v>18</v>
      </c>
      <c r="L2377" t="str" cm="1">
        <f t="array" ref="L2377">_xlfn.IFS(B2377&lt;30,"18-29",B2377&lt;45,"30-44",B2377&lt;60,"45-59",B2377&lt;75,"60-74",B2377&lt;=90,"75-90")</f>
        <v>60-74</v>
      </c>
      <c r="M2377" t="str">
        <f>IF(Table1[[#This Row],[length_of_stay_days]]&gt;7,"Yes","No")</f>
        <v>No</v>
      </c>
    </row>
    <row r="2378" spans="1:13" x14ac:dyDescent="0.3">
      <c r="A2378" t="s">
        <v>2777</v>
      </c>
      <c r="B2378">
        <v>24</v>
      </c>
      <c r="C2378" t="s">
        <v>12</v>
      </c>
      <c r="D2378" t="s">
        <v>13</v>
      </c>
      <c r="E2378" t="s">
        <v>14</v>
      </c>
      <c r="F2378" t="s">
        <v>163</v>
      </c>
      <c r="G2378" t="s">
        <v>322</v>
      </c>
      <c r="H2378">
        <v>3</v>
      </c>
      <c r="I2378" s="1">
        <v>3862.78</v>
      </c>
      <c r="J2378" t="s">
        <v>49</v>
      </c>
      <c r="K2378" t="s">
        <v>18</v>
      </c>
      <c r="L2378" t="str" cm="1">
        <f t="array" ref="L2378">_xlfn.IFS(B2378&lt;30,"18-29",B2378&lt;45,"30-44",B2378&lt;60,"45-59",B2378&lt;75,"60-74",B2378&lt;=90,"75-90")</f>
        <v>18-29</v>
      </c>
      <c r="M2378" t="str">
        <f>IF(Table1[[#This Row],[length_of_stay_days]]&gt;7,"Yes","No")</f>
        <v>No</v>
      </c>
    </row>
    <row r="2379" spans="1:13" x14ac:dyDescent="0.3">
      <c r="A2379" t="s">
        <v>2778</v>
      </c>
      <c r="B2379">
        <v>88</v>
      </c>
      <c r="C2379" t="s">
        <v>12</v>
      </c>
      <c r="D2379" t="s">
        <v>51</v>
      </c>
      <c r="E2379" t="s">
        <v>28</v>
      </c>
      <c r="F2379" t="s">
        <v>132</v>
      </c>
      <c r="G2379" t="s">
        <v>133</v>
      </c>
      <c r="H2379">
        <v>9</v>
      </c>
      <c r="I2379" s="1">
        <v>11312.57</v>
      </c>
      <c r="J2379" t="s">
        <v>17</v>
      </c>
      <c r="K2379" t="s">
        <v>223</v>
      </c>
      <c r="L2379" t="str" cm="1">
        <f t="array" ref="L2379">_xlfn.IFS(B2379&lt;30,"18-29",B2379&lt;45,"30-44",B2379&lt;60,"45-59",B2379&lt;75,"60-74",B2379&lt;=90,"75-90")</f>
        <v>75-90</v>
      </c>
      <c r="M2379" t="str">
        <f>IF(Table1[[#This Row],[length_of_stay_days]]&gt;7,"Yes","No")</f>
        <v>Yes</v>
      </c>
    </row>
    <row r="2380" spans="1:13" x14ac:dyDescent="0.3">
      <c r="A2380" t="s">
        <v>2779</v>
      </c>
      <c r="B2380">
        <v>70</v>
      </c>
      <c r="C2380" t="s">
        <v>12</v>
      </c>
      <c r="D2380" t="s">
        <v>13</v>
      </c>
      <c r="E2380" t="s">
        <v>21</v>
      </c>
      <c r="F2380" t="s">
        <v>523</v>
      </c>
      <c r="G2380" t="s">
        <v>623</v>
      </c>
      <c r="H2380">
        <v>7</v>
      </c>
      <c r="I2380" s="1">
        <v>8736.7999999999993</v>
      </c>
      <c r="J2380" t="s">
        <v>49</v>
      </c>
      <c r="K2380" t="s">
        <v>18</v>
      </c>
      <c r="L2380" t="str" cm="1">
        <f t="array" ref="L2380">_xlfn.IFS(B2380&lt;30,"18-29",B2380&lt;45,"30-44",B2380&lt;60,"45-59",B2380&lt;75,"60-74",B2380&lt;=90,"75-90")</f>
        <v>60-74</v>
      </c>
      <c r="M2380" t="str">
        <f>IF(Table1[[#This Row],[length_of_stay_days]]&gt;7,"Yes","No")</f>
        <v>No</v>
      </c>
    </row>
    <row r="2381" spans="1:13" x14ac:dyDescent="0.3">
      <c r="A2381" t="s">
        <v>2780</v>
      </c>
      <c r="B2381">
        <v>58</v>
      </c>
      <c r="C2381" t="s">
        <v>12</v>
      </c>
      <c r="D2381" t="s">
        <v>51</v>
      </c>
      <c r="E2381" t="s">
        <v>28</v>
      </c>
      <c r="F2381" t="s">
        <v>203</v>
      </c>
      <c r="G2381" t="s">
        <v>478</v>
      </c>
      <c r="H2381">
        <v>3</v>
      </c>
      <c r="I2381" s="1">
        <v>10051.129999999999</v>
      </c>
      <c r="J2381" t="s">
        <v>49</v>
      </c>
      <c r="K2381" t="s">
        <v>18</v>
      </c>
      <c r="L2381" t="str" cm="1">
        <f t="array" ref="L2381">_xlfn.IFS(B2381&lt;30,"18-29",B2381&lt;45,"30-44",B2381&lt;60,"45-59",B2381&lt;75,"60-74",B2381&lt;=90,"75-90")</f>
        <v>45-59</v>
      </c>
      <c r="M2381" t="str">
        <f>IF(Table1[[#This Row],[length_of_stay_days]]&gt;7,"Yes","No")</f>
        <v>No</v>
      </c>
    </row>
    <row r="2382" spans="1:13" x14ac:dyDescent="0.3">
      <c r="A2382" t="s">
        <v>2781</v>
      </c>
      <c r="B2382">
        <v>43</v>
      </c>
      <c r="C2382" t="s">
        <v>12</v>
      </c>
      <c r="D2382" t="s">
        <v>55</v>
      </c>
      <c r="E2382" t="s">
        <v>14</v>
      </c>
      <c r="F2382" t="s">
        <v>264</v>
      </c>
      <c r="G2382" t="s">
        <v>898</v>
      </c>
      <c r="H2382">
        <v>4</v>
      </c>
      <c r="I2382" s="1">
        <v>10594.73</v>
      </c>
      <c r="J2382" t="s">
        <v>17</v>
      </c>
      <c r="K2382" t="s">
        <v>18</v>
      </c>
      <c r="L2382" t="str" cm="1">
        <f t="array" ref="L2382">_xlfn.IFS(B2382&lt;30,"18-29",B2382&lt;45,"30-44",B2382&lt;60,"45-59",B2382&lt;75,"60-74",B2382&lt;=90,"75-90")</f>
        <v>30-44</v>
      </c>
      <c r="M2382" t="str">
        <f>IF(Table1[[#This Row],[length_of_stay_days]]&gt;7,"Yes","No")</f>
        <v>No</v>
      </c>
    </row>
    <row r="2383" spans="1:13" x14ac:dyDescent="0.3">
      <c r="A2383" t="s">
        <v>2782</v>
      </c>
      <c r="B2383">
        <v>40</v>
      </c>
      <c r="C2383" t="s">
        <v>20</v>
      </c>
      <c r="D2383" t="s">
        <v>28</v>
      </c>
      <c r="E2383" t="s">
        <v>21</v>
      </c>
      <c r="F2383" t="s">
        <v>701</v>
      </c>
      <c r="G2383" t="s">
        <v>16</v>
      </c>
      <c r="H2383">
        <v>3</v>
      </c>
      <c r="I2383" s="1">
        <v>1427.33</v>
      </c>
      <c r="J2383" t="s">
        <v>49</v>
      </c>
      <c r="K2383" t="s">
        <v>18</v>
      </c>
      <c r="L2383" t="str" cm="1">
        <f t="array" ref="L2383">_xlfn.IFS(B2383&lt;30,"18-29",B2383&lt;45,"30-44",B2383&lt;60,"45-59",B2383&lt;75,"60-74",B2383&lt;=90,"75-90")</f>
        <v>30-44</v>
      </c>
      <c r="M2383" t="str">
        <f>IF(Table1[[#This Row],[length_of_stay_days]]&gt;7,"Yes","No")</f>
        <v>No</v>
      </c>
    </row>
    <row r="2384" spans="1:13" x14ac:dyDescent="0.3">
      <c r="A2384" t="s">
        <v>2783</v>
      </c>
      <c r="B2384">
        <v>35</v>
      </c>
      <c r="C2384" t="s">
        <v>12</v>
      </c>
      <c r="D2384" t="s">
        <v>13</v>
      </c>
      <c r="E2384" t="s">
        <v>14</v>
      </c>
      <c r="F2384" t="s">
        <v>42</v>
      </c>
      <c r="G2384" t="s">
        <v>314</v>
      </c>
      <c r="H2384">
        <v>5</v>
      </c>
      <c r="I2384" s="1">
        <v>8133.04</v>
      </c>
      <c r="J2384" t="s">
        <v>17</v>
      </c>
      <c r="K2384" t="s">
        <v>18</v>
      </c>
      <c r="L2384" t="str" cm="1">
        <f t="array" ref="L2384">_xlfn.IFS(B2384&lt;30,"18-29",B2384&lt;45,"30-44",B2384&lt;60,"45-59",B2384&lt;75,"60-74",B2384&lt;=90,"75-90")</f>
        <v>30-44</v>
      </c>
      <c r="M2384" t="str">
        <f>IF(Table1[[#This Row],[length_of_stay_days]]&gt;7,"Yes","No")</f>
        <v>No</v>
      </c>
    </row>
    <row r="2385" spans="1:13" x14ac:dyDescent="0.3">
      <c r="A2385" t="s">
        <v>2784</v>
      </c>
      <c r="B2385">
        <v>22</v>
      </c>
      <c r="C2385" t="s">
        <v>12</v>
      </c>
      <c r="D2385" t="s">
        <v>46</v>
      </c>
      <c r="E2385" t="s">
        <v>21</v>
      </c>
      <c r="F2385" t="s">
        <v>449</v>
      </c>
      <c r="G2385" t="s">
        <v>40</v>
      </c>
      <c r="H2385">
        <v>6</v>
      </c>
      <c r="I2385" s="1">
        <v>12318.1</v>
      </c>
      <c r="J2385" t="s">
        <v>17</v>
      </c>
      <c r="K2385" t="s">
        <v>18</v>
      </c>
      <c r="L2385" t="str" cm="1">
        <f t="array" ref="L2385">_xlfn.IFS(B2385&lt;30,"18-29",B2385&lt;45,"30-44",B2385&lt;60,"45-59",B2385&lt;75,"60-74",B2385&lt;=90,"75-90")</f>
        <v>18-29</v>
      </c>
      <c r="M2385" t="str">
        <f>IF(Table1[[#This Row],[length_of_stay_days]]&gt;7,"Yes","No")</f>
        <v>No</v>
      </c>
    </row>
    <row r="2386" spans="1:13" x14ac:dyDescent="0.3">
      <c r="A2386" t="s">
        <v>2785</v>
      </c>
      <c r="B2386">
        <v>61</v>
      </c>
      <c r="C2386" t="s">
        <v>20</v>
      </c>
      <c r="D2386" t="s">
        <v>32</v>
      </c>
      <c r="E2386" t="s">
        <v>28</v>
      </c>
      <c r="F2386" t="s">
        <v>168</v>
      </c>
      <c r="G2386" t="s">
        <v>114</v>
      </c>
      <c r="H2386">
        <v>8</v>
      </c>
      <c r="I2386" s="1">
        <v>9013.6</v>
      </c>
      <c r="J2386" t="s">
        <v>49</v>
      </c>
      <c r="K2386" t="s">
        <v>18</v>
      </c>
      <c r="L2386" t="str" cm="1">
        <f t="array" ref="L2386">_xlfn.IFS(B2386&lt;30,"18-29",B2386&lt;45,"30-44",B2386&lt;60,"45-59",B2386&lt;75,"60-74",B2386&lt;=90,"75-90")</f>
        <v>60-74</v>
      </c>
      <c r="M2386" t="str">
        <f>IF(Table1[[#This Row],[length_of_stay_days]]&gt;7,"Yes","No")</f>
        <v>Yes</v>
      </c>
    </row>
    <row r="2387" spans="1:13" x14ac:dyDescent="0.3">
      <c r="A2387" t="s">
        <v>2786</v>
      </c>
      <c r="B2387">
        <v>80</v>
      </c>
      <c r="C2387" t="s">
        <v>20</v>
      </c>
      <c r="D2387" t="s">
        <v>28</v>
      </c>
      <c r="E2387" t="s">
        <v>28</v>
      </c>
      <c r="F2387" t="s">
        <v>154</v>
      </c>
      <c r="G2387" t="s">
        <v>121</v>
      </c>
      <c r="H2387">
        <v>4</v>
      </c>
      <c r="I2387" s="1">
        <v>5938.71</v>
      </c>
      <c r="J2387" t="s">
        <v>17</v>
      </c>
      <c r="K2387" t="s">
        <v>18</v>
      </c>
      <c r="L2387" t="str" cm="1">
        <f t="array" ref="L2387">_xlfn.IFS(B2387&lt;30,"18-29",B2387&lt;45,"30-44",B2387&lt;60,"45-59",B2387&lt;75,"60-74",B2387&lt;=90,"75-90")</f>
        <v>75-90</v>
      </c>
      <c r="M2387" t="str">
        <f>IF(Table1[[#This Row],[length_of_stay_days]]&gt;7,"Yes","No")</f>
        <v>No</v>
      </c>
    </row>
    <row r="2388" spans="1:13" x14ac:dyDescent="0.3">
      <c r="A2388" t="s">
        <v>2787</v>
      </c>
      <c r="B2388">
        <v>69</v>
      </c>
      <c r="C2388" t="s">
        <v>20</v>
      </c>
      <c r="D2388" t="s">
        <v>13</v>
      </c>
      <c r="E2388" t="s">
        <v>14</v>
      </c>
      <c r="F2388" t="s">
        <v>37</v>
      </c>
      <c r="G2388" t="s">
        <v>555</v>
      </c>
      <c r="H2388">
        <v>4</v>
      </c>
      <c r="I2388" s="1">
        <v>4587.7700000000004</v>
      </c>
      <c r="J2388" t="s">
        <v>17</v>
      </c>
      <c r="K2388" t="s">
        <v>44</v>
      </c>
      <c r="L2388" t="str" cm="1">
        <f t="array" ref="L2388">_xlfn.IFS(B2388&lt;30,"18-29",B2388&lt;45,"30-44",B2388&lt;60,"45-59",B2388&lt;75,"60-74",B2388&lt;=90,"75-90")</f>
        <v>60-74</v>
      </c>
      <c r="M2388" t="str">
        <f>IF(Table1[[#This Row],[length_of_stay_days]]&gt;7,"Yes","No")</f>
        <v>No</v>
      </c>
    </row>
    <row r="2389" spans="1:13" x14ac:dyDescent="0.3">
      <c r="A2389" t="s">
        <v>2788</v>
      </c>
      <c r="B2389">
        <v>88</v>
      </c>
      <c r="C2389" t="s">
        <v>20</v>
      </c>
      <c r="D2389" t="s">
        <v>13</v>
      </c>
      <c r="E2389" t="s">
        <v>28</v>
      </c>
      <c r="F2389" t="s">
        <v>201</v>
      </c>
      <c r="G2389" t="s">
        <v>157</v>
      </c>
      <c r="H2389">
        <v>6</v>
      </c>
      <c r="I2389" s="1">
        <v>5198.18</v>
      </c>
      <c r="J2389" t="s">
        <v>49</v>
      </c>
      <c r="K2389" t="s">
        <v>18</v>
      </c>
      <c r="L2389" t="str" cm="1">
        <f t="array" ref="L2389">_xlfn.IFS(B2389&lt;30,"18-29",B2389&lt;45,"30-44",B2389&lt;60,"45-59",B2389&lt;75,"60-74",B2389&lt;=90,"75-90")</f>
        <v>75-90</v>
      </c>
      <c r="M2389" t="str">
        <f>IF(Table1[[#This Row],[length_of_stay_days]]&gt;7,"Yes","No")</f>
        <v>No</v>
      </c>
    </row>
    <row r="2390" spans="1:13" x14ac:dyDescent="0.3">
      <c r="A2390" t="s">
        <v>2789</v>
      </c>
      <c r="B2390">
        <v>65</v>
      </c>
      <c r="C2390" t="s">
        <v>12</v>
      </c>
      <c r="D2390" t="s">
        <v>13</v>
      </c>
      <c r="E2390" t="s">
        <v>28</v>
      </c>
      <c r="F2390" t="s">
        <v>62</v>
      </c>
      <c r="G2390" t="s">
        <v>314</v>
      </c>
      <c r="H2390">
        <v>6</v>
      </c>
      <c r="I2390" s="1">
        <v>8333.8700000000008</v>
      </c>
      <c r="J2390" t="s">
        <v>17</v>
      </c>
      <c r="K2390" t="s">
        <v>18</v>
      </c>
      <c r="L2390" t="str" cm="1">
        <f t="array" ref="L2390">_xlfn.IFS(B2390&lt;30,"18-29",B2390&lt;45,"30-44",B2390&lt;60,"45-59",B2390&lt;75,"60-74",B2390&lt;=90,"75-90")</f>
        <v>60-74</v>
      </c>
      <c r="M2390" t="str">
        <f>IF(Table1[[#This Row],[length_of_stay_days]]&gt;7,"Yes","No")</f>
        <v>No</v>
      </c>
    </row>
    <row r="2391" spans="1:13" x14ac:dyDescent="0.3">
      <c r="A2391" t="s">
        <v>2790</v>
      </c>
      <c r="B2391">
        <v>40</v>
      </c>
      <c r="C2391" t="s">
        <v>20</v>
      </c>
      <c r="D2391" t="s">
        <v>28</v>
      </c>
      <c r="E2391" t="s">
        <v>14</v>
      </c>
      <c r="F2391" t="s">
        <v>762</v>
      </c>
      <c r="G2391" t="s">
        <v>173</v>
      </c>
      <c r="H2391">
        <v>1</v>
      </c>
      <c r="I2391" s="1">
        <v>3320.12</v>
      </c>
      <c r="J2391" t="s">
        <v>17</v>
      </c>
      <c r="K2391" t="s">
        <v>18</v>
      </c>
      <c r="L2391" t="str" cm="1">
        <f t="array" ref="L2391">_xlfn.IFS(B2391&lt;30,"18-29",B2391&lt;45,"30-44",B2391&lt;60,"45-59",B2391&lt;75,"60-74",B2391&lt;=90,"75-90")</f>
        <v>30-44</v>
      </c>
      <c r="M2391" t="str">
        <f>IF(Table1[[#This Row],[length_of_stay_days]]&gt;7,"Yes","No")</f>
        <v>No</v>
      </c>
    </row>
    <row r="2392" spans="1:13" x14ac:dyDescent="0.3">
      <c r="A2392" t="s">
        <v>2791</v>
      </c>
      <c r="B2392">
        <v>27</v>
      </c>
      <c r="C2392" t="s">
        <v>12</v>
      </c>
      <c r="D2392" t="s">
        <v>28</v>
      </c>
      <c r="E2392" t="s">
        <v>21</v>
      </c>
      <c r="F2392" t="s">
        <v>71</v>
      </c>
      <c r="G2392" t="s">
        <v>712</v>
      </c>
      <c r="H2392">
        <v>4</v>
      </c>
      <c r="I2392" s="1">
        <v>5827.77</v>
      </c>
      <c r="J2392" t="s">
        <v>17</v>
      </c>
      <c r="K2392" t="s">
        <v>18</v>
      </c>
      <c r="L2392" t="str" cm="1">
        <f t="array" ref="L2392">_xlfn.IFS(B2392&lt;30,"18-29",B2392&lt;45,"30-44",B2392&lt;60,"45-59",B2392&lt;75,"60-74",B2392&lt;=90,"75-90")</f>
        <v>18-29</v>
      </c>
      <c r="M2392" t="str">
        <f>IF(Table1[[#This Row],[length_of_stay_days]]&gt;7,"Yes","No")</f>
        <v>No</v>
      </c>
    </row>
    <row r="2393" spans="1:13" x14ac:dyDescent="0.3">
      <c r="A2393" t="s">
        <v>2792</v>
      </c>
      <c r="B2393">
        <v>90</v>
      </c>
      <c r="C2393" t="s">
        <v>20</v>
      </c>
      <c r="D2393" t="s">
        <v>32</v>
      </c>
      <c r="E2393" t="s">
        <v>28</v>
      </c>
      <c r="F2393" t="s">
        <v>208</v>
      </c>
      <c r="G2393" t="s">
        <v>255</v>
      </c>
      <c r="H2393">
        <v>8</v>
      </c>
      <c r="I2393" s="1">
        <v>12987.84</v>
      </c>
      <c r="J2393" t="s">
        <v>17</v>
      </c>
      <c r="K2393" t="s">
        <v>18</v>
      </c>
      <c r="L2393" t="str" cm="1">
        <f t="array" ref="L2393">_xlfn.IFS(B2393&lt;30,"18-29",B2393&lt;45,"30-44",B2393&lt;60,"45-59",B2393&lt;75,"60-74",B2393&lt;=90,"75-90")</f>
        <v>75-90</v>
      </c>
      <c r="M2393" t="str">
        <f>IF(Table1[[#This Row],[length_of_stay_days]]&gt;7,"Yes","No")</f>
        <v>Yes</v>
      </c>
    </row>
    <row r="2394" spans="1:13" x14ac:dyDescent="0.3">
      <c r="A2394" t="s">
        <v>2793</v>
      </c>
      <c r="B2394">
        <v>45</v>
      </c>
      <c r="C2394" t="s">
        <v>20</v>
      </c>
      <c r="D2394" t="s">
        <v>28</v>
      </c>
      <c r="E2394" t="s">
        <v>28</v>
      </c>
      <c r="F2394" t="s">
        <v>163</v>
      </c>
      <c r="G2394" t="s">
        <v>259</v>
      </c>
      <c r="H2394">
        <v>6</v>
      </c>
      <c r="I2394" s="1">
        <v>7166.89</v>
      </c>
      <c r="J2394" t="s">
        <v>17</v>
      </c>
      <c r="K2394" t="s">
        <v>18</v>
      </c>
      <c r="L2394" t="str" cm="1">
        <f t="array" ref="L2394">_xlfn.IFS(B2394&lt;30,"18-29",B2394&lt;45,"30-44",B2394&lt;60,"45-59",B2394&lt;75,"60-74",B2394&lt;=90,"75-90")</f>
        <v>45-59</v>
      </c>
      <c r="M2394" t="str">
        <f>IF(Table1[[#This Row],[length_of_stay_days]]&gt;7,"Yes","No")</f>
        <v>No</v>
      </c>
    </row>
    <row r="2395" spans="1:13" x14ac:dyDescent="0.3">
      <c r="A2395" t="s">
        <v>2794</v>
      </c>
      <c r="B2395">
        <v>41</v>
      </c>
      <c r="C2395" t="s">
        <v>20</v>
      </c>
      <c r="D2395" t="s">
        <v>13</v>
      </c>
      <c r="E2395" t="s">
        <v>28</v>
      </c>
      <c r="F2395" t="s">
        <v>283</v>
      </c>
      <c r="G2395" t="s">
        <v>841</v>
      </c>
      <c r="H2395">
        <v>5</v>
      </c>
      <c r="I2395" s="1">
        <v>7434.33</v>
      </c>
      <c r="J2395" t="s">
        <v>17</v>
      </c>
      <c r="K2395" t="s">
        <v>18</v>
      </c>
      <c r="L2395" t="str" cm="1">
        <f t="array" ref="L2395">_xlfn.IFS(B2395&lt;30,"18-29",B2395&lt;45,"30-44",B2395&lt;60,"45-59",B2395&lt;75,"60-74",B2395&lt;=90,"75-90")</f>
        <v>30-44</v>
      </c>
      <c r="M2395" t="str">
        <f>IF(Table1[[#This Row],[length_of_stay_days]]&gt;7,"Yes","No")</f>
        <v>No</v>
      </c>
    </row>
    <row r="2396" spans="1:13" x14ac:dyDescent="0.3">
      <c r="A2396" t="s">
        <v>2795</v>
      </c>
      <c r="B2396">
        <v>72</v>
      </c>
      <c r="C2396" t="s">
        <v>12</v>
      </c>
      <c r="D2396" t="s">
        <v>51</v>
      </c>
      <c r="E2396" t="s">
        <v>28</v>
      </c>
      <c r="F2396" t="s">
        <v>402</v>
      </c>
      <c r="G2396" t="s">
        <v>114</v>
      </c>
      <c r="H2396">
        <v>7</v>
      </c>
      <c r="I2396" s="1">
        <v>13929.2</v>
      </c>
      <c r="J2396" t="s">
        <v>49</v>
      </c>
      <c r="K2396" t="s">
        <v>18</v>
      </c>
      <c r="L2396" t="str" cm="1">
        <f t="array" ref="L2396">_xlfn.IFS(B2396&lt;30,"18-29",B2396&lt;45,"30-44",B2396&lt;60,"45-59",B2396&lt;75,"60-74",B2396&lt;=90,"75-90")</f>
        <v>60-74</v>
      </c>
      <c r="M2396" t="str">
        <f>IF(Table1[[#This Row],[length_of_stay_days]]&gt;7,"Yes","No")</f>
        <v>No</v>
      </c>
    </row>
    <row r="2397" spans="1:13" x14ac:dyDescent="0.3">
      <c r="A2397" t="s">
        <v>2796</v>
      </c>
      <c r="B2397">
        <v>76</v>
      </c>
      <c r="C2397" t="s">
        <v>12</v>
      </c>
      <c r="D2397" t="s">
        <v>13</v>
      </c>
      <c r="E2397" t="s">
        <v>28</v>
      </c>
      <c r="F2397" t="s">
        <v>304</v>
      </c>
      <c r="G2397" t="s">
        <v>155</v>
      </c>
      <c r="H2397">
        <v>9</v>
      </c>
      <c r="I2397" s="1">
        <v>9314.58</v>
      </c>
      <c r="J2397" t="s">
        <v>17</v>
      </c>
      <c r="K2397" t="s">
        <v>18</v>
      </c>
      <c r="L2397" t="str" cm="1">
        <f t="array" ref="L2397">_xlfn.IFS(B2397&lt;30,"18-29",B2397&lt;45,"30-44",B2397&lt;60,"45-59",B2397&lt;75,"60-74",B2397&lt;=90,"75-90")</f>
        <v>75-90</v>
      </c>
      <c r="M2397" t="str">
        <f>IF(Table1[[#This Row],[length_of_stay_days]]&gt;7,"Yes","No")</f>
        <v>Yes</v>
      </c>
    </row>
    <row r="2398" spans="1:13" x14ac:dyDescent="0.3">
      <c r="A2398" t="s">
        <v>2797</v>
      </c>
      <c r="B2398">
        <v>43</v>
      </c>
      <c r="C2398" t="s">
        <v>12</v>
      </c>
      <c r="D2398" t="s">
        <v>13</v>
      </c>
      <c r="E2398" t="s">
        <v>28</v>
      </c>
      <c r="F2398" t="s">
        <v>449</v>
      </c>
      <c r="G2398" t="s">
        <v>405</v>
      </c>
      <c r="H2398">
        <v>8</v>
      </c>
      <c r="I2398" s="1">
        <v>9169.25</v>
      </c>
      <c r="J2398" t="s">
        <v>49</v>
      </c>
      <c r="K2398" t="s">
        <v>18</v>
      </c>
      <c r="L2398" t="str" cm="1">
        <f t="array" ref="L2398">_xlfn.IFS(B2398&lt;30,"18-29",B2398&lt;45,"30-44",B2398&lt;60,"45-59",B2398&lt;75,"60-74",B2398&lt;=90,"75-90")</f>
        <v>30-44</v>
      </c>
      <c r="M2398" t="str">
        <f>IF(Table1[[#This Row],[length_of_stay_days]]&gt;7,"Yes","No")</f>
        <v>Yes</v>
      </c>
    </row>
    <row r="2399" spans="1:13" x14ac:dyDescent="0.3">
      <c r="A2399" t="s">
        <v>2798</v>
      </c>
      <c r="B2399">
        <v>74</v>
      </c>
      <c r="C2399" t="s">
        <v>20</v>
      </c>
      <c r="D2399" t="s">
        <v>51</v>
      </c>
      <c r="E2399" t="s">
        <v>28</v>
      </c>
      <c r="F2399" t="s">
        <v>16</v>
      </c>
      <c r="G2399" t="s">
        <v>250</v>
      </c>
      <c r="H2399">
        <v>10</v>
      </c>
      <c r="I2399" s="1">
        <v>13701.41</v>
      </c>
      <c r="J2399" t="s">
        <v>17</v>
      </c>
      <c r="K2399" t="s">
        <v>18</v>
      </c>
      <c r="L2399" t="str" cm="1">
        <f t="array" ref="L2399">_xlfn.IFS(B2399&lt;30,"18-29",B2399&lt;45,"30-44",B2399&lt;60,"45-59",B2399&lt;75,"60-74",B2399&lt;=90,"75-90")</f>
        <v>60-74</v>
      </c>
      <c r="M2399" t="str">
        <f>IF(Table1[[#This Row],[length_of_stay_days]]&gt;7,"Yes","No")</f>
        <v>Yes</v>
      </c>
    </row>
    <row r="2400" spans="1:13" x14ac:dyDescent="0.3">
      <c r="A2400" t="s">
        <v>2799</v>
      </c>
      <c r="B2400">
        <v>49</v>
      </c>
      <c r="C2400" t="s">
        <v>20</v>
      </c>
      <c r="D2400" t="s">
        <v>32</v>
      </c>
      <c r="E2400" t="s">
        <v>28</v>
      </c>
      <c r="F2400" t="s">
        <v>22</v>
      </c>
      <c r="G2400" t="s">
        <v>727</v>
      </c>
      <c r="H2400">
        <v>7</v>
      </c>
      <c r="I2400" s="1">
        <v>10746.54</v>
      </c>
      <c r="J2400" t="s">
        <v>49</v>
      </c>
      <c r="K2400" t="s">
        <v>18</v>
      </c>
      <c r="L2400" t="str" cm="1">
        <f t="array" ref="L2400">_xlfn.IFS(B2400&lt;30,"18-29",B2400&lt;45,"30-44",B2400&lt;60,"45-59",B2400&lt;75,"60-74",B2400&lt;=90,"75-90")</f>
        <v>45-59</v>
      </c>
      <c r="M2400" t="str">
        <f>IF(Table1[[#This Row],[length_of_stay_days]]&gt;7,"Yes","No")</f>
        <v>No</v>
      </c>
    </row>
    <row r="2401" spans="1:13" x14ac:dyDescent="0.3">
      <c r="A2401" t="s">
        <v>2800</v>
      </c>
      <c r="B2401">
        <v>72</v>
      </c>
      <c r="C2401" t="s">
        <v>20</v>
      </c>
      <c r="D2401" t="s">
        <v>28</v>
      </c>
      <c r="E2401" t="s">
        <v>28</v>
      </c>
      <c r="F2401" t="s">
        <v>29</v>
      </c>
      <c r="G2401" t="s">
        <v>357</v>
      </c>
      <c r="H2401">
        <v>3</v>
      </c>
      <c r="I2401" s="1">
        <v>6752.36</v>
      </c>
      <c r="J2401" t="s">
        <v>17</v>
      </c>
      <c r="K2401" t="s">
        <v>18</v>
      </c>
      <c r="L2401" t="str" cm="1">
        <f t="array" ref="L2401">_xlfn.IFS(B2401&lt;30,"18-29",B2401&lt;45,"30-44",B2401&lt;60,"45-59",B2401&lt;75,"60-74",B2401&lt;=90,"75-90")</f>
        <v>60-74</v>
      </c>
      <c r="M2401" t="str">
        <f>IF(Table1[[#This Row],[length_of_stay_days]]&gt;7,"Yes","No")</f>
        <v>No</v>
      </c>
    </row>
    <row r="2402" spans="1:13" x14ac:dyDescent="0.3">
      <c r="A2402" t="s">
        <v>2801</v>
      </c>
      <c r="B2402">
        <v>19</v>
      </c>
      <c r="C2402" t="s">
        <v>12</v>
      </c>
      <c r="D2402" t="s">
        <v>32</v>
      </c>
      <c r="E2402" t="s">
        <v>21</v>
      </c>
      <c r="F2402" t="s">
        <v>532</v>
      </c>
      <c r="G2402" t="s">
        <v>52</v>
      </c>
      <c r="H2402">
        <v>5</v>
      </c>
      <c r="I2402" s="1">
        <v>10294.27</v>
      </c>
      <c r="J2402" t="s">
        <v>17</v>
      </c>
      <c r="K2402" t="s">
        <v>18</v>
      </c>
      <c r="L2402" t="str" cm="1">
        <f t="array" ref="L2402">_xlfn.IFS(B2402&lt;30,"18-29",B2402&lt;45,"30-44",B2402&lt;60,"45-59",B2402&lt;75,"60-74",B2402&lt;=90,"75-90")</f>
        <v>18-29</v>
      </c>
      <c r="M2402" t="str">
        <f>IF(Table1[[#This Row],[length_of_stay_days]]&gt;7,"Yes","No")</f>
        <v>No</v>
      </c>
    </row>
    <row r="2403" spans="1:13" x14ac:dyDescent="0.3">
      <c r="A2403" t="s">
        <v>2802</v>
      </c>
      <c r="B2403">
        <v>74</v>
      </c>
      <c r="C2403" t="s">
        <v>12</v>
      </c>
      <c r="D2403" t="s">
        <v>51</v>
      </c>
      <c r="E2403" t="s">
        <v>28</v>
      </c>
      <c r="F2403" t="s">
        <v>23</v>
      </c>
      <c r="G2403" t="s">
        <v>280</v>
      </c>
      <c r="H2403">
        <v>6</v>
      </c>
      <c r="I2403" s="1">
        <v>11439.16</v>
      </c>
      <c r="J2403" t="s">
        <v>17</v>
      </c>
      <c r="K2403" t="s">
        <v>18</v>
      </c>
      <c r="L2403" t="str" cm="1">
        <f t="array" ref="L2403">_xlfn.IFS(B2403&lt;30,"18-29",B2403&lt;45,"30-44",B2403&lt;60,"45-59",B2403&lt;75,"60-74",B2403&lt;=90,"75-90")</f>
        <v>60-74</v>
      </c>
      <c r="M2403" t="str">
        <f>IF(Table1[[#This Row],[length_of_stay_days]]&gt;7,"Yes","No")</f>
        <v>No</v>
      </c>
    </row>
    <row r="2404" spans="1:13" x14ac:dyDescent="0.3">
      <c r="A2404" t="s">
        <v>2803</v>
      </c>
      <c r="B2404">
        <v>52</v>
      </c>
      <c r="C2404" t="s">
        <v>20</v>
      </c>
      <c r="D2404" t="s">
        <v>28</v>
      </c>
      <c r="E2404" t="s">
        <v>28</v>
      </c>
      <c r="F2404" t="s">
        <v>143</v>
      </c>
      <c r="G2404" t="s">
        <v>1338</v>
      </c>
      <c r="H2404">
        <v>4</v>
      </c>
      <c r="I2404" s="1">
        <v>1955.36</v>
      </c>
      <c r="J2404" t="s">
        <v>49</v>
      </c>
      <c r="K2404" t="s">
        <v>18</v>
      </c>
      <c r="L2404" t="str" cm="1">
        <f t="array" ref="L2404">_xlfn.IFS(B2404&lt;30,"18-29",B2404&lt;45,"30-44",B2404&lt;60,"45-59",B2404&lt;75,"60-74",B2404&lt;=90,"75-90")</f>
        <v>45-59</v>
      </c>
      <c r="M2404" t="str">
        <f>IF(Table1[[#This Row],[length_of_stay_days]]&gt;7,"Yes","No")</f>
        <v>No</v>
      </c>
    </row>
    <row r="2405" spans="1:13" x14ac:dyDescent="0.3">
      <c r="A2405" t="s">
        <v>2804</v>
      </c>
      <c r="B2405">
        <v>22</v>
      </c>
      <c r="C2405" t="s">
        <v>12</v>
      </c>
      <c r="D2405" t="s">
        <v>28</v>
      </c>
      <c r="E2405" t="s">
        <v>21</v>
      </c>
      <c r="F2405" t="s">
        <v>646</v>
      </c>
      <c r="G2405" t="s">
        <v>1207</v>
      </c>
      <c r="H2405">
        <v>4</v>
      </c>
      <c r="I2405" s="1">
        <v>6815.15</v>
      </c>
      <c r="J2405" t="s">
        <v>17</v>
      </c>
      <c r="K2405" t="s">
        <v>18</v>
      </c>
      <c r="L2405" t="str" cm="1">
        <f t="array" ref="L2405">_xlfn.IFS(B2405&lt;30,"18-29",B2405&lt;45,"30-44",B2405&lt;60,"45-59",B2405&lt;75,"60-74",B2405&lt;=90,"75-90")</f>
        <v>18-29</v>
      </c>
      <c r="M2405" t="str">
        <f>IF(Table1[[#This Row],[length_of_stay_days]]&gt;7,"Yes","No")</f>
        <v>No</v>
      </c>
    </row>
    <row r="2406" spans="1:13" x14ac:dyDescent="0.3">
      <c r="A2406" t="s">
        <v>2805</v>
      </c>
      <c r="B2406">
        <v>58</v>
      </c>
      <c r="C2406" t="s">
        <v>20</v>
      </c>
      <c r="D2406" t="s">
        <v>13</v>
      </c>
      <c r="E2406" t="s">
        <v>21</v>
      </c>
      <c r="F2406" t="s">
        <v>879</v>
      </c>
      <c r="G2406" t="s">
        <v>425</v>
      </c>
      <c r="H2406">
        <v>8</v>
      </c>
      <c r="I2406" s="1">
        <v>8763.0400000000009</v>
      </c>
      <c r="J2406" t="s">
        <v>17</v>
      </c>
      <c r="K2406" t="s">
        <v>18</v>
      </c>
      <c r="L2406" t="str" cm="1">
        <f t="array" ref="L2406">_xlfn.IFS(B2406&lt;30,"18-29",B2406&lt;45,"30-44",B2406&lt;60,"45-59",B2406&lt;75,"60-74",B2406&lt;=90,"75-90")</f>
        <v>45-59</v>
      </c>
      <c r="M2406" t="str">
        <f>IF(Table1[[#This Row],[length_of_stay_days]]&gt;7,"Yes","No")</f>
        <v>Yes</v>
      </c>
    </row>
    <row r="2407" spans="1:13" x14ac:dyDescent="0.3">
      <c r="A2407" t="s">
        <v>2806</v>
      </c>
      <c r="B2407">
        <v>82</v>
      </c>
      <c r="C2407" t="s">
        <v>20</v>
      </c>
      <c r="D2407" t="s">
        <v>55</v>
      </c>
      <c r="E2407" t="s">
        <v>21</v>
      </c>
      <c r="F2407" t="s">
        <v>941</v>
      </c>
      <c r="G2407" t="s">
        <v>129</v>
      </c>
      <c r="H2407">
        <v>7</v>
      </c>
      <c r="I2407" s="1">
        <v>10869.93</v>
      </c>
      <c r="J2407" t="s">
        <v>49</v>
      </c>
      <c r="K2407" t="s">
        <v>18</v>
      </c>
      <c r="L2407" t="str" cm="1">
        <f t="array" ref="L2407">_xlfn.IFS(B2407&lt;30,"18-29",B2407&lt;45,"30-44",B2407&lt;60,"45-59",B2407&lt;75,"60-74",B2407&lt;=90,"75-90")</f>
        <v>75-90</v>
      </c>
      <c r="M2407" t="str">
        <f>IF(Table1[[#This Row],[length_of_stay_days]]&gt;7,"Yes","No")</f>
        <v>No</v>
      </c>
    </row>
    <row r="2408" spans="1:13" x14ac:dyDescent="0.3">
      <c r="A2408" t="s">
        <v>2807</v>
      </c>
      <c r="B2408">
        <v>83</v>
      </c>
      <c r="C2408" t="s">
        <v>12</v>
      </c>
      <c r="D2408" t="s">
        <v>13</v>
      </c>
      <c r="E2408" t="s">
        <v>28</v>
      </c>
      <c r="F2408" t="s">
        <v>317</v>
      </c>
      <c r="G2408" t="s">
        <v>335</v>
      </c>
      <c r="H2408">
        <v>4</v>
      </c>
      <c r="I2408" s="1">
        <v>5378.38</v>
      </c>
      <c r="J2408" t="s">
        <v>17</v>
      </c>
      <c r="K2408" t="s">
        <v>18</v>
      </c>
      <c r="L2408" t="str" cm="1">
        <f t="array" ref="L2408">_xlfn.IFS(B2408&lt;30,"18-29",B2408&lt;45,"30-44",B2408&lt;60,"45-59",B2408&lt;75,"60-74",B2408&lt;=90,"75-90")</f>
        <v>75-90</v>
      </c>
      <c r="M2408" t="str">
        <f>IF(Table1[[#This Row],[length_of_stay_days]]&gt;7,"Yes","No")</f>
        <v>No</v>
      </c>
    </row>
    <row r="2409" spans="1:13" x14ac:dyDescent="0.3">
      <c r="A2409" t="s">
        <v>2808</v>
      </c>
      <c r="B2409">
        <v>60</v>
      </c>
      <c r="C2409" t="s">
        <v>20</v>
      </c>
      <c r="D2409" t="s">
        <v>28</v>
      </c>
      <c r="E2409" t="s">
        <v>14</v>
      </c>
      <c r="F2409" t="s">
        <v>410</v>
      </c>
      <c r="G2409" t="s">
        <v>646</v>
      </c>
      <c r="H2409">
        <v>4</v>
      </c>
      <c r="I2409" s="1">
        <v>6292.2</v>
      </c>
      <c r="J2409" t="s">
        <v>17</v>
      </c>
      <c r="K2409" t="s">
        <v>18</v>
      </c>
      <c r="L2409" t="str" cm="1">
        <f t="array" ref="L2409">_xlfn.IFS(B2409&lt;30,"18-29",B2409&lt;45,"30-44",B2409&lt;60,"45-59",B2409&lt;75,"60-74",B2409&lt;=90,"75-90")</f>
        <v>60-74</v>
      </c>
      <c r="M2409" t="str">
        <f>IF(Table1[[#This Row],[length_of_stay_days]]&gt;7,"Yes","No")</f>
        <v>No</v>
      </c>
    </row>
    <row r="2410" spans="1:13" x14ac:dyDescent="0.3">
      <c r="A2410" t="s">
        <v>2809</v>
      </c>
      <c r="B2410">
        <v>28</v>
      </c>
      <c r="C2410" t="s">
        <v>12</v>
      </c>
      <c r="D2410" t="s">
        <v>28</v>
      </c>
      <c r="E2410" t="s">
        <v>21</v>
      </c>
      <c r="F2410" t="s">
        <v>579</v>
      </c>
      <c r="G2410" t="s">
        <v>72</v>
      </c>
      <c r="H2410">
        <v>3</v>
      </c>
      <c r="I2410" s="1">
        <v>3108.35</v>
      </c>
      <c r="J2410" t="s">
        <v>17</v>
      </c>
      <c r="K2410" t="s">
        <v>18</v>
      </c>
      <c r="L2410" t="str" cm="1">
        <f t="array" ref="L2410">_xlfn.IFS(B2410&lt;30,"18-29",B2410&lt;45,"30-44",B2410&lt;60,"45-59",B2410&lt;75,"60-74",B2410&lt;=90,"75-90")</f>
        <v>18-29</v>
      </c>
      <c r="M2410" t="str">
        <f>IF(Table1[[#This Row],[length_of_stay_days]]&gt;7,"Yes","No")</f>
        <v>No</v>
      </c>
    </row>
    <row r="2411" spans="1:13" x14ac:dyDescent="0.3">
      <c r="A2411" t="s">
        <v>2810</v>
      </c>
      <c r="B2411">
        <v>75</v>
      </c>
      <c r="C2411" t="s">
        <v>20</v>
      </c>
      <c r="D2411" t="s">
        <v>28</v>
      </c>
      <c r="E2411" t="s">
        <v>28</v>
      </c>
      <c r="F2411" t="s">
        <v>537</v>
      </c>
      <c r="G2411" t="s">
        <v>516</v>
      </c>
      <c r="H2411">
        <v>7</v>
      </c>
      <c r="I2411" s="1">
        <v>8710.6200000000008</v>
      </c>
      <c r="J2411" t="s">
        <v>49</v>
      </c>
      <c r="K2411" t="s">
        <v>18</v>
      </c>
      <c r="L2411" t="str" cm="1">
        <f t="array" ref="L2411">_xlfn.IFS(B2411&lt;30,"18-29",B2411&lt;45,"30-44",B2411&lt;60,"45-59",B2411&lt;75,"60-74",B2411&lt;=90,"75-90")</f>
        <v>75-90</v>
      </c>
      <c r="M2411" t="str">
        <f>IF(Table1[[#This Row],[length_of_stay_days]]&gt;7,"Yes","No")</f>
        <v>No</v>
      </c>
    </row>
    <row r="2412" spans="1:13" x14ac:dyDescent="0.3">
      <c r="A2412" t="s">
        <v>2811</v>
      </c>
      <c r="B2412">
        <v>74</v>
      </c>
      <c r="C2412" t="s">
        <v>20</v>
      </c>
      <c r="D2412" t="s">
        <v>13</v>
      </c>
      <c r="E2412" t="s">
        <v>28</v>
      </c>
      <c r="F2412" t="s">
        <v>683</v>
      </c>
      <c r="G2412" t="s">
        <v>625</v>
      </c>
      <c r="H2412">
        <v>2</v>
      </c>
      <c r="I2412" s="1">
        <v>3467.5</v>
      </c>
      <c r="J2412" t="s">
        <v>17</v>
      </c>
      <c r="K2412" t="s">
        <v>18</v>
      </c>
      <c r="L2412" t="str" cm="1">
        <f t="array" ref="L2412">_xlfn.IFS(B2412&lt;30,"18-29",B2412&lt;45,"30-44",B2412&lt;60,"45-59",B2412&lt;75,"60-74",B2412&lt;=90,"75-90")</f>
        <v>60-74</v>
      </c>
      <c r="M2412" t="str">
        <f>IF(Table1[[#This Row],[length_of_stay_days]]&gt;7,"Yes","No")</f>
        <v>No</v>
      </c>
    </row>
    <row r="2413" spans="1:13" x14ac:dyDescent="0.3">
      <c r="A2413" t="s">
        <v>2812</v>
      </c>
      <c r="B2413">
        <v>24</v>
      </c>
      <c r="C2413" t="s">
        <v>20</v>
      </c>
      <c r="D2413" t="s">
        <v>55</v>
      </c>
      <c r="E2413" t="s">
        <v>14</v>
      </c>
      <c r="F2413" t="s">
        <v>33</v>
      </c>
      <c r="G2413" t="s">
        <v>644</v>
      </c>
      <c r="H2413">
        <v>4</v>
      </c>
      <c r="I2413" s="1">
        <v>8243.4699999999993</v>
      </c>
      <c r="J2413" t="s">
        <v>17</v>
      </c>
      <c r="K2413" t="s">
        <v>18</v>
      </c>
      <c r="L2413" t="str" cm="1">
        <f t="array" ref="L2413">_xlfn.IFS(B2413&lt;30,"18-29",B2413&lt;45,"30-44",B2413&lt;60,"45-59",B2413&lt;75,"60-74",B2413&lt;=90,"75-90")</f>
        <v>18-29</v>
      </c>
      <c r="M2413" t="str">
        <f>IF(Table1[[#This Row],[length_of_stay_days]]&gt;7,"Yes","No")</f>
        <v>No</v>
      </c>
    </row>
    <row r="2414" spans="1:13" x14ac:dyDescent="0.3">
      <c r="A2414" t="s">
        <v>2813</v>
      </c>
      <c r="B2414">
        <v>83</v>
      </c>
      <c r="C2414" t="s">
        <v>12</v>
      </c>
      <c r="D2414" t="s">
        <v>51</v>
      </c>
      <c r="E2414" t="s">
        <v>28</v>
      </c>
      <c r="F2414" t="s">
        <v>778</v>
      </c>
      <c r="G2414" t="s">
        <v>558</v>
      </c>
      <c r="H2414">
        <v>9</v>
      </c>
      <c r="I2414" s="1">
        <v>14920.67</v>
      </c>
      <c r="J2414" t="s">
        <v>17</v>
      </c>
      <c r="K2414" t="s">
        <v>18</v>
      </c>
      <c r="L2414" t="str" cm="1">
        <f t="array" ref="L2414">_xlfn.IFS(B2414&lt;30,"18-29",B2414&lt;45,"30-44",B2414&lt;60,"45-59",B2414&lt;75,"60-74",B2414&lt;=90,"75-90")</f>
        <v>75-90</v>
      </c>
      <c r="M2414" t="str">
        <f>IF(Table1[[#This Row],[length_of_stay_days]]&gt;7,"Yes","No")</f>
        <v>Yes</v>
      </c>
    </row>
    <row r="2415" spans="1:13" x14ac:dyDescent="0.3">
      <c r="A2415" t="s">
        <v>2814</v>
      </c>
      <c r="B2415">
        <v>83</v>
      </c>
      <c r="C2415" t="s">
        <v>12</v>
      </c>
      <c r="D2415" t="s">
        <v>28</v>
      </c>
      <c r="E2415" t="s">
        <v>28</v>
      </c>
      <c r="F2415" t="s">
        <v>231</v>
      </c>
      <c r="G2415" t="s">
        <v>259</v>
      </c>
      <c r="H2415">
        <v>10</v>
      </c>
      <c r="I2415" s="1">
        <v>7400.59</v>
      </c>
      <c r="J2415" t="s">
        <v>17</v>
      </c>
      <c r="K2415" t="s">
        <v>18</v>
      </c>
      <c r="L2415" t="str" cm="1">
        <f t="array" ref="L2415">_xlfn.IFS(B2415&lt;30,"18-29",B2415&lt;45,"30-44",B2415&lt;60,"45-59",B2415&lt;75,"60-74",B2415&lt;=90,"75-90")</f>
        <v>75-90</v>
      </c>
      <c r="M2415" t="str">
        <f>IF(Table1[[#This Row],[length_of_stay_days]]&gt;7,"Yes","No")</f>
        <v>Yes</v>
      </c>
    </row>
    <row r="2416" spans="1:13" x14ac:dyDescent="0.3">
      <c r="A2416" t="s">
        <v>2815</v>
      </c>
      <c r="B2416">
        <v>34</v>
      </c>
      <c r="C2416" t="s">
        <v>20</v>
      </c>
      <c r="D2416" t="s">
        <v>55</v>
      </c>
      <c r="E2416" t="s">
        <v>28</v>
      </c>
      <c r="F2416" t="s">
        <v>364</v>
      </c>
      <c r="G2416" t="s">
        <v>42</v>
      </c>
      <c r="H2416">
        <v>8</v>
      </c>
      <c r="I2416" s="1">
        <v>10774.04</v>
      </c>
      <c r="J2416" t="s">
        <v>17</v>
      </c>
      <c r="K2416" t="s">
        <v>18</v>
      </c>
      <c r="L2416" t="str" cm="1">
        <f t="array" ref="L2416">_xlfn.IFS(B2416&lt;30,"18-29",B2416&lt;45,"30-44",B2416&lt;60,"45-59",B2416&lt;75,"60-74",B2416&lt;=90,"75-90")</f>
        <v>30-44</v>
      </c>
      <c r="M2416" t="str">
        <f>IF(Table1[[#This Row],[length_of_stay_days]]&gt;7,"Yes","No")</f>
        <v>Yes</v>
      </c>
    </row>
    <row r="2417" spans="1:13" x14ac:dyDescent="0.3">
      <c r="A2417" t="s">
        <v>2816</v>
      </c>
      <c r="B2417">
        <v>89</v>
      </c>
      <c r="C2417" t="s">
        <v>12</v>
      </c>
      <c r="D2417" t="s">
        <v>55</v>
      </c>
      <c r="E2417" t="s">
        <v>28</v>
      </c>
      <c r="F2417" t="s">
        <v>67</v>
      </c>
      <c r="G2417" t="s">
        <v>629</v>
      </c>
      <c r="H2417">
        <v>5</v>
      </c>
      <c r="I2417" s="1">
        <v>6812.09</v>
      </c>
      <c r="J2417" t="s">
        <v>17</v>
      </c>
      <c r="K2417" t="s">
        <v>18</v>
      </c>
      <c r="L2417" t="str" cm="1">
        <f t="array" ref="L2417">_xlfn.IFS(B2417&lt;30,"18-29",B2417&lt;45,"30-44",B2417&lt;60,"45-59",B2417&lt;75,"60-74",B2417&lt;=90,"75-90")</f>
        <v>75-90</v>
      </c>
      <c r="M2417" t="str">
        <f>IF(Table1[[#This Row],[length_of_stay_days]]&gt;7,"Yes","No")</f>
        <v>No</v>
      </c>
    </row>
    <row r="2418" spans="1:13" x14ac:dyDescent="0.3">
      <c r="A2418" t="s">
        <v>2817</v>
      </c>
      <c r="B2418">
        <v>52</v>
      </c>
      <c r="C2418" t="s">
        <v>20</v>
      </c>
      <c r="D2418" t="s">
        <v>28</v>
      </c>
      <c r="E2418" t="s">
        <v>14</v>
      </c>
      <c r="F2418" t="s">
        <v>434</v>
      </c>
      <c r="G2418" t="s">
        <v>678</v>
      </c>
      <c r="H2418">
        <v>6</v>
      </c>
      <c r="I2418" s="1">
        <v>7168.64</v>
      </c>
      <c r="J2418" t="s">
        <v>17</v>
      </c>
      <c r="K2418" t="s">
        <v>18</v>
      </c>
      <c r="L2418" t="str" cm="1">
        <f t="array" ref="L2418">_xlfn.IFS(B2418&lt;30,"18-29",B2418&lt;45,"30-44",B2418&lt;60,"45-59",B2418&lt;75,"60-74",B2418&lt;=90,"75-90")</f>
        <v>45-59</v>
      </c>
      <c r="M2418" t="str">
        <f>IF(Table1[[#This Row],[length_of_stay_days]]&gt;7,"Yes","No")</f>
        <v>No</v>
      </c>
    </row>
    <row r="2419" spans="1:13" x14ac:dyDescent="0.3">
      <c r="A2419" t="s">
        <v>2818</v>
      </c>
      <c r="B2419">
        <v>55</v>
      </c>
      <c r="C2419" t="s">
        <v>12</v>
      </c>
      <c r="D2419" t="s">
        <v>28</v>
      </c>
      <c r="E2419" t="s">
        <v>21</v>
      </c>
      <c r="F2419" t="s">
        <v>638</v>
      </c>
      <c r="G2419" t="s">
        <v>613</v>
      </c>
      <c r="H2419">
        <v>4</v>
      </c>
      <c r="I2419" s="1">
        <v>3709.01</v>
      </c>
      <c r="J2419" t="s">
        <v>17</v>
      </c>
      <c r="K2419" t="s">
        <v>18</v>
      </c>
      <c r="L2419" t="str" cm="1">
        <f t="array" ref="L2419">_xlfn.IFS(B2419&lt;30,"18-29",B2419&lt;45,"30-44",B2419&lt;60,"45-59",B2419&lt;75,"60-74",B2419&lt;=90,"75-90")</f>
        <v>45-59</v>
      </c>
      <c r="M2419" t="str">
        <f>IF(Table1[[#This Row],[length_of_stay_days]]&gt;7,"Yes","No")</f>
        <v>No</v>
      </c>
    </row>
    <row r="2420" spans="1:13" x14ac:dyDescent="0.3">
      <c r="A2420" t="s">
        <v>2819</v>
      </c>
      <c r="B2420">
        <v>80</v>
      </c>
      <c r="C2420" t="s">
        <v>20</v>
      </c>
      <c r="D2420" t="s">
        <v>28</v>
      </c>
      <c r="E2420" t="s">
        <v>21</v>
      </c>
      <c r="F2420" t="s">
        <v>530</v>
      </c>
      <c r="G2420" t="s">
        <v>680</v>
      </c>
      <c r="H2420">
        <v>1</v>
      </c>
      <c r="I2420" s="1">
        <v>2344.71</v>
      </c>
      <c r="J2420" t="s">
        <v>17</v>
      </c>
      <c r="K2420" t="s">
        <v>18</v>
      </c>
      <c r="L2420" t="str" cm="1">
        <f t="array" ref="L2420">_xlfn.IFS(B2420&lt;30,"18-29",B2420&lt;45,"30-44",B2420&lt;60,"45-59",B2420&lt;75,"60-74",B2420&lt;=90,"75-90")</f>
        <v>75-90</v>
      </c>
      <c r="M2420" t="str">
        <f>IF(Table1[[#This Row],[length_of_stay_days]]&gt;7,"Yes","No")</f>
        <v>No</v>
      </c>
    </row>
    <row r="2421" spans="1:13" x14ac:dyDescent="0.3">
      <c r="A2421" t="s">
        <v>2820</v>
      </c>
      <c r="B2421">
        <v>18</v>
      </c>
      <c r="C2421" t="s">
        <v>12</v>
      </c>
      <c r="D2421" t="s">
        <v>55</v>
      </c>
      <c r="E2421" t="s">
        <v>21</v>
      </c>
      <c r="F2421" t="s">
        <v>207</v>
      </c>
      <c r="G2421" t="s">
        <v>208</v>
      </c>
      <c r="H2421">
        <v>8</v>
      </c>
      <c r="I2421" s="1">
        <v>10331.040000000001</v>
      </c>
      <c r="J2421" t="s">
        <v>17</v>
      </c>
      <c r="K2421" t="s">
        <v>18</v>
      </c>
      <c r="L2421" t="str" cm="1">
        <f t="array" ref="L2421">_xlfn.IFS(B2421&lt;30,"18-29",B2421&lt;45,"30-44",B2421&lt;60,"45-59",B2421&lt;75,"60-74",B2421&lt;=90,"75-90")</f>
        <v>18-29</v>
      </c>
      <c r="M2421" t="str">
        <f>IF(Table1[[#This Row],[length_of_stay_days]]&gt;7,"Yes","No")</f>
        <v>Yes</v>
      </c>
    </row>
    <row r="2422" spans="1:13" x14ac:dyDescent="0.3">
      <c r="A2422" t="s">
        <v>2821</v>
      </c>
      <c r="B2422">
        <v>37</v>
      </c>
      <c r="C2422" t="s">
        <v>20</v>
      </c>
      <c r="D2422" t="s">
        <v>28</v>
      </c>
      <c r="E2422" t="s">
        <v>21</v>
      </c>
      <c r="F2422" t="s">
        <v>280</v>
      </c>
      <c r="G2422" t="s">
        <v>182</v>
      </c>
      <c r="H2422">
        <v>2</v>
      </c>
      <c r="I2422" s="1">
        <v>3577.82</v>
      </c>
      <c r="J2422" t="s">
        <v>49</v>
      </c>
      <c r="K2422" t="s">
        <v>18</v>
      </c>
      <c r="L2422" t="str" cm="1">
        <f t="array" ref="L2422">_xlfn.IFS(B2422&lt;30,"18-29",B2422&lt;45,"30-44",B2422&lt;60,"45-59",B2422&lt;75,"60-74",B2422&lt;=90,"75-90")</f>
        <v>30-44</v>
      </c>
      <c r="M2422" t="str">
        <f>IF(Table1[[#This Row],[length_of_stay_days]]&gt;7,"Yes","No")</f>
        <v>No</v>
      </c>
    </row>
    <row r="2423" spans="1:13" x14ac:dyDescent="0.3">
      <c r="A2423" t="s">
        <v>2822</v>
      </c>
      <c r="B2423">
        <v>29</v>
      </c>
      <c r="C2423" t="s">
        <v>12</v>
      </c>
      <c r="D2423" t="s">
        <v>55</v>
      </c>
      <c r="E2423" t="s">
        <v>28</v>
      </c>
      <c r="F2423" t="s">
        <v>327</v>
      </c>
      <c r="G2423" t="s">
        <v>151</v>
      </c>
      <c r="H2423">
        <v>7</v>
      </c>
      <c r="I2423" s="1">
        <v>13487.71</v>
      </c>
      <c r="J2423" t="s">
        <v>17</v>
      </c>
      <c r="K2423" t="s">
        <v>18</v>
      </c>
      <c r="L2423" t="str" cm="1">
        <f t="array" ref="L2423">_xlfn.IFS(B2423&lt;30,"18-29",B2423&lt;45,"30-44",B2423&lt;60,"45-59",B2423&lt;75,"60-74",B2423&lt;=90,"75-90")</f>
        <v>18-29</v>
      </c>
      <c r="M2423" t="str">
        <f>IF(Table1[[#This Row],[length_of_stay_days]]&gt;7,"Yes","No")</f>
        <v>No</v>
      </c>
    </row>
    <row r="2424" spans="1:13" x14ac:dyDescent="0.3">
      <c r="A2424" t="s">
        <v>2823</v>
      </c>
      <c r="B2424">
        <v>19</v>
      </c>
      <c r="C2424" t="s">
        <v>20</v>
      </c>
      <c r="D2424" t="s">
        <v>28</v>
      </c>
      <c r="E2424" t="s">
        <v>28</v>
      </c>
      <c r="F2424" t="s">
        <v>378</v>
      </c>
      <c r="G2424" t="s">
        <v>140</v>
      </c>
      <c r="H2424">
        <v>5</v>
      </c>
      <c r="I2424" s="1">
        <v>7499.9</v>
      </c>
      <c r="J2424" t="s">
        <v>49</v>
      </c>
      <c r="K2424" t="s">
        <v>18</v>
      </c>
      <c r="L2424" t="str" cm="1">
        <f t="array" ref="L2424">_xlfn.IFS(B2424&lt;30,"18-29",B2424&lt;45,"30-44",B2424&lt;60,"45-59",B2424&lt;75,"60-74",B2424&lt;=90,"75-90")</f>
        <v>18-29</v>
      </c>
      <c r="M2424" t="str">
        <f>IF(Table1[[#This Row],[length_of_stay_days]]&gt;7,"Yes","No")</f>
        <v>No</v>
      </c>
    </row>
    <row r="2425" spans="1:13" x14ac:dyDescent="0.3">
      <c r="A2425" t="s">
        <v>2824</v>
      </c>
      <c r="B2425">
        <v>56</v>
      </c>
      <c r="C2425" t="s">
        <v>12</v>
      </c>
      <c r="D2425" t="s">
        <v>32</v>
      </c>
      <c r="E2425" t="s">
        <v>28</v>
      </c>
      <c r="F2425" t="s">
        <v>617</v>
      </c>
      <c r="G2425" t="s">
        <v>232</v>
      </c>
      <c r="H2425">
        <v>7</v>
      </c>
      <c r="I2425" s="1">
        <v>9690.5499999999993</v>
      </c>
      <c r="J2425" t="s">
        <v>49</v>
      </c>
      <c r="K2425" t="s">
        <v>18</v>
      </c>
      <c r="L2425" t="str" cm="1">
        <f t="array" ref="L2425">_xlfn.IFS(B2425&lt;30,"18-29",B2425&lt;45,"30-44",B2425&lt;60,"45-59",B2425&lt;75,"60-74",B2425&lt;=90,"75-90")</f>
        <v>45-59</v>
      </c>
      <c r="M2425" t="str">
        <f>IF(Table1[[#This Row],[length_of_stay_days]]&gt;7,"Yes","No")</f>
        <v>No</v>
      </c>
    </row>
    <row r="2426" spans="1:13" x14ac:dyDescent="0.3">
      <c r="A2426" t="s">
        <v>2825</v>
      </c>
      <c r="B2426">
        <v>50</v>
      </c>
      <c r="C2426" t="s">
        <v>12</v>
      </c>
      <c r="D2426" t="s">
        <v>32</v>
      </c>
      <c r="E2426" t="s">
        <v>21</v>
      </c>
      <c r="F2426" t="s">
        <v>101</v>
      </c>
      <c r="G2426" t="s">
        <v>337</v>
      </c>
      <c r="H2426">
        <v>6</v>
      </c>
      <c r="I2426" s="1">
        <v>12415.14</v>
      </c>
      <c r="J2426" t="s">
        <v>17</v>
      </c>
      <c r="K2426" t="s">
        <v>18</v>
      </c>
      <c r="L2426" t="str" cm="1">
        <f t="array" ref="L2426">_xlfn.IFS(B2426&lt;30,"18-29",B2426&lt;45,"30-44",B2426&lt;60,"45-59",B2426&lt;75,"60-74",B2426&lt;=90,"75-90")</f>
        <v>45-59</v>
      </c>
      <c r="M2426" t="str">
        <f>IF(Table1[[#This Row],[length_of_stay_days]]&gt;7,"Yes","No")</f>
        <v>No</v>
      </c>
    </row>
    <row r="2427" spans="1:13" x14ac:dyDescent="0.3">
      <c r="A2427" t="s">
        <v>2826</v>
      </c>
      <c r="B2427">
        <v>86</v>
      </c>
      <c r="C2427" t="s">
        <v>20</v>
      </c>
      <c r="D2427" t="s">
        <v>13</v>
      </c>
      <c r="E2427" t="s">
        <v>14</v>
      </c>
      <c r="F2427" t="s">
        <v>93</v>
      </c>
      <c r="G2427" t="s">
        <v>831</v>
      </c>
      <c r="H2427">
        <v>4</v>
      </c>
      <c r="I2427" s="1">
        <v>7266.63</v>
      </c>
      <c r="J2427" t="s">
        <v>17</v>
      </c>
      <c r="K2427" t="s">
        <v>18</v>
      </c>
      <c r="L2427" t="str" cm="1">
        <f t="array" ref="L2427">_xlfn.IFS(B2427&lt;30,"18-29",B2427&lt;45,"30-44",B2427&lt;60,"45-59",B2427&lt;75,"60-74",B2427&lt;=90,"75-90")</f>
        <v>75-90</v>
      </c>
      <c r="M2427" t="str">
        <f>IF(Table1[[#This Row],[length_of_stay_days]]&gt;7,"Yes","No")</f>
        <v>No</v>
      </c>
    </row>
    <row r="2428" spans="1:13" x14ac:dyDescent="0.3">
      <c r="A2428" t="s">
        <v>2827</v>
      </c>
      <c r="B2428">
        <v>85</v>
      </c>
      <c r="C2428" t="s">
        <v>20</v>
      </c>
      <c r="D2428" t="s">
        <v>55</v>
      </c>
      <c r="E2428" t="s">
        <v>21</v>
      </c>
      <c r="F2428" t="s">
        <v>293</v>
      </c>
      <c r="G2428" t="s">
        <v>339</v>
      </c>
      <c r="H2428">
        <v>8</v>
      </c>
      <c r="I2428" s="1">
        <v>8940</v>
      </c>
      <c r="J2428" t="s">
        <v>17</v>
      </c>
      <c r="K2428" t="s">
        <v>18</v>
      </c>
      <c r="L2428" t="str" cm="1">
        <f t="array" ref="L2428">_xlfn.IFS(B2428&lt;30,"18-29",B2428&lt;45,"30-44",B2428&lt;60,"45-59",B2428&lt;75,"60-74",B2428&lt;=90,"75-90")</f>
        <v>75-90</v>
      </c>
      <c r="M2428" t="str">
        <f>IF(Table1[[#This Row],[length_of_stay_days]]&gt;7,"Yes","No")</f>
        <v>Yes</v>
      </c>
    </row>
    <row r="2429" spans="1:13" x14ac:dyDescent="0.3">
      <c r="A2429" t="s">
        <v>2828</v>
      </c>
      <c r="B2429">
        <v>50</v>
      </c>
      <c r="C2429" t="s">
        <v>20</v>
      </c>
      <c r="D2429" t="s">
        <v>32</v>
      </c>
      <c r="E2429" t="s">
        <v>14</v>
      </c>
      <c r="F2429" t="s">
        <v>241</v>
      </c>
      <c r="G2429" t="s">
        <v>629</v>
      </c>
      <c r="H2429">
        <v>4</v>
      </c>
      <c r="I2429" s="1">
        <v>11005.36</v>
      </c>
      <c r="J2429" t="s">
        <v>17</v>
      </c>
      <c r="K2429" t="s">
        <v>18</v>
      </c>
      <c r="L2429" t="str" cm="1">
        <f t="array" ref="L2429">_xlfn.IFS(B2429&lt;30,"18-29",B2429&lt;45,"30-44",B2429&lt;60,"45-59",B2429&lt;75,"60-74",B2429&lt;=90,"75-90")</f>
        <v>45-59</v>
      </c>
      <c r="M2429" t="str">
        <f>IF(Table1[[#This Row],[length_of_stay_days]]&gt;7,"Yes","No")</f>
        <v>No</v>
      </c>
    </row>
    <row r="2430" spans="1:13" x14ac:dyDescent="0.3">
      <c r="A2430" t="s">
        <v>2829</v>
      </c>
      <c r="B2430">
        <v>83</v>
      </c>
      <c r="C2430" t="s">
        <v>20</v>
      </c>
      <c r="D2430" t="s">
        <v>13</v>
      </c>
      <c r="E2430" t="s">
        <v>28</v>
      </c>
      <c r="F2430" t="s">
        <v>1229</v>
      </c>
      <c r="G2430" t="s">
        <v>210</v>
      </c>
      <c r="H2430">
        <v>5</v>
      </c>
      <c r="I2430" s="1">
        <v>6687.19</v>
      </c>
      <c r="J2430" t="s">
        <v>17</v>
      </c>
      <c r="K2430" t="s">
        <v>18</v>
      </c>
      <c r="L2430" t="str" cm="1">
        <f t="array" ref="L2430">_xlfn.IFS(B2430&lt;30,"18-29",B2430&lt;45,"30-44",B2430&lt;60,"45-59",B2430&lt;75,"60-74",B2430&lt;=90,"75-90")</f>
        <v>75-90</v>
      </c>
      <c r="M2430" t="str">
        <f>IF(Table1[[#This Row],[length_of_stay_days]]&gt;7,"Yes","No")</f>
        <v>No</v>
      </c>
    </row>
    <row r="2431" spans="1:13" x14ac:dyDescent="0.3">
      <c r="A2431" t="s">
        <v>2830</v>
      </c>
      <c r="B2431">
        <v>18</v>
      </c>
      <c r="C2431" t="s">
        <v>20</v>
      </c>
      <c r="D2431" t="s">
        <v>28</v>
      </c>
      <c r="E2431" t="s">
        <v>14</v>
      </c>
      <c r="F2431" t="s">
        <v>465</v>
      </c>
      <c r="G2431" t="s">
        <v>489</v>
      </c>
      <c r="H2431">
        <v>1</v>
      </c>
      <c r="I2431" s="1">
        <v>5255.65</v>
      </c>
      <c r="J2431" t="s">
        <v>49</v>
      </c>
      <c r="K2431" t="s">
        <v>18</v>
      </c>
      <c r="L2431" t="str" cm="1">
        <f t="array" ref="L2431">_xlfn.IFS(B2431&lt;30,"18-29",B2431&lt;45,"30-44",B2431&lt;60,"45-59",B2431&lt;75,"60-74",B2431&lt;=90,"75-90")</f>
        <v>18-29</v>
      </c>
      <c r="M2431" t="str">
        <f>IF(Table1[[#This Row],[length_of_stay_days]]&gt;7,"Yes","No")</f>
        <v>No</v>
      </c>
    </row>
    <row r="2432" spans="1:13" x14ac:dyDescent="0.3">
      <c r="A2432" t="s">
        <v>2831</v>
      </c>
      <c r="B2432">
        <v>66</v>
      </c>
      <c r="C2432" t="s">
        <v>20</v>
      </c>
      <c r="D2432" t="s">
        <v>28</v>
      </c>
      <c r="E2432" t="s">
        <v>21</v>
      </c>
      <c r="F2432" t="s">
        <v>258</v>
      </c>
      <c r="G2432" t="s">
        <v>928</v>
      </c>
      <c r="H2432">
        <v>7</v>
      </c>
      <c r="I2432" s="1">
        <v>9075.44</v>
      </c>
      <c r="J2432" t="s">
        <v>17</v>
      </c>
      <c r="K2432" t="s">
        <v>18</v>
      </c>
      <c r="L2432" t="str" cm="1">
        <f t="array" ref="L2432">_xlfn.IFS(B2432&lt;30,"18-29",B2432&lt;45,"30-44",B2432&lt;60,"45-59",B2432&lt;75,"60-74",B2432&lt;=90,"75-90")</f>
        <v>60-74</v>
      </c>
      <c r="M2432" t="str">
        <f>IF(Table1[[#This Row],[length_of_stay_days]]&gt;7,"Yes","No")</f>
        <v>No</v>
      </c>
    </row>
    <row r="2433" spans="1:13" x14ac:dyDescent="0.3">
      <c r="A2433" t="s">
        <v>2832</v>
      </c>
      <c r="B2433">
        <v>88</v>
      </c>
      <c r="C2433" t="s">
        <v>12</v>
      </c>
      <c r="D2433" t="s">
        <v>13</v>
      </c>
      <c r="E2433" t="s">
        <v>21</v>
      </c>
      <c r="F2433" t="s">
        <v>364</v>
      </c>
      <c r="G2433" t="s">
        <v>101</v>
      </c>
      <c r="H2433">
        <v>3</v>
      </c>
      <c r="I2433" s="1">
        <v>6922.81</v>
      </c>
      <c r="J2433" t="s">
        <v>17</v>
      </c>
      <c r="K2433" t="s">
        <v>18</v>
      </c>
      <c r="L2433" t="str" cm="1">
        <f t="array" ref="L2433">_xlfn.IFS(B2433&lt;30,"18-29",B2433&lt;45,"30-44",B2433&lt;60,"45-59",B2433&lt;75,"60-74",B2433&lt;=90,"75-90")</f>
        <v>75-90</v>
      </c>
      <c r="M2433" t="str">
        <f>IF(Table1[[#This Row],[length_of_stay_days]]&gt;7,"Yes","No")</f>
        <v>No</v>
      </c>
    </row>
    <row r="2434" spans="1:13" x14ac:dyDescent="0.3">
      <c r="A2434" t="s">
        <v>2833</v>
      </c>
      <c r="B2434">
        <v>90</v>
      </c>
      <c r="C2434" t="s">
        <v>20</v>
      </c>
      <c r="D2434" t="s">
        <v>46</v>
      </c>
      <c r="E2434" t="s">
        <v>28</v>
      </c>
      <c r="F2434" t="s">
        <v>425</v>
      </c>
      <c r="G2434" t="s">
        <v>496</v>
      </c>
      <c r="H2434">
        <v>7</v>
      </c>
      <c r="I2434" s="1">
        <v>13812.34</v>
      </c>
      <c r="J2434" t="s">
        <v>17</v>
      </c>
      <c r="K2434" t="s">
        <v>18</v>
      </c>
      <c r="L2434" t="str" cm="1">
        <f t="array" ref="L2434">_xlfn.IFS(B2434&lt;30,"18-29",B2434&lt;45,"30-44",B2434&lt;60,"45-59",B2434&lt;75,"60-74",B2434&lt;=90,"75-90")</f>
        <v>75-90</v>
      </c>
      <c r="M2434" t="str">
        <f>IF(Table1[[#This Row],[length_of_stay_days]]&gt;7,"Yes","No")</f>
        <v>No</v>
      </c>
    </row>
    <row r="2435" spans="1:13" x14ac:dyDescent="0.3">
      <c r="A2435" t="s">
        <v>2834</v>
      </c>
      <c r="B2435">
        <v>30</v>
      </c>
      <c r="C2435" t="s">
        <v>12</v>
      </c>
      <c r="D2435" t="s">
        <v>55</v>
      </c>
      <c r="E2435" t="s">
        <v>21</v>
      </c>
      <c r="F2435" t="s">
        <v>86</v>
      </c>
      <c r="G2435" t="s">
        <v>350</v>
      </c>
      <c r="H2435">
        <v>7</v>
      </c>
      <c r="I2435" s="1">
        <v>8440.8700000000008</v>
      </c>
      <c r="J2435" t="s">
        <v>49</v>
      </c>
      <c r="K2435" t="s">
        <v>18</v>
      </c>
      <c r="L2435" t="str" cm="1">
        <f t="array" ref="L2435">_xlfn.IFS(B2435&lt;30,"18-29",B2435&lt;45,"30-44",B2435&lt;60,"45-59",B2435&lt;75,"60-74",B2435&lt;=90,"75-90")</f>
        <v>30-44</v>
      </c>
      <c r="M2435" t="str">
        <f>IF(Table1[[#This Row],[length_of_stay_days]]&gt;7,"Yes","No")</f>
        <v>No</v>
      </c>
    </row>
    <row r="2436" spans="1:13" x14ac:dyDescent="0.3">
      <c r="A2436" t="s">
        <v>2835</v>
      </c>
      <c r="B2436">
        <v>31</v>
      </c>
      <c r="C2436" t="s">
        <v>12</v>
      </c>
      <c r="D2436" t="s">
        <v>32</v>
      </c>
      <c r="E2436" t="s">
        <v>28</v>
      </c>
      <c r="F2436" t="s">
        <v>787</v>
      </c>
      <c r="G2436" t="s">
        <v>623</v>
      </c>
      <c r="H2436">
        <v>8</v>
      </c>
      <c r="I2436" s="1">
        <v>13559.5</v>
      </c>
      <c r="J2436" t="s">
        <v>17</v>
      </c>
      <c r="K2436" t="s">
        <v>18</v>
      </c>
      <c r="L2436" t="str" cm="1">
        <f t="array" ref="L2436">_xlfn.IFS(B2436&lt;30,"18-29",B2436&lt;45,"30-44",B2436&lt;60,"45-59",B2436&lt;75,"60-74",B2436&lt;=90,"75-90")</f>
        <v>30-44</v>
      </c>
      <c r="M2436" t="str">
        <f>IF(Table1[[#This Row],[length_of_stay_days]]&gt;7,"Yes","No")</f>
        <v>Yes</v>
      </c>
    </row>
    <row r="2437" spans="1:13" x14ac:dyDescent="0.3">
      <c r="A2437" t="s">
        <v>2836</v>
      </c>
      <c r="B2437">
        <v>18</v>
      </c>
      <c r="C2437" t="s">
        <v>20</v>
      </c>
      <c r="D2437" t="s">
        <v>55</v>
      </c>
      <c r="E2437" t="s">
        <v>28</v>
      </c>
      <c r="F2437" t="s">
        <v>43</v>
      </c>
      <c r="G2437" t="s">
        <v>430</v>
      </c>
      <c r="H2437">
        <v>5</v>
      </c>
      <c r="I2437" s="1">
        <v>9086.8700000000008</v>
      </c>
      <c r="J2437" t="s">
        <v>17</v>
      </c>
      <c r="K2437" t="s">
        <v>18</v>
      </c>
      <c r="L2437" t="str" cm="1">
        <f t="array" ref="L2437">_xlfn.IFS(B2437&lt;30,"18-29",B2437&lt;45,"30-44",B2437&lt;60,"45-59",B2437&lt;75,"60-74",B2437&lt;=90,"75-90")</f>
        <v>18-29</v>
      </c>
      <c r="M2437" t="str">
        <f>IF(Table1[[#This Row],[length_of_stay_days]]&gt;7,"Yes","No")</f>
        <v>No</v>
      </c>
    </row>
    <row r="2438" spans="1:13" x14ac:dyDescent="0.3">
      <c r="A2438" t="s">
        <v>2837</v>
      </c>
      <c r="B2438">
        <v>55</v>
      </c>
      <c r="C2438" t="s">
        <v>12</v>
      </c>
      <c r="D2438" t="s">
        <v>28</v>
      </c>
      <c r="E2438" t="s">
        <v>28</v>
      </c>
      <c r="F2438" t="s">
        <v>173</v>
      </c>
      <c r="G2438" t="s">
        <v>231</v>
      </c>
      <c r="H2438">
        <v>2</v>
      </c>
      <c r="I2438" s="1">
        <v>3455.85</v>
      </c>
      <c r="J2438" t="s">
        <v>49</v>
      </c>
      <c r="K2438" t="s">
        <v>18</v>
      </c>
      <c r="L2438" t="str" cm="1">
        <f t="array" ref="L2438">_xlfn.IFS(B2438&lt;30,"18-29",B2438&lt;45,"30-44",B2438&lt;60,"45-59",B2438&lt;75,"60-74",B2438&lt;=90,"75-90")</f>
        <v>45-59</v>
      </c>
      <c r="M2438" t="str">
        <f>IF(Table1[[#This Row],[length_of_stay_days]]&gt;7,"Yes","No")</f>
        <v>No</v>
      </c>
    </row>
    <row r="2439" spans="1:13" x14ac:dyDescent="0.3">
      <c r="A2439" t="s">
        <v>2838</v>
      </c>
      <c r="B2439">
        <v>27</v>
      </c>
      <c r="C2439" t="s">
        <v>20</v>
      </c>
      <c r="D2439" t="s">
        <v>51</v>
      </c>
      <c r="E2439" t="s">
        <v>28</v>
      </c>
      <c r="F2439" t="s">
        <v>1160</v>
      </c>
      <c r="G2439" t="s">
        <v>481</v>
      </c>
      <c r="H2439">
        <v>9</v>
      </c>
      <c r="I2439" s="1">
        <v>14823.72</v>
      </c>
      <c r="J2439" t="s">
        <v>17</v>
      </c>
      <c r="K2439" t="s">
        <v>18</v>
      </c>
      <c r="L2439" t="str" cm="1">
        <f t="array" ref="L2439">_xlfn.IFS(B2439&lt;30,"18-29",B2439&lt;45,"30-44",B2439&lt;60,"45-59",B2439&lt;75,"60-74",B2439&lt;=90,"75-90")</f>
        <v>18-29</v>
      </c>
      <c r="M2439" t="str">
        <f>IF(Table1[[#This Row],[length_of_stay_days]]&gt;7,"Yes","No")</f>
        <v>Yes</v>
      </c>
    </row>
    <row r="2440" spans="1:13" x14ac:dyDescent="0.3">
      <c r="A2440" t="s">
        <v>2839</v>
      </c>
      <c r="B2440">
        <v>34</v>
      </c>
      <c r="C2440" t="s">
        <v>12</v>
      </c>
      <c r="D2440" t="s">
        <v>13</v>
      </c>
      <c r="E2440" t="s">
        <v>14</v>
      </c>
      <c r="F2440" t="s">
        <v>141</v>
      </c>
      <c r="G2440" t="s">
        <v>493</v>
      </c>
      <c r="H2440">
        <v>4</v>
      </c>
      <c r="I2440" s="1">
        <v>4268.47</v>
      </c>
      <c r="J2440" t="s">
        <v>17</v>
      </c>
      <c r="K2440" t="s">
        <v>44</v>
      </c>
      <c r="L2440" t="str" cm="1">
        <f t="array" ref="L2440">_xlfn.IFS(B2440&lt;30,"18-29",B2440&lt;45,"30-44",B2440&lt;60,"45-59",B2440&lt;75,"60-74",B2440&lt;=90,"75-90")</f>
        <v>30-44</v>
      </c>
      <c r="M2440" t="str">
        <f>IF(Table1[[#This Row],[length_of_stay_days]]&gt;7,"Yes","No")</f>
        <v>No</v>
      </c>
    </row>
    <row r="2441" spans="1:13" x14ac:dyDescent="0.3">
      <c r="A2441" t="s">
        <v>2840</v>
      </c>
      <c r="B2441">
        <v>26</v>
      </c>
      <c r="C2441" t="s">
        <v>12</v>
      </c>
      <c r="D2441" t="s">
        <v>46</v>
      </c>
      <c r="E2441" t="s">
        <v>21</v>
      </c>
      <c r="F2441" t="s">
        <v>293</v>
      </c>
      <c r="G2441" t="s">
        <v>966</v>
      </c>
      <c r="H2441">
        <v>5</v>
      </c>
      <c r="I2441" s="1">
        <v>13327.22</v>
      </c>
      <c r="J2441" t="s">
        <v>17</v>
      </c>
      <c r="K2441" t="s">
        <v>18</v>
      </c>
      <c r="L2441" t="str" cm="1">
        <f t="array" ref="L2441">_xlfn.IFS(B2441&lt;30,"18-29",B2441&lt;45,"30-44",B2441&lt;60,"45-59",B2441&lt;75,"60-74",B2441&lt;=90,"75-90")</f>
        <v>18-29</v>
      </c>
      <c r="M2441" t="str">
        <f>IF(Table1[[#This Row],[length_of_stay_days]]&gt;7,"Yes","No")</f>
        <v>No</v>
      </c>
    </row>
    <row r="2442" spans="1:13" x14ac:dyDescent="0.3">
      <c r="A2442" t="s">
        <v>2841</v>
      </c>
      <c r="B2442">
        <v>43</v>
      </c>
      <c r="C2442" t="s">
        <v>20</v>
      </c>
      <c r="D2442" t="s">
        <v>32</v>
      </c>
      <c r="E2442" t="s">
        <v>14</v>
      </c>
      <c r="F2442" t="s">
        <v>121</v>
      </c>
      <c r="G2442" t="s">
        <v>62</v>
      </c>
      <c r="H2442">
        <v>6</v>
      </c>
      <c r="I2442" s="1">
        <v>11224.66</v>
      </c>
      <c r="J2442" t="s">
        <v>17</v>
      </c>
      <c r="K2442" t="s">
        <v>18</v>
      </c>
      <c r="L2442" t="str" cm="1">
        <f t="array" ref="L2442">_xlfn.IFS(B2442&lt;30,"18-29",B2442&lt;45,"30-44",B2442&lt;60,"45-59",B2442&lt;75,"60-74",B2442&lt;=90,"75-90")</f>
        <v>30-44</v>
      </c>
      <c r="M2442" t="str">
        <f>IF(Table1[[#This Row],[length_of_stay_days]]&gt;7,"Yes","No")</f>
        <v>No</v>
      </c>
    </row>
    <row r="2443" spans="1:13" x14ac:dyDescent="0.3">
      <c r="A2443" t="s">
        <v>2842</v>
      </c>
      <c r="B2443">
        <v>76</v>
      </c>
      <c r="C2443" t="s">
        <v>12</v>
      </c>
      <c r="D2443" t="s">
        <v>13</v>
      </c>
      <c r="E2443" t="s">
        <v>14</v>
      </c>
      <c r="F2443" t="s">
        <v>506</v>
      </c>
      <c r="G2443" t="s">
        <v>399</v>
      </c>
      <c r="H2443">
        <v>4</v>
      </c>
      <c r="I2443" s="1">
        <v>5262.18</v>
      </c>
      <c r="J2443" t="s">
        <v>17</v>
      </c>
      <c r="K2443" t="s">
        <v>18</v>
      </c>
      <c r="L2443" t="str" cm="1">
        <f t="array" ref="L2443">_xlfn.IFS(B2443&lt;30,"18-29",B2443&lt;45,"30-44",B2443&lt;60,"45-59",B2443&lt;75,"60-74",B2443&lt;=90,"75-90")</f>
        <v>75-90</v>
      </c>
      <c r="M2443" t="str">
        <f>IF(Table1[[#This Row],[length_of_stay_days]]&gt;7,"Yes","No")</f>
        <v>No</v>
      </c>
    </row>
    <row r="2444" spans="1:13" x14ac:dyDescent="0.3">
      <c r="A2444" t="s">
        <v>2843</v>
      </c>
      <c r="B2444">
        <v>28</v>
      </c>
      <c r="C2444" t="s">
        <v>20</v>
      </c>
      <c r="D2444" t="s">
        <v>13</v>
      </c>
      <c r="E2444" t="s">
        <v>21</v>
      </c>
      <c r="F2444" t="s">
        <v>92</v>
      </c>
      <c r="G2444" t="s">
        <v>182</v>
      </c>
      <c r="H2444">
        <v>5</v>
      </c>
      <c r="I2444" s="1">
        <v>4760.18</v>
      </c>
      <c r="J2444" t="s">
        <v>17</v>
      </c>
      <c r="K2444" t="s">
        <v>18</v>
      </c>
      <c r="L2444" t="str" cm="1">
        <f t="array" ref="L2444">_xlfn.IFS(B2444&lt;30,"18-29",B2444&lt;45,"30-44",B2444&lt;60,"45-59",B2444&lt;75,"60-74",B2444&lt;=90,"75-90")</f>
        <v>18-29</v>
      </c>
      <c r="M2444" t="str">
        <f>IF(Table1[[#This Row],[length_of_stay_days]]&gt;7,"Yes","No")</f>
        <v>No</v>
      </c>
    </row>
    <row r="2445" spans="1:13" x14ac:dyDescent="0.3">
      <c r="A2445" t="s">
        <v>2844</v>
      </c>
      <c r="B2445">
        <v>41</v>
      </c>
      <c r="C2445" t="s">
        <v>12</v>
      </c>
      <c r="D2445" t="s">
        <v>46</v>
      </c>
      <c r="E2445" t="s">
        <v>21</v>
      </c>
      <c r="F2445" t="s">
        <v>192</v>
      </c>
      <c r="G2445" t="s">
        <v>474</v>
      </c>
      <c r="H2445">
        <v>6</v>
      </c>
      <c r="I2445" s="1">
        <v>13090.42</v>
      </c>
      <c r="J2445" t="s">
        <v>17</v>
      </c>
      <c r="K2445" t="s">
        <v>18</v>
      </c>
      <c r="L2445" t="str" cm="1">
        <f t="array" ref="L2445">_xlfn.IFS(B2445&lt;30,"18-29",B2445&lt;45,"30-44",B2445&lt;60,"45-59",B2445&lt;75,"60-74",B2445&lt;=90,"75-90")</f>
        <v>30-44</v>
      </c>
      <c r="M2445" t="str">
        <f>IF(Table1[[#This Row],[length_of_stay_days]]&gt;7,"Yes","No")</f>
        <v>No</v>
      </c>
    </row>
    <row r="2446" spans="1:13" x14ac:dyDescent="0.3">
      <c r="A2446" t="s">
        <v>2845</v>
      </c>
      <c r="B2446">
        <v>38</v>
      </c>
      <c r="C2446" t="s">
        <v>70</v>
      </c>
      <c r="D2446" t="s">
        <v>28</v>
      </c>
      <c r="E2446" t="s">
        <v>28</v>
      </c>
      <c r="F2446" t="s">
        <v>623</v>
      </c>
      <c r="G2446" t="s">
        <v>194</v>
      </c>
      <c r="H2446">
        <v>7</v>
      </c>
      <c r="I2446" s="1">
        <v>7228.7</v>
      </c>
      <c r="J2446" t="s">
        <v>17</v>
      </c>
      <c r="K2446" t="s">
        <v>18</v>
      </c>
      <c r="L2446" t="str" cm="1">
        <f t="array" ref="L2446">_xlfn.IFS(B2446&lt;30,"18-29",B2446&lt;45,"30-44",B2446&lt;60,"45-59",B2446&lt;75,"60-74",B2446&lt;=90,"75-90")</f>
        <v>30-44</v>
      </c>
      <c r="M2446" t="str">
        <f>IF(Table1[[#This Row],[length_of_stay_days]]&gt;7,"Yes","No")</f>
        <v>No</v>
      </c>
    </row>
    <row r="2447" spans="1:13" x14ac:dyDescent="0.3">
      <c r="A2447" t="s">
        <v>2846</v>
      </c>
      <c r="B2447">
        <v>43</v>
      </c>
      <c r="C2447" t="s">
        <v>20</v>
      </c>
      <c r="D2447" t="s">
        <v>46</v>
      </c>
      <c r="E2447" t="s">
        <v>28</v>
      </c>
      <c r="F2447" t="s">
        <v>292</v>
      </c>
      <c r="G2447" t="s">
        <v>293</v>
      </c>
      <c r="H2447">
        <v>6</v>
      </c>
      <c r="I2447" s="1">
        <v>12102.51</v>
      </c>
      <c r="J2447" t="s">
        <v>17</v>
      </c>
      <c r="K2447" t="s">
        <v>18</v>
      </c>
      <c r="L2447" t="str" cm="1">
        <f t="array" ref="L2447">_xlfn.IFS(B2447&lt;30,"18-29",B2447&lt;45,"30-44",B2447&lt;60,"45-59",B2447&lt;75,"60-74",B2447&lt;=90,"75-90")</f>
        <v>30-44</v>
      </c>
      <c r="M2447" t="str">
        <f>IF(Table1[[#This Row],[length_of_stay_days]]&gt;7,"Yes","No")</f>
        <v>No</v>
      </c>
    </row>
    <row r="2448" spans="1:13" x14ac:dyDescent="0.3">
      <c r="A2448" t="s">
        <v>2847</v>
      </c>
      <c r="B2448">
        <v>66</v>
      </c>
      <c r="C2448" t="s">
        <v>20</v>
      </c>
      <c r="D2448" t="s">
        <v>32</v>
      </c>
      <c r="E2448" t="s">
        <v>21</v>
      </c>
      <c r="F2448" t="s">
        <v>413</v>
      </c>
      <c r="G2448" t="s">
        <v>339</v>
      </c>
      <c r="H2448">
        <v>7</v>
      </c>
      <c r="I2448" s="1">
        <v>11563.38</v>
      </c>
      <c r="J2448" t="s">
        <v>17</v>
      </c>
      <c r="K2448" t="s">
        <v>18</v>
      </c>
      <c r="L2448" t="str" cm="1">
        <f t="array" ref="L2448">_xlfn.IFS(B2448&lt;30,"18-29",B2448&lt;45,"30-44",B2448&lt;60,"45-59",B2448&lt;75,"60-74",B2448&lt;=90,"75-90")</f>
        <v>60-74</v>
      </c>
      <c r="M2448" t="str">
        <f>IF(Table1[[#This Row],[length_of_stay_days]]&gt;7,"Yes","No")</f>
        <v>No</v>
      </c>
    </row>
    <row r="2449" spans="1:13" x14ac:dyDescent="0.3">
      <c r="A2449" t="s">
        <v>2848</v>
      </c>
      <c r="B2449">
        <v>81</v>
      </c>
      <c r="C2449" t="s">
        <v>12</v>
      </c>
      <c r="D2449" t="s">
        <v>32</v>
      </c>
      <c r="E2449" t="s">
        <v>21</v>
      </c>
      <c r="F2449" t="s">
        <v>210</v>
      </c>
      <c r="G2449" t="s">
        <v>195</v>
      </c>
      <c r="H2449">
        <v>7</v>
      </c>
      <c r="I2449" s="1">
        <v>10095.81</v>
      </c>
      <c r="J2449" t="s">
        <v>17</v>
      </c>
      <c r="K2449" t="s">
        <v>18</v>
      </c>
      <c r="L2449" t="str" cm="1">
        <f t="array" ref="L2449">_xlfn.IFS(B2449&lt;30,"18-29",B2449&lt;45,"30-44",B2449&lt;60,"45-59",B2449&lt;75,"60-74",B2449&lt;=90,"75-90")</f>
        <v>75-90</v>
      </c>
      <c r="M2449" t="str">
        <f>IF(Table1[[#This Row],[length_of_stay_days]]&gt;7,"Yes","No")</f>
        <v>No</v>
      </c>
    </row>
    <row r="2450" spans="1:13" x14ac:dyDescent="0.3">
      <c r="A2450" t="s">
        <v>2849</v>
      </c>
      <c r="B2450">
        <v>20</v>
      </c>
      <c r="C2450" t="s">
        <v>12</v>
      </c>
      <c r="D2450" t="s">
        <v>55</v>
      </c>
      <c r="E2450" t="s">
        <v>28</v>
      </c>
      <c r="F2450" t="s">
        <v>485</v>
      </c>
      <c r="G2450" t="s">
        <v>208</v>
      </c>
      <c r="H2450">
        <v>7</v>
      </c>
      <c r="I2450" s="1">
        <v>12549.87</v>
      </c>
      <c r="J2450" t="s">
        <v>17</v>
      </c>
      <c r="K2450" t="s">
        <v>18</v>
      </c>
      <c r="L2450" t="str" cm="1">
        <f t="array" ref="L2450">_xlfn.IFS(B2450&lt;30,"18-29",B2450&lt;45,"30-44",B2450&lt;60,"45-59",B2450&lt;75,"60-74",B2450&lt;=90,"75-90")</f>
        <v>18-29</v>
      </c>
      <c r="M2450" t="str">
        <f>IF(Table1[[#This Row],[length_of_stay_days]]&gt;7,"Yes","No")</f>
        <v>No</v>
      </c>
    </row>
    <row r="2451" spans="1:13" x14ac:dyDescent="0.3">
      <c r="A2451" t="s">
        <v>2850</v>
      </c>
      <c r="B2451">
        <v>82</v>
      </c>
      <c r="C2451" t="s">
        <v>20</v>
      </c>
      <c r="D2451" t="s">
        <v>28</v>
      </c>
      <c r="E2451" t="s">
        <v>28</v>
      </c>
      <c r="F2451" t="s">
        <v>831</v>
      </c>
      <c r="G2451" t="s">
        <v>422</v>
      </c>
      <c r="H2451">
        <v>8</v>
      </c>
      <c r="I2451" s="1">
        <v>6444.48</v>
      </c>
      <c r="J2451" t="s">
        <v>49</v>
      </c>
      <c r="K2451" t="s">
        <v>18</v>
      </c>
      <c r="L2451" t="str" cm="1">
        <f t="array" ref="L2451">_xlfn.IFS(B2451&lt;30,"18-29",B2451&lt;45,"30-44",B2451&lt;60,"45-59",B2451&lt;75,"60-74",B2451&lt;=90,"75-90")</f>
        <v>75-90</v>
      </c>
      <c r="M2451" t="str">
        <f>IF(Table1[[#This Row],[length_of_stay_days]]&gt;7,"Yes","No")</f>
        <v>Yes</v>
      </c>
    </row>
    <row r="2452" spans="1:13" x14ac:dyDescent="0.3">
      <c r="A2452" t="s">
        <v>2851</v>
      </c>
      <c r="B2452">
        <v>47</v>
      </c>
      <c r="C2452" t="s">
        <v>20</v>
      </c>
      <c r="D2452" t="s">
        <v>13</v>
      </c>
      <c r="E2452" t="s">
        <v>21</v>
      </c>
      <c r="F2452" t="s">
        <v>198</v>
      </c>
      <c r="G2452" t="s">
        <v>547</v>
      </c>
      <c r="H2452">
        <v>8</v>
      </c>
      <c r="I2452" s="1">
        <v>9381.0499999999993</v>
      </c>
      <c r="J2452" t="s">
        <v>17</v>
      </c>
      <c r="K2452" t="s">
        <v>18</v>
      </c>
      <c r="L2452" t="str" cm="1">
        <f t="array" ref="L2452">_xlfn.IFS(B2452&lt;30,"18-29",B2452&lt;45,"30-44",B2452&lt;60,"45-59",B2452&lt;75,"60-74",B2452&lt;=90,"75-90")</f>
        <v>45-59</v>
      </c>
      <c r="M2452" t="str">
        <f>IF(Table1[[#This Row],[length_of_stay_days]]&gt;7,"Yes","No")</f>
        <v>Yes</v>
      </c>
    </row>
    <row r="2453" spans="1:13" x14ac:dyDescent="0.3">
      <c r="A2453" t="s">
        <v>2852</v>
      </c>
      <c r="B2453">
        <v>24</v>
      </c>
      <c r="C2453" t="s">
        <v>12</v>
      </c>
      <c r="D2453" t="s">
        <v>13</v>
      </c>
      <c r="E2453" t="s">
        <v>14</v>
      </c>
      <c r="F2453" t="s">
        <v>355</v>
      </c>
      <c r="G2453" t="s">
        <v>1160</v>
      </c>
      <c r="H2453">
        <v>2</v>
      </c>
      <c r="I2453" s="1">
        <v>6905.9</v>
      </c>
      <c r="J2453" t="s">
        <v>17</v>
      </c>
      <c r="K2453" t="s">
        <v>18</v>
      </c>
      <c r="L2453" t="str" cm="1">
        <f t="array" ref="L2453">_xlfn.IFS(B2453&lt;30,"18-29",B2453&lt;45,"30-44",B2453&lt;60,"45-59",B2453&lt;75,"60-74",B2453&lt;=90,"75-90")</f>
        <v>18-29</v>
      </c>
      <c r="M2453" t="str">
        <f>IF(Table1[[#This Row],[length_of_stay_days]]&gt;7,"Yes","No")</f>
        <v>No</v>
      </c>
    </row>
    <row r="2454" spans="1:13" x14ac:dyDescent="0.3">
      <c r="A2454" t="s">
        <v>2853</v>
      </c>
      <c r="B2454">
        <v>71</v>
      </c>
      <c r="C2454" t="s">
        <v>12</v>
      </c>
      <c r="D2454" t="s">
        <v>32</v>
      </c>
      <c r="E2454" t="s">
        <v>21</v>
      </c>
      <c r="F2454" t="s">
        <v>436</v>
      </c>
      <c r="G2454" t="s">
        <v>320</v>
      </c>
      <c r="H2454">
        <v>7</v>
      </c>
      <c r="I2454" s="1">
        <v>10563.48</v>
      </c>
      <c r="J2454" t="s">
        <v>49</v>
      </c>
      <c r="K2454" t="s">
        <v>18</v>
      </c>
      <c r="L2454" t="str" cm="1">
        <f t="array" ref="L2454">_xlfn.IFS(B2454&lt;30,"18-29",B2454&lt;45,"30-44",B2454&lt;60,"45-59",B2454&lt;75,"60-74",B2454&lt;=90,"75-90")</f>
        <v>60-74</v>
      </c>
      <c r="M2454" t="str">
        <f>IF(Table1[[#This Row],[length_of_stay_days]]&gt;7,"Yes","No")</f>
        <v>No</v>
      </c>
    </row>
    <row r="2455" spans="1:13" x14ac:dyDescent="0.3">
      <c r="A2455" t="s">
        <v>2854</v>
      </c>
      <c r="B2455">
        <v>66</v>
      </c>
      <c r="C2455" t="s">
        <v>20</v>
      </c>
      <c r="D2455" t="s">
        <v>28</v>
      </c>
      <c r="E2455" t="s">
        <v>28</v>
      </c>
      <c r="F2455" t="s">
        <v>308</v>
      </c>
      <c r="G2455" t="s">
        <v>724</v>
      </c>
      <c r="H2455">
        <v>5</v>
      </c>
      <c r="I2455" s="1">
        <v>6533.34</v>
      </c>
      <c r="J2455" t="s">
        <v>49</v>
      </c>
      <c r="K2455" t="s">
        <v>18</v>
      </c>
      <c r="L2455" t="str" cm="1">
        <f t="array" ref="L2455">_xlfn.IFS(B2455&lt;30,"18-29",B2455&lt;45,"30-44",B2455&lt;60,"45-59",B2455&lt;75,"60-74",B2455&lt;=90,"75-90")</f>
        <v>60-74</v>
      </c>
      <c r="M2455" t="str">
        <f>IF(Table1[[#This Row],[length_of_stay_days]]&gt;7,"Yes","No")</f>
        <v>No</v>
      </c>
    </row>
    <row r="2456" spans="1:13" x14ac:dyDescent="0.3">
      <c r="A2456" t="s">
        <v>2855</v>
      </c>
      <c r="B2456">
        <v>58</v>
      </c>
      <c r="C2456" t="s">
        <v>12</v>
      </c>
      <c r="D2456" t="s">
        <v>55</v>
      </c>
      <c r="E2456" t="s">
        <v>14</v>
      </c>
      <c r="F2456" t="s">
        <v>606</v>
      </c>
      <c r="G2456" t="s">
        <v>155</v>
      </c>
      <c r="H2456">
        <v>4</v>
      </c>
      <c r="I2456" s="1">
        <v>5382.45</v>
      </c>
      <c r="J2456" t="s">
        <v>49</v>
      </c>
      <c r="K2456" t="s">
        <v>18</v>
      </c>
      <c r="L2456" t="str" cm="1">
        <f t="array" ref="L2456">_xlfn.IFS(B2456&lt;30,"18-29",B2456&lt;45,"30-44",B2456&lt;60,"45-59",B2456&lt;75,"60-74",B2456&lt;=90,"75-90")</f>
        <v>45-59</v>
      </c>
      <c r="M2456" t="str">
        <f>IF(Table1[[#This Row],[length_of_stay_days]]&gt;7,"Yes","No")</f>
        <v>No</v>
      </c>
    </row>
    <row r="2457" spans="1:13" x14ac:dyDescent="0.3">
      <c r="A2457" t="s">
        <v>2856</v>
      </c>
      <c r="B2457">
        <v>58</v>
      </c>
      <c r="C2457" t="s">
        <v>12</v>
      </c>
      <c r="D2457" t="s">
        <v>55</v>
      </c>
      <c r="E2457" t="s">
        <v>28</v>
      </c>
      <c r="F2457" t="s">
        <v>47</v>
      </c>
      <c r="G2457" t="s">
        <v>348</v>
      </c>
      <c r="H2457">
        <v>7</v>
      </c>
      <c r="I2457" s="1">
        <v>11843.33</v>
      </c>
      <c r="J2457" t="s">
        <v>49</v>
      </c>
      <c r="K2457" t="s">
        <v>18</v>
      </c>
      <c r="L2457" t="str" cm="1">
        <f t="array" ref="L2457">_xlfn.IFS(B2457&lt;30,"18-29",B2457&lt;45,"30-44",B2457&lt;60,"45-59",B2457&lt;75,"60-74",B2457&lt;=90,"75-90")</f>
        <v>45-59</v>
      </c>
      <c r="M2457" t="str">
        <f>IF(Table1[[#This Row],[length_of_stay_days]]&gt;7,"Yes","No")</f>
        <v>No</v>
      </c>
    </row>
    <row r="2458" spans="1:13" x14ac:dyDescent="0.3">
      <c r="A2458" t="s">
        <v>2857</v>
      </c>
      <c r="B2458">
        <v>57</v>
      </c>
      <c r="C2458" t="s">
        <v>20</v>
      </c>
      <c r="D2458" t="s">
        <v>28</v>
      </c>
      <c r="E2458" t="s">
        <v>14</v>
      </c>
      <c r="F2458" t="s">
        <v>255</v>
      </c>
      <c r="G2458" t="s">
        <v>285</v>
      </c>
      <c r="H2458">
        <v>4</v>
      </c>
      <c r="I2458" s="1">
        <v>5896.62</v>
      </c>
      <c r="J2458" t="s">
        <v>17</v>
      </c>
      <c r="K2458" t="s">
        <v>18</v>
      </c>
      <c r="L2458" t="str" cm="1">
        <f t="array" ref="L2458">_xlfn.IFS(B2458&lt;30,"18-29",B2458&lt;45,"30-44",B2458&lt;60,"45-59",B2458&lt;75,"60-74",B2458&lt;=90,"75-90")</f>
        <v>45-59</v>
      </c>
      <c r="M2458" t="str">
        <f>IF(Table1[[#This Row],[length_of_stay_days]]&gt;7,"Yes","No")</f>
        <v>No</v>
      </c>
    </row>
    <row r="2459" spans="1:13" x14ac:dyDescent="0.3">
      <c r="A2459" t="s">
        <v>2858</v>
      </c>
      <c r="B2459">
        <v>32</v>
      </c>
      <c r="C2459" t="s">
        <v>20</v>
      </c>
      <c r="D2459" t="s">
        <v>55</v>
      </c>
      <c r="E2459" t="s">
        <v>28</v>
      </c>
      <c r="F2459" t="s">
        <v>623</v>
      </c>
      <c r="G2459" t="s">
        <v>194</v>
      </c>
      <c r="H2459">
        <v>7</v>
      </c>
      <c r="I2459" s="1">
        <v>12169.96</v>
      </c>
      <c r="J2459" t="s">
        <v>17</v>
      </c>
      <c r="K2459" t="s">
        <v>18</v>
      </c>
      <c r="L2459" t="str" cm="1">
        <f t="array" ref="L2459">_xlfn.IFS(B2459&lt;30,"18-29",B2459&lt;45,"30-44",B2459&lt;60,"45-59",B2459&lt;75,"60-74",B2459&lt;=90,"75-90")</f>
        <v>30-44</v>
      </c>
      <c r="M2459" t="str">
        <f>IF(Table1[[#This Row],[length_of_stay_days]]&gt;7,"Yes","No")</f>
        <v>No</v>
      </c>
    </row>
    <row r="2460" spans="1:13" x14ac:dyDescent="0.3">
      <c r="A2460" t="s">
        <v>2859</v>
      </c>
      <c r="B2460">
        <v>31</v>
      </c>
      <c r="C2460" t="s">
        <v>20</v>
      </c>
      <c r="D2460" t="s">
        <v>32</v>
      </c>
      <c r="E2460" t="s">
        <v>28</v>
      </c>
      <c r="F2460" t="s">
        <v>364</v>
      </c>
      <c r="G2460" t="s">
        <v>337</v>
      </c>
      <c r="H2460">
        <v>9</v>
      </c>
      <c r="I2460" s="1">
        <v>13655.35</v>
      </c>
      <c r="J2460" t="s">
        <v>17</v>
      </c>
      <c r="K2460" t="s">
        <v>18</v>
      </c>
      <c r="L2460" t="str" cm="1">
        <f t="array" ref="L2460">_xlfn.IFS(B2460&lt;30,"18-29",B2460&lt;45,"30-44",B2460&lt;60,"45-59",B2460&lt;75,"60-74",B2460&lt;=90,"75-90")</f>
        <v>30-44</v>
      </c>
      <c r="M2460" t="str">
        <f>IF(Table1[[#This Row],[length_of_stay_days]]&gt;7,"Yes","No")</f>
        <v>Yes</v>
      </c>
    </row>
    <row r="2461" spans="1:13" x14ac:dyDescent="0.3">
      <c r="A2461" t="s">
        <v>2860</v>
      </c>
      <c r="B2461">
        <v>35</v>
      </c>
      <c r="C2461" t="s">
        <v>12</v>
      </c>
      <c r="D2461" t="s">
        <v>13</v>
      </c>
      <c r="E2461" t="s">
        <v>28</v>
      </c>
      <c r="F2461" t="s">
        <v>1207</v>
      </c>
      <c r="G2461" t="s">
        <v>499</v>
      </c>
      <c r="H2461">
        <v>8</v>
      </c>
      <c r="I2461" s="1">
        <v>8538.1</v>
      </c>
      <c r="J2461" t="s">
        <v>17</v>
      </c>
      <c r="K2461" t="s">
        <v>18</v>
      </c>
      <c r="L2461" t="str" cm="1">
        <f t="array" ref="L2461">_xlfn.IFS(B2461&lt;30,"18-29",B2461&lt;45,"30-44",B2461&lt;60,"45-59",B2461&lt;75,"60-74",B2461&lt;=90,"75-90")</f>
        <v>30-44</v>
      </c>
      <c r="M2461" t="str">
        <f>IF(Table1[[#This Row],[length_of_stay_days]]&gt;7,"Yes","No")</f>
        <v>Yes</v>
      </c>
    </row>
    <row r="2462" spans="1:13" x14ac:dyDescent="0.3">
      <c r="A2462" t="s">
        <v>2861</v>
      </c>
      <c r="B2462">
        <v>27</v>
      </c>
      <c r="C2462" t="s">
        <v>20</v>
      </c>
      <c r="D2462" t="s">
        <v>51</v>
      </c>
      <c r="E2462" t="s">
        <v>28</v>
      </c>
      <c r="F2462" t="s">
        <v>787</v>
      </c>
      <c r="G2462" t="s">
        <v>428</v>
      </c>
      <c r="H2462">
        <v>4</v>
      </c>
      <c r="I2462" s="1">
        <v>11619.27</v>
      </c>
      <c r="J2462" t="s">
        <v>17</v>
      </c>
      <c r="K2462" t="s">
        <v>18</v>
      </c>
      <c r="L2462" t="str" cm="1">
        <f t="array" ref="L2462">_xlfn.IFS(B2462&lt;30,"18-29",B2462&lt;45,"30-44",B2462&lt;60,"45-59",B2462&lt;75,"60-74",B2462&lt;=90,"75-90")</f>
        <v>18-29</v>
      </c>
      <c r="M2462" t="str">
        <f>IF(Table1[[#This Row],[length_of_stay_days]]&gt;7,"Yes","No")</f>
        <v>No</v>
      </c>
    </row>
    <row r="2463" spans="1:13" x14ac:dyDescent="0.3">
      <c r="A2463" t="s">
        <v>2862</v>
      </c>
      <c r="B2463">
        <v>50</v>
      </c>
      <c r="C2463" t="s">
        <v>12</v>
      </c>
      <c r="D2463" t="s">
        <v>55</v>
      </c>
      <c r="E2463" t="s">
        <v>28</v>
      </c>
      <c r="F2463" t="s">
        <v>77</v>
      </c>
      <c r="G2463" t="s">
        <v>78</v>
      </c>
      <c r="H2463">
        <v>6</v>
      </c>
      <c r="I2463" s="1">
        <v>8596.58</v>
      </c>
      <c r="J2463" t="s">
        <v>17</v>
      </c>
      <c r="K2463" t="s">
        <v>223</v>
      </c>
      <c r="L2463" t="str" cm="1">
        <f t="array" ref="L2463">_xlfn.IFS(B2463&lt;30,"18-29",B2463&lt;45,"30-44",B2463&lt;60,"45-59",B2463&lt;75,"60-74",B2463&lt;=90,"75-90")</f>
        <v>45-59</v>
      </c>
      <c r="M2463" t="str">
        <f>IF(Table1[[#This Row],[length_of_stay_days]]&gt;7,"Yes","No")</f>
        <v>No</v>
      </c>
    </row>
    <row r="2464" spans="1:13" x14ac:dyDescent="0.3">
      <c r="A2464" t="s">
        <v>2863</v>
      </c>
      <c r="B2464">
        <v>78</v>
      </c>
      <c r="C2464" t="s">
        <v>20</v>
      </c>
      <c r="D2464" t="s">
        <v>55</v>
      </c>
      <c r="E2464" t="s">
        <v>28</v>
      </c>
      <c r="F2464" t="s">
        <v>118</v>
      </c>
      <c r="G2464" t="s">
        <v>137</v>
      </c>
      <c r="H2464">
        <v>1</v>
      </c>
      <c r="I2464" s="1">
        <v>6527.45</v>
      </c>
      <c r="J2464" t="s">
        <v>17</v>
      </c>
      <c r="K2464" t="s">
        <v>18</v>
      </c>
      <c r="L2464" t="str" cm="1">
        <f t="array" ref="L2464">_xlfn.IFS(B2464&lt;30,"18-29",B2464&lt;45,"30-44",B2464&lt;60,"45-59",B2464&lt;75,"60-74",B2464&lt;=90,"75-90")</f>
        <v>75-90</v>
      </c>
      <c r="M2464" t="str">
        <f>IF(Table1[[#This Row],[length_of_stay_days]]&gt;7,"Yes","No")</f>
        <v>No</v>
      </c>
    </row>
    <row r="2465" spans="1:13" x14ac:dyDescent="0.3">
      <c r="A2465" t="s">
        <v>2864</v>
      </c>
      <c r="B2465">
        <v>53</v>
      </c>
      <c r="C2465" t="s">
        <v>12</v>
      </c>
      <c r="D2465" t="s">
        <v>32</v>
      </c>
      <c r="E2465" t="s">
        <v>28</v>
      </c>
      <c r="F2465" t="s">
        <v>61</v>
      </c>
      <c r="G2465" t="s">
        <v>314</v>
      </c>
      <c r="H2465">
        <v>8</v>
      </c>
      <c r="I2465" s="1">
        <v>15024.57</v>
      </c>
      <c r="J2465" t="s">
        <v>17</v>
      </c>
      <c r="K2465" t="s">
        <v>18</v>
      </c>
      <c r="L2465" t="str" cm="1">
        <f t="array" ref="L2465">_xlfn.IFS(B2465&lt;30,"18-29",B2465&lt;45,"30-44",B2465&lt;60,"45-59",B2465&lt;75,"60-74",B2465&lt;=90,"75-90")</f>
        <v>45-59</v>
      </c>
      <c r="M2465" t="str">
        <f>IF(Table1[[#This Row],[length_of_stay_days]]&gt;7,"Yes","No")</f>
        <v>Yes</v>
      </c>
    </row>
    <row r="2466" spans="1:13" x14ac:dyDescent="0.3">
      <c r="A2466" t="s">
        <v>2865</v>
      </c>
      <c r="B2466">
        <v>29</v>
      </c>
      <c r="C2466" t="s">
        <v>12</v>
      </c>
      <c r="D2466" t="s">
        <v>32</v>
      </c>
      <c r="E2466" t="s">
        <v>14</v>
      </c>
      <c r="F2466" t="s">
        <v>837</v>
      </c>
      <c r="G2466" t="s">
        <v>333</v>
      </c>
      <c r="H2466">
        <v>5</v>
      </c>
      <c r="I2466" s="1">
        <v>13464.96</v>
      </c>
      <c r="J2466" t="s">
        <v>17</v>
      </c>
      <c r="K2466" t="s">
        <v>18</v>
      </c>
      <c r="L2466" t="str" cm="1">
        <f t="array" ref="L2466">_xlfn.IFS(B2466&lt;30,"18-29",B2466&lt;45,"30-44",B2466&lt;60,"45-59",B2466&lt;75,"60-74",B2466&lt;=90,"75-90")</f>
        <v>18-29</v>
      </c>
      <c r="M2466" t="str">
        <f>IF(Table1[[#This Row],[length_of_stay_days]]&gt;7,"Yes","No")</f>
        <v>No</v>
      </c>
    </row>
    <row r="2467" spans="1:13" x14ac:dyDescent="0.3">
      <c r="A2467" t="s">
        <v>2866</v>
      </c>
      <c r="B2467">
        <v>23</v>
      </c>
      <c r="C2467" t="s">
        <v>12</v>
      </c>
      <c r="D2467" t="s">
        <v>32</v>
      </c>
      <c r="E2467" t="s">
        <v>21</v>
      </c>
      <c r="F2467" t="s">
        <v>169</v>
      </c>
      <c r="G2467" t="s">
        <v>344</v>
      </c>
      <c r="H2467">
        <v>6</v>
      </c>
      <c r="I2467" s="1">
        <v>8887.23</v>
      </c>
      <c r="J2467" t="s">
        <v>17</v>
      </c>
      <c r="K2467" t="s">
        <v>18</v>
      </c>
      <c r="L2467" t="str" cm="1">
        <f t="array" ref="L2467">_xlfn.IFS(B2467&lt;30,"18-29",B2467&lt;45,"30-44",B2467&lt;60,"45-59",B2467&lt;75,"60-74",B2467&lt;=90,"75-90")</f>
        <v>18-29</v>
      </c>
      <c r="M2467" t="str">
        <f>IF(Table1[[#This Row],[length_of_stay_days]]&gt;7,"Yes","No")</f>
        <v>No</v>
      </c>
    </row>
    <row r="2468" spans="1:13" x14ac:dyDescent="0.3">
      <c r="A2468" t="s">
        <v>2867</v>
      </c>
      <c r="B2468">
        <v>24</v>
      </c>
      <c r="C2468" t="s">
        <v>12</v>
      </c>
      <c r="D2468" t="s">
        <v>46</v>
      </c>
      <c r="E2468" t="s">
        <v>21</v>
      </c>
      <c r="F2468" t="s">
        <v>93</v>
      </c>
      <c r="G2468" t="s">
        <v>776</v>
      </c>
      <c r="H2468">
        <v>5</v>
      </c>
      <c r="I2468" s="1">
        <v>11378.75</v>
      </c>
      <c r="J2468" t="s">
        <v>17</v>
      </c>
      <c r="K2468" t="s">
        <v>18</v>
      </c>
      <c r="L2468" t="str" cm="1">
        <f t="array" ref="L2468">_xlfn.IFS(B2468&lt;30,"18-29",B2468&lt;45,"30-44",B2468&lt;60,"45-59",B2468&lt;75,"60-74",B2468&lt;=90,"75-90")</f>
        <v>18-29</v>
      </c>
      <c r="M2468" t="str">
        <f>IF(Table1[[#This Row],[length_of_stay_days]]&gt;7,"Yes","No")</f>
        <v>No</v>
      </c>
    </row>
    <row r="2469" spans="1:13" x14ac:dyDescent="0.3">
      <c r="A2469" t="s">
        <v>2868</v>
      </c>
      <c r="B2469">
        <v>35</v>
      </c>
      <c r="C2469" t="s">
        <v>20</v>
      </c>
      <c r="D2469" t="s">
        <v>32</v>
      </c>
      <c r="E2469" t="s">
        <v>14</v>
      </c>
      <c r="F2469" t="s">
        <v>275</v>
      </c>
      <c r="G2469" t="s">
        <v>776</v>
      </c>
      <c r="H2469">
        <v>6</v>
      </c>
      <c r="I2469" s="1">
        <v>13054.59</v>
      </c>
      <c r="J2469" t="s">
        <v>17</v>
      </c>
      <c r="K2469" t="s">
        <v>18</v>
      </c>
      <c r="L2469" t="str" cm="1">
        <f t="array" ref="L2469">_xlfn.IFS(B2469&lt;30,"18-29",B2469&lt;45,"30-44",B2469&lt;60,"45-59",B2469&lt;75,"60-74",B2469&lt;=90,"75-90")</f>
        <v>30-44</v>
      </c>
      <c r="M2469" t="str">
        <f>IF(Table1[[#This Row],[length_of_stay_days]]&gt;7,"Yes","No")</f>
        <v>No</v>
      </c>
    </row>
    <row r="2470" spans="1:13" x14ac:dyDescent="0.3">
      <c r="A2470" t="s">
        <v>2869</v>
      </c>
      <c r="B2470">
        <v>37</v>
      </c>
      <c r="C2470" t="s">
        <v>20</v>
      </c>
      <c r="D2470" t="s">
        <v>28</v>
      </c>
      <c r="E2470" t="s">
        <v>28</v>
      </c>
      <c r="F2470" t="s">
        <v>451</v>
      </c>
      <c r="G2470" t="s">
        <v>352</v>
      </c>
      <c r="H2470">
        <v>4</v>
      </c>
      <c r="I2470" s="1">
        <v>4674.59</v>
      </c>
      <c r="J2470" t="s">
        <v>17</v>
      </c>
      <c r="K2470" t="s">
        <v>18</v>
      </c>
      <c r="L2470" t="str" cm="1">
        <f t="array" ref="L2470">_xlfn.IFS(B2470&lt;30,"18-29",B2470&lt;45,"30-44",B2470&lt;60,"45-59",B2470&lt;75,"60-74",B2470&lt;=90,"75-90")</f>
        <v>30-44</v>
      </c>
      <c r="M2470" t="str">
        <f>IF(Table1[[#This Row],[length_of_stay_days]]&gt;7,"Yes","No")</f>
        <v>No</v>
      </c>
    </row>
    <row r="2471" spans="1:13" x14ac:dyDescent="0.3">
      <c r="A2471" t="s">
        <v>2870</v>
      </c>
      <c r="B2471">
        <v>19</v>
      </c>
      <c r="C2471" t="s">
        <v>20</v>
      </c>
      <c r="D2471" t="s">
        <v>28</v>
      </c>
      <c r="E2471" t="s">
        <v>21</v>
      </c>
      <c r="F2471" t="s">
        <v>59</v>
      </c>
      <c r="G2471" t="s">
        <v>123</v>
      </c>
      <c r="H2471">
        <v>3</v>
      </c>
      <c r="I2471" s="1">
        <v>7047.55</v>
      </c>
      <c r="J2471" t="s">
        <v>17</v>
      </c>
      <c r="K2471" t="s">
        <v>18</v>
      </c>
      <c r="L2471" t="str" cm="1">
        <f t="array" ref="L2471">_xlfn.IFS(B2471&lt;30,"18-29",B2471&lt;45,"30-44",B2471&lt;60,"45-59",B2471&lt;75,"60-74",B2471&lt;=90,"75-90")</f>
        <v>18-29</v>
      </c>
      <c r="M2471" t="str">
        <f>IF(Table1[[#This Row],[length_of_stay_days]]&gt;7,"Yes","No")</f>
        <v>No</v>
      </c>
    </row>
    <row r="2472" spans="1:13" x14ac:dyDescent="0.3">
      <c r="A2472" t="s">
        <v>2871</v>
      </c>
      <c r="B2472">
        <v>72</v>
      </c>
      <c r="C2472" t="s">
        <v>12</v>
      </c>
      <c r="D2472" t="s">
        <v>32</v>
      </c>
      <c r="E2472" t="s">
        <v>14</v>
      </c>
      <c r="F2472" t="s">
        <v>194</v>
      </c>
      <c r="G2472" t="s">
        <v>245</v>
      </c>
      <c r="H2472">
        <v>7</v>
      </c>
      <c r="I2472" s="1">
        <v>12822.28</v>
      </c>
      <c r="J2472" t="s">
        <v>17</v>
      </c>
      <c r="K2472" t="s">
        <v>18</v>
      </c>
      <c r="L2472" t="str" cm="1">
        <f t="array" ref="L2472">_xlfn.IFS(B2472&lt;30,"18-29",B2472&lt;45,"30-44",B2472&lt;60,"45-59",B2472&lt;75,"60-74",B2472&lt;=90,"75-90")</f>
        <v>60-74</v>
      </c>
      <c r="M2472" t="str">
        <f>IF(Table1[[#This Row],[length_of_stay_days]]&gt;7,"Yes","No")</f>
        <v>No</v>
      </c>
    </row>
    <row r="2473" spans="1:13" x14ac:dyDescent="0.3">
      <c r="A2473" t="s">
        <v>2872</v>
      </c>
      <c r="B2473">
        <v>43</v>
      </c>
      <c r="C2473" t="s">
        <v>12</v>
      </c>
      <c r="D2473" t="s">
        <v>28</v>
      </c>
      <c r="E2473" t="s">
        <v>14</v>
      </c>
      <c r="F2473" t="s">
        <v>581</v>
      </c>
      <c r="G2473" t="s">
        <v>559</v>
      </c>
      <c r="H2473">
        <v>5</v>
      </c>
      <c r="I2473" s="1">
        <v>5348.69</v>
      </c>
      <c r="J2473" t="s">
        <v>17</v>
      </c>
      <c r="K2473" t="s">
        <v>18</v>
      </c>
      <c r="L2473" t="str" cm="1">
        <f t="array" ref="L2473">_xlfn.IFS(B2473&lt;30,"18-29",B2473&lt;45,"30-44",B2473&lt;60,"45-59",B2473&lt;75,"60-74",B2473&lt;=90,"75-90")</f>
        <v>30-44</v>
      </c>
      <c r="M2473" t="str">
        <f>IF(Table1[[#This Row],[length_of_stay_days]]&gt;7,"Yes","No")</f>
        <v>No</v>
      </c>
    </row>
    <row r="2474" spans="1:13" x14ac:dyDescent="0.3">
      <c r="A2474" t="s">
        <v>2873</v>
      </c>
      <c r="B2474">
        <v>33</v>
      </c>
      <c r="C2474" t="s">
        <v>12</v>
      </c>
      <c r="D2474" t="s">
        <v>28</v>
      </c>
      <c r="E2474" t="s">
        <v>28</v>
      </c>
      <c r="F2474" t="s">
        <v>762</v>
      </c>
      <c r="G2474" t="s">
        <v>342</v>
      </c>
      <c r="H2474">
        <v>4</v>
      </c>
      <c r="I2474" s="1">
        <v>4759.72</v>
      </c>
      <c r="J2474" t="s">
        <v>17</v>
      </c>
      <c r="K2474" t="s">
        <v>223</v>
      </c>
      <c r="L2474" t="str" cm="1">
        <f t="array" ref="L2474">_xlfn.IFS(B2474&lt;30,"18-29",B2474&lt;45,"30-44",B2474&lt;60,"45-59",B2474&lt;75,"60-74",B2474&lt;=90,"75-90")</f>
        <v>30-44</v>
      </c>
      <c r="M2474" t="str">
        <f>IF(Table1[[#This Row],[length_of_stay_days]]&gt;7,"Yes","No")</f>
        <v>No</v>
      </c>
    </row>
    <row r="2475" spans="1:13" x14ac:dyDescent="0.3">
      <c r="A2475" t="s">
        <v>2874</v>
      </c>
      <c r="B2475">
        <v>36</v>
      </c>
      <c r="C2475" t="s">
        <v>12</v>
      </c>
      <c r="D2475" t="s">
        <v>51</v>
      </c>
      <c r="E2475" t="s">
        <v>28</v>
      </c>
      <c r="F2475" t="s">
        <v>410</v>
      </c>
      <c r="G2475" t="s">
        <v>1207</v>
      </c>
      <c r="H2475">
        <v>8</v>
      </c>
      <c r="I2475" s="1">
        <v>11478.6</v>
      </c>
      <c r="J2475" t="s">
        <v>49</v>
      </c>
      <c r="K2475" t="s">
        <v>18</v>
      </c>
      <c r="L2475" t="str" cm="1">
        <f t="array" ref="L2475">_xlfn.IFS(B2475&lt;30,"18-29",B2475&lt;45,"30-44",B2475&lt;60,"45-59",B2475&lt;75,"60-74",B2475&lt;=90,"75-90")</f>
        <v>30-44</v>
      </c>
      <c r="M2475" t="str">
        <f>IF(Table1[[#This Row],[length_of_stay_days]]&gt;7,"Yes","No")</f>
        <v>Yes</v>
      </c>
    </row>
    <row r="2476" spans="1:13" x14ac:dyDescent="0.3">
      <c r="A2476" t="s">
        <v>2875</v>
      </c>
      <c r="B2476">
        <v>82</v>
      </c>
      <c r="C2476" t="s">
        <v>20</v>
      </c>
      <c r="D2476" t="s">
        <v>55</v>
      </c>
      <c r="E2476" t="s">
        <v>14</v>
      </c>
      <c r="F2476" t="s">
        <v>471</v>
      </c>
      <c r="G2476" t="s">
        <v>430</v>
      </c>
      <c r="H2476">
        <v>7</v>
      </c>
      <c r="I2476" s="1">
        <v>12664.55</v>
      </c>
      <c r="J2476" t="s">
        <v>49</v>
      </c>
      <c r="K2476" t="s">
        <v>18</v>
      </c>
      <c r="L2476" t="str" cm="1">
        <f t="array" ref="L2476">_xlfn.IFS(B2476&lt;30,"18-29",B2476&lt;45,"30-44",B2476&lt;60,"45-59",B2476&lt;75,"60-74",B2476&lt;=90,"75-90")</f>
        <v>75-90</v>
      </c>
      <c r="M2476" t="str">
        <f>IF(Table1[[#This Row],[length_of_stay_days]]&gt;7,"Yes","No")</f>
        <v>No</v>
      </c>
    </row>
    <row r="2477" spans="1:13" x14ac:dyDescent="0.3">
      <c r="A2477" t="s">
        <v>2876</v>
      </c>
      <c r="B2477">
        <v>39</v>
      </c>
      <c r="C2477" t="s">
        <v>20</v>
      </c>
      <c r="D2477" t="s">
        <v>32</v>
      </c>
      <c r="E2477" t="s">
        <v>28</v>
      </c>
      <c r="F2477" t="s">
        <v>112</v>
      </c>
      <c r="G2477" t="s">
        <v>124</v>
      </c>
      <c r="H2477">
        <v>4</v>
      </c>
      <c r="I2477" s="1">
        <v>12086.36</v>
      </c>
      <c r="J2477" t="s">
        <v>17</v>
      </c>
      <c r="K2477" t="s">
        <v>223</v>
      </c>
      <c r="L2477" t="str" cm="1">
        <f t="array" ref="L2477">_xlfn.IFS(B2477&lt;30,"18-29",B2477&lt;45,"30-44",B2477&lt;60,"45-59",B2477&lt;75,"60-74",B2477&lt;=90,"75-90")</f>
        <v>30-44</v>
      </c>
      <c r="M2477" t="str">
        <f>IF(Table1[[#This Row],[length_of_stay_days]]&gt;7,"Yes","No")</f>
        <v>No</v>
      </c>
    </row>
    <row r="2478" spans="1:13" x14ac:dyDescent="0.3">
      <c r="A2478" t="s">
        <v>2877</v>
      </c>
      <c r="B2478">
        <v>24</v>
      </c>
      <c r="C2478" t="s">
        <v>12</v>
      </c>
      <c r="D2478" t="s">
        <v>13</v>
      </c>
      <c r="E2478" t="s">
        <v>14</v>
      </c>
      <c r="F2478" t="s">
        <v>311</v>
      </c>
      <c r="G2478" t="s">
        <v>89</v>
      </c>
      <c r="H2478">
        <v>3</v>
      </c>
      <c r="I2478" s="1">
        <v>7116.15</v>
      </c>
      <c r="J2478" t="s">
        <v>17</v>
      </c>
      <c r="K2478" t="s">
        <v>18</v>
      </c>
      <c r="L2478" t="str" cm="1">
        <f t="array" ref="L2478">_xlfn.IFS(B2478&lt;30,"18-29",B2478&lt;45,"30-44",B2478&lt;60,"45-59",B2478&lt;75,"60-74",B2478&lt;=90,"75-90")</f>
        <v>18-29</v>
      </c>
      <c r="M2478" t="str">
        <f>IF(Table1[[#This Row],[length_of_stay_days]]&gt;7,"Yes","No")</f>
        <v>No</v>
      </c>
    </row>
    <row r="2479" spans="1:13" x14ac:dyDescent="0.3">
      <c r="A2479" t="s">
        <v>2878</v>
      </c>
      <c r="B2479">
        <v>89</v>
      </c>
      <c r="C2479" t="s">
        <v>20</v>
      </c>
      <c r="D2479" t="s">
        <v>13</v>
      </c>
      <c r="E2479" t="s">
        <v>21</v>
      </c>
      <c r="F2479" t="s">
        <v>255</v>
      </c>
      <c r="G2479" t="s">
        <v>229</v>
      </c>
      <c r="H2479">
        <v>9</v>
      </c>
      <c r="I2479" s="1">
        <v>5984.85</v>
      </c>
      <c r="J2479" t="s">
        <v>49</v>
      </c>
      <c r="K2479" t="s">
        <v>18</v>
      </c>
      <c r="L2479" t="str" cm="1">
        <f t="array" ref="L2479">_xlfn.IFS(B2479&lt;30,"18-29",B2479&lt;45,"30-44",B2479&lt;60,"45-59",B2479&lt;75,"60-74",B2479&lt;=90,"75-90")</f>
        <v>75-90</v>
      </c>
      <c r="M2479" t="str">
        <f>IF(Table1[[#This Row],[length_of_stay_days]]&gt;7,"Yes","No")</f>
        <v>Yes</v>
      </c>
    </row>
    <row r="2480" spans="1:13" x14ac:dyDescent="0.3">
      <c r="A2480" t="s">
        <v>2879</v>
      </c>
      <c r="B2480">
        <v>46</v>
      </c>
      <c r="C2480" t="s">
        <v>20</v>
      </c>
      <c r="D2480" t="s">
        <v>32</v>
      </c>
      <c r="E2480" t="s">
        <v>21</v>
      </c>
      <c r="F2480" t="s">
        <v>99</v>
      </c>
      <c r="G2480" t="s">
        <v>559</v>
      </c>
      <c r="H2480">
        <v>8</v>
      </c>
      <c r="I2480" s="1">
        <v>12472.33</v>
      </c>
      <c r="J2480" t="s">
        <v>17</v>
      </c>
      <c r="K2480" t="s">
        <v>44</v>
      </c>
      <c r="L2480" t="str" cm="1">
        <f t="array" ref="L2480">_xlfn.IFS(B2480&lt;30,"18-29",B2480&lt;45,"30-44",B2480&lt;60,"45-59",B2480&lt;75,"60-74",B2480&lt;=90,"75-90")</f>
        <v>45-59</v>
      </c>
      <c r="M2480" t="str">
        <f>IF(Table1[[#This Row],[length_of_stay_days]]&gt;7,"Yes","No")</f>
        <v>Yes</v>
      </c>
    </row>
    <row r="2481" spans="1:13" x14ac:dyDescent="0.3">
      <c r="A2481" t="s">
        <v>2880</v>
      </c>
      <c r="B2481">
        <v>23</v>
      </c>
      <c r="C2481" t="s">
        <v>20</v>
      </c>
      <c r="D2481" t="s">
        <v>13</v>
      </c>
      <c r="E2481" t="s">
        <v>28</v>
      </c>
      <c r="F2481" t="s">
        <v>108</v>
      </c>
      <c r="G2481" t="s">
        <v>286</v>
      </c>
      <c r="H2481">
        <v>4</v>
      </c>
      <c r="I2481" s="1">
        <v>5570.31</v>
      </c>
      <c r="J2481" t="s">
        <v>49</v>
      </c>
      <c r="K2481" t="s">
        <v>18</v>
      </c>
      <c r="L2481" t="str" cm="1">
        <f t="array" ref="L2481">_xlfn.IFS(B2481&lt;30,"18-29",B2481&lt;45,"30-44",B2481&lt;60,"45-59",B2481&lt;75,"60-74",B2481&lt;=90,"75-90")</f>
        <v>18-29</v>
      </c>
      <c r="M2481" t="str">
        <f>IF(Table1[[#This Row],[length_of_stay_days]]&gt;7,"Yes","No")</f>
        <v>No</v>
      </c>
    </row>
    <row r="2482" spans="1:13" x14ac:dyDescent="0.3">
      <c r="A2482" t="s">
        <v>2881</v>
      </c>
      <c r="B2482">
        <v>48</v>
      </c>
      <c r="C2482" t="s">
        <v>12</v>
      </c>
      <c r="D2482" t="s">
        <v>32</v>
      </c>
      <c r="E2482" t="s">
        <v>28</v>
      </c>
      <c r="F2482" t="s">
        <v>195</v>
      </c>
      <c r="G2482" t="s">
        <v>742</v>
      </c>
      <c r="H2482">
        <v>7</v>
      </c>
      <c r="I2482" s="1">
        <v>11214.18</v>
      </c>
      <c r="J2482" t="s">
        <v>49</v>
      </c>
      <c r="K2482" t="s">
        <v>18</v>
      </c>
      <c r="L2482" t="str" cm="1">
        <f t="array" ref="L2482">_xlfn.IFS(B2482&lt;30,"18-29",B2482&lt;45,"30-44",B2482&lt;60,"45-59",B2482&lt;75,"60-74",B2482&lt;=90,"75-90")</f>
        <v>45-59</v>
      </c>
      <c r="M2482" t="str">
        <f>IF(Table1[[#This Row],[length_of_stay_days]]&gt;7,"Yes","No")</f>
        <v>No</v>
      </c>
    </row>
    <row r="2483" spans="1:13" x14ac:dyDescent="0.3">
      <c r="A2483" t="s">
        <v>2882</v>
      </c>
      <c r="B2483">
        <v>66</v>
      </c>
      <c r="C2483" t="s">
        <v>20</v>
      </c>
      <c r="D2483" t="s">
        <v>13</v>
      </c>
      <c r="E2483" t="s">
        <v>28</v>
      </c>
      <c r="F2483" t="s">
        <v>514</v>
      </c>
      <c r="G2483" t="s">
        <v>841</v>
      </c>
      <c r="H2483">
        <v>8</v>
      </c>
      <c r="I2483" s="1">
        <v>8159.45</v>
      </c>
      <c r="J2483" t="s">
        <v>17</v>
      </c>
      <c r="K2483" t="s">
        <v>18</v>
      </c>
      <c r="L2483" t="str" cm="1">
        <f t="array" ref="L2483">_xlfn.IFS(B2483&lt;30,"18-29",B2483&lt;45,"30-44",B2483&lt;60,"45-59",B2483&lt;75,"60-74",B2483&lt;=90,"75-90")</f>
        <v>60-74</v>
      </c>
      <c r="M2483" t="str">
        <f>IF(Table1[[#This Row],[length_of_stay_days]]&gt;7,"Yes","No")</f>
        <v>Yes</v>
      </c>
    </row>
    <row r="2484" spans="1:13" x14ac:dyDescent="0.3">
      <c r="A2484" t="s">
        <v>2883</v>
      </c>
      <c r="B2484">
        <v>40</v>
      </c>
      <c r="C2484" t="s">
        <v>70</v>
      </c>
      <c r="D2484" t="s">
        <v>32</v>
      </c>
      <c r="E2484" t="s">
        <v>28</v>
      </c>
      <c r="F2484" t="s">
        <v>413</v>
      </c>
      <c r="G2484" t="s">
        <v>966</v>
      </c>
      <c r="H2484">
        <v>4</v>
      </c>
      <c r="I2484" s="1">
        <v>10674.06</v>
      </c>
      <c r="J2484" t="s">
        <v>17</v>
      </c>
      <c r="K2484" t="s">
        <v>18</v>
      </c>
      <c r="L2484" t="str" cm="1">
        <f t="array" ref="L2484">_xlfn.IFS(B2484&lt;30,"18-29",B2484&lt;45,"30-44",B2484&lt;60,"45-59",B2484&lt;75,"60-74",B2484&lt;=90,"75-90")</f>
        <v>30-44</v>
      </c>
      <c r="M2484" t="str">
        <f>IF(Table1[[#This Row],[length_of_stay_days]]&gt;7,"Yes","No")</f>
        <v>No</v>
      </c>
    </row>
    <row r="2485" spans="1:13" x14ac:dyDescent="0.3">
      <c r="A2485" t="s">
        <v>2884</v>
      </c>
      <c r="B2485">
        <v>24</v>
      </c>
      <c r="C2485" t="s">
        <v>20</v>
      </c>
      <c r="D2485" t="s">
        <v>32</v>
      </c>
      <c r="E2485" t="s">
        <v>14</v>
      </c>
      <c r="F2485" t="s">
        <v>454</v>
      </c>
      <c r="G2485" t="s">
        <v>99</v>
      </c>
      <c r="H2485">
        <v>4</v>
      </c>
      <c r="I2485" s="1">
        <v>11950.36</v>
      </c>
      <c r="J2485" t="s">
        <v>17</v>
      </c>
      <c r="K2485" t="s">
        <v>18</v>
      </c>
      <c r="L2485" t="str" cm="1">
        <f t="array" ref="L2485">_xlfn.IFS(B2485&lt;30,"18-29",B2485&lt;45,"30-44",B2485&lt;60,"45-59",B2485&lt;75,"60-74",B2485&lt;=90,"75-90")</f>
        <v>18-29</v>
      </c>
      <c r="M2485" t="str">
        <f>IF(Table1[[#This Row],[length_of_stay_days]]&gt;7,"Yes","No")</f>
        <v>No</v>
      </c>
    </row>
    <row r="2486" spans="1:13" x14ac:dyDescent="0.3">
      <c r="A2486" t="s">
        <v>2885</v>
      </c>
      <c r="B2486">
        <v>31</v>
      </c>
      <c r="C2486" t="s">
        <v>12</v>
      </c>
      <c r="D2486" t="s">
        <v>32</v>
      </c>
      <c r="E2486" t="s">
        <v>28</v>
      </c>
      <c r="F2486" t="s">
        <v>355</v>
      </c>
      <c r="G2486" t="s">
        <v>1160</v>
      </c>
      <c r="H2486">
        <v>2</v>
      </c>
      <c r="I2486" s="1">
        <v>5565.74</v>
      </c>
      <c r="J2486" t="s">
        <v>17</v>
      </c>
      <c r="K2486" t="s">
        <v>18</v>
      </c>
      <c r="L2486" t="str" cm="1">
        <f t="array" ref="L2486">_xlfn.IFS(B2486&lt;30,"18-29",B2486&lt;45,"30-44",B2486&lt;60,"45-59",B2486&lt;75,"60-74",B2486&lt;=90,"75-90")</f>
        <v>30-44</v>
      </c>
      <c r="M2486" t="str">
        <f>IF(Table1[[#This Row],[length_of_stay_days]]&gt;7,"Yes","No")</f>
        <v>No</v>
      </c>
    </row>
    <row r="2487" spans="1:13" x14ac:dyDescent="0.3">
      <c r="A2487" t="s">
        <v>2886</v>
      </c>
      <c r="B2487">
        <v>30</v>
      </c>
      <c r="C2487" t="s">
        <v>20</v>
      </c>
      <c r="D2487" t="s">
        <v>55</v>
      </c>
      <c r="E2487" t="s">
        <v>28</v>
      </c>
      <c r="F2487" t="s">
        <v>547</v>
      </c>
      <c r="G2487" t="s">
        <v>71</v>
      </c>
      <c r="H2487">
        <v>5</v>
      </c>
      <c r="I2487" s="1">
        <v>9699.73</v>
      </c>
      <c r="J2487" t="s">
        <v>17</v>
      </c>
      <c r="K2487" t="s">
        <v>18</v>
      </c>
      <c r="L2487" t="str" cm="1">
        <f t="array" ref="L2487">_xlfn.IFS(B2487&lt;30,"18-29",B2487&lt;45,"30-44",B2487&lt;60,"45-59",B2487&lt;75,"60-74",B2487&lt;=90,"75-90")</f>
        <v>30-44</v>
      </c>
      <c r="M2487" t="str">
        <f>IF(Table1[[#This Row],[length_of_stay_days]]&gt;7,"Yes","No")</f>
        <v>No</v>
      </c>
    </row>
    <row r="2488" spans="1:13" x14ac:dyDescent="0.3">
      <c r="A2488" t="s">
        <v>2887</v>
      </c>
      <c r="B2488">
        <v>41</v>
      </c>
      <c r="C2488" t="s">
        <v>20</v>
      </c>
      <c r="D2488" t="s">
        <v>55</v>
      </c>
      <c r="E2488" t="s">
        <v>28</v>
      </c>
      <c r="F2488" t="s">
        <v>491</v>
      </c>
      <c r="G2488" t="s">
        <v>123</v>
      </c>
      <c r="H2488">
        <v>5</v>
      </c>
      <c r="I2488" s="1">
        <v>9304.6200000000008</v>
      </c>
      <c r="J2488" t="s">
        <v>17</v>
      </c>
      <c r="K2488" t="s">
        <v>18</v>
      </c>
      <c r="L2488" t="str" cm="1">
        <f t="array" ref="L2488">_xlfn.IFS(B2488&lt;30,"18-29",B2488&lt;45,"30-44",B2488&lt;60,"45-59",B2488&lt;75,"60-74",B2488&lt;=90,"75-90")</f>
        <v>30-44</v>
      </c>
      <c r="M2488" t="str">
        <f>IF(Table1[[#This Row],[length_of_stay_days]]&gt;7,"Yes","No")</f>
        <v>No</v>
      </c>
    </row>
    <row r="2489" spans="1:13" x14ac:dyDescent="0.3">
      <c r="A2489" t="s">
        <v>2888</v>
      </c>
      <c r="B2489">
        <v>56</v>
      </c>
      <c r="C2489" t="s">
        <v>12</v>
      </c>
      <c r="D2489" t="s">
        <v>28</v>
      </c>
      <c r="E2489" t="s">
        <v>21</v>
      </c>
      <c r="F2489" t="s">
        <v>829</v>
      </c>
      <c r="G2489" t="s">
        <v>625</v>
      </c>
      <c r="H2489">
        <v>3</v>
      </c>
      <c r="I2489" s="1">
        <v>3920.91</v>
      </c>
      <c r="J2489" t="s">
        <v>17</v>
      </c>
      <c r="K2489" t="s">
        <v>18</v>
      </c>
      <c r="L2489" t="str" cm="1">
        <f t="array" ref="L2489">_xlfn.IFS(B2489&lt;30,"18-29",B2489&lt;45,"30-44",B2489&lt;60,"45-59",B2489&lt;75,"60-74",B2489&lt;=90,"75-90")</f>
        <v>45-59</v>
      </c>
      <c r="M2489" t="str">
        <f>IF(Table1[[#This Row],[length_of_stay_days]]&gt;7,"Yes","No")</f>
        <v>No</v>
      </c>
    </row>
    <row r="2490" spans="1:13" x14ac:dyDescent="0.3">
      <c r="A2490" t="s">
        <v>2889</v>
      </c>
      <c r="B2490">
        <v>59</v>
      </c>
      <c r="C2490" t="s">
        <v>20</v>
      </c>
      <c r="D2490" t="s">
        <v>51</v>
      </c>
      <c r="E2490" t="s">
        <v>14</v>
      </c>
      <c r="F2490" t="s">
        <v>523</v>
      </c>
      <c r="G2490" t="s">
        <v>52</v>
      </c>
      <c r="H2490">
        <v>6</v>
      </c>
      <c r="I2490" s="1">
        <v>13048.6</v>
      </c>
      <c r="J2490" t="s">
        <v>17</v>
      </c>
      <c r="K2490" t="s">
        <v>18</v>
      </c>
      <c r="L2490" t="str" cm="1">
        <f t="array" ref="L2490">_xlfn.IFS(B2490&lt;30,"18-29",B2490&lt;45,"30-44",B2490&lt;60,"45-59",B2490&lt;75,"60-74",B2490&lt;=90,"75-90")</f>
        <v>45-59</v>
      </c>
      <c r="M2490" t="str">
        <f>IF(Table1[[#This Row],[length_of_stay_days]]&gt;7,"Yes","No")</f>
        <v>No</v>
      </c>
    </row>
    <row r="2491" spans="1:13" x14ac:dyDescent="0.3">
      <c r="A2491" t="s">
        <v>2890</v>
      </c>
      <c r="B2491">
        <v>46</v>
      </c>
      <c r="C2491" t="s">
        <v>20</v>
      </c>
      <c r="D2491" t="s">
        <v>13</v>
      </c>
      <c r="E2491" t="s">
        <v>21</v>
      </c>
      <c r="F2491" t="s">
        <v>235</v>
      </c>
      <c r="G2491" t="s">
        <v>646</v>
      </c>
      <c r="H2491">
        <v>6</v>
      </c>
      <c r="I2491" s="1">
        <v>4641.38</v>
      </c>
      <c r="J2491" t="s">
        <v>17</v>
      </c>
      <c r="K2491" t="s">
        <v>18</v>
      </c>
      <c r="L2491" t="str" cm="1">
        <f t="array" ref="L2491">_xlfn.IFS(B2491&lt;30,"18-29",B2491&lt;45,"30-44",B2491&lt;60,"45-59",B2491&lt;75,"60-74",B2491&lt;=90,"75-90")</f>
        <v>45-59</v>
      </c>
      <c r="M2491" t="str">
        <f>IF(Table1[[#This Row],[length_of_stay_days]]&gt;7,"Yes","No")</f>
        <v>No</v>
      </c>
    </row>
    <row r="2492" spans="1:13" x14ac:dyDescent="0.3">
      <c r="A2492" t="s">
        <v>2891</v>
      </c>
      <c r="B2492">
        <v>67</v>
      </c>
      <c r="C2492" t="s">
        <v>20</v>
      </c>
      <c r="D2492" t="s">
        <v>28</v>
      </c>
      <c r="E2492" t="s">
        <v>28</v>
      </c>
      <c r="F2492" t="s">
        <v>517</v>
      </c>
      <c r="G2492" t="s">
        <v>467</v>
      </c>
      <c r="H2492">
        <v>5</v>
      </c>
      <c r="I2492" s="1">
        <v>8606.73</v>
      </c>
      <c r="J2492" t="s">
        <v>49</v>
      </c>
      <c r="K2492" t="s">
        <v>18</v>
      </c>
      <c r="L2492" t="str" cm="1">
        <f t="array" ref="L2492">_xlfn.IFS(B2492&lt;30,"18-29",B2492&lt;45,"30-44",B2492&lt;60,"45-59",B2492&lt;75,"60-74",B2492&lt;=90,"75-90")</f>
        <v>60-74</v>
      </c>
      <c r="M2492" t="str">
        <f>IF(Table1[[#This Row],[length_of_stay_days]]&gt;7,"Yes","No")</f>
        <v>No</v>
      </c>
    </row>
    <row r="2493" spans="1:13" x14ac:dyDescent="0.3">
      <c r="A2493" t="s">
        <v>2892</v>
      </c>
      <c r="B2493">
        <v>69</v>
      </c>
      <c r="C2493" t="s">
        <v>12</v>
      </c>
      <c r="D2493" t="s">
        <v>32</v>
      </c>
      <c r="E2493" t="s">
        <v>28</v>
      </c>
      <c r="F2493" t="s">
        <v>575</v>
      </c>
      <c r="G2493" t="s">
        <v>241</v>
      </c>
      <c r="H2493">
        <v>7</v>
      </c>
      <c r="I2493" s="1">
        <v>11005.82</v>
      </c>
      <c r="J2493" t="s">
        <v>17</v>
      </c>
      <c r="K2493" t="s">
        <v>18</v>
      </c>
      <c r="L2493" t="str" cm="1">
        <f t="array" ref="L2493">_xlfn.IFS(B2493&lt;30,"18-29",B2493&lt;45,"30-44",B2493&lt;60,"45-59",B2493&lt;75,"60-74",B2493&lt;=90,"75-90")</f>
        <v>60-74</v>
      </c>
      <c r="M2493" t="str">
        <f>IF(Table1[[#This Row],[length_of_stay_days]]&gt;7,"Yes","No")</f>
        <v>No</v>
      </c>
    </row>
    <row r="2494" spans="1:13" x14ac:dyDescent="0.3">
      <c r="A2494" t="s">
        <v>2893</v>
      </c>
      <c r="B2494">
        <v>62</v>
      </c>
      <c r="C2494" t="s">
        <v>12</v>
      </c>
      <c r="D2494" t="s">
        <v>28</v>
      </c>
      <c r="E2494" t="s">
        <v>21</v>
      </c>
      <c r="F2494" t="s">
        <v>675</v>
      </c>
      <c r="G2494" t="s">
        <v>559</v>
      </c>
      <c r="H2494">
        <v>3</v>
      </c>
      <c r="I2494" s="1">
        <v>3735.25</v>
      </c>
      <c r="J2494" t="s">
        <v>17</v>
      </c>
      <c r="K2494" t="s">
        <v>18</v>
      </c>
      <c r="L2494" t="str" cm="1">
        <f t="array" ref="L2494">_xlfn.IFS(B2494&lt;30,"18-29",B2494&lt;45,"30-44",B2494&lt;60,"45-59",B2494&lt;75,"60-74",B2494&lt;=90,"75-90")</f>
        <v>60-74</v>
      </c>
      <c r="M2494" t="str">
        <f>IF(Table1[[#This Row],[length_of_stay_days]]&gt;7,"Yes","No")</f>
        <v>No</v>
      </c>
    </row>
    <row r="2495" spans="1:13" x14ac:dyDescent="0.3">
      <c r="A2495" t="s">
        <v>2894</v>
      </c>
      <c r="B2495">
        <v>29</v>
      </c>
      <c r="C2495" t="s">
        <v>12</v>
      </c>
      <c r="D2495" t="s">
        <v>55</v>
      </c>
      <c r="E2495" t="s">
        <v>21</v>
      </c>
      <c r="F2495" t="s">
        <v>42</v>
      </c>
      <c r="G2495" t="s">
        <v>314</v>
      </c>
      <c r="H2495">
        <v>5</v>
      </c>
      <c r="I2495" s="1">
        <v>8546.08</v>
      </c>
      <c r="J2495" t="s">
        <v>17</v>
      </c>
      <c r="K2495" t="s">
        <v>18</v>
      </c>
      <c r="L2495" t="str" cm="1">
        <f t="array" ref="L2495">_xlfn.IFS(B2495&lt;30,"18-29",B2495&lt;45,"30-44",B2495&lt;60,"45-59",B2495&lt;75,"60-74",B2495&lt;=90,"75-90")</f>
        <v>18-29</v>
      </c>
      <c r="M2495" t="str">
        <f>IF(Table1[[#This Row],[length_of_stay_days]]&gt;7,"Yes","No")</f>
        <v>No</v>
      </c>
    </row>
    <row r="2496" spans="1:13" x14ac:dyDescent="0.3">
      <c r="A2496" t="s">
        <v>2895</v>
      </c>
      <c r="B2496">
        <v>46</v>
      </c>
      <c r="C2496" t="s">
        <v>12</v>
      </c>
      <c r="D2496" t="s">
        <v>32</v>
      </c>
      <c r="E2496" t="s">
        <v>21</v>
      </c>
      <c r="F2496" t="s">
        <v>928</v>
      </c>
      <c r="G2496" t="s">
        <v>724</v>
      </c>
      <c r="H2496">
        <v>4</v>
      </c>
      <c r="I2496" s="1">
        <v>11971.03</v>
      </c>
      <c r="J2496" t="s">
        <v>17</v>
      </c>
      <c r="K2496" t="s">
        <v>18</v>
      </c>
      <c r="L2496" t="str" cm="1">
        <f t="array" ref="L2496">_xlfn.IFS(B2496&lt;30,"18-29",B2496&lt;45,"30-44",B2496&lt;60,"45-59",B2496&lt;75,"60-74",B2496&lt;=90,"75-90")</f>
        <v>45-59</v>
      </c>
      <c r="M2496" t="str">
        <f>IF(Table1[[#This Row],[length_of_stay_days]]&gt;7,"Yes","No")</f>
        <v>No</v>
      </c>
    </row>
    <row r="2497" spans="1:13" x14ac:dyDescent="0.3">
      <c r="A2497" t="s">
        <v>2896</v>
      </c>
      <c r="B2497">
        <v>43</v>
      </c>
      <c r="C2497" t="s">
        <v>12</v>
      </c>
      <c r="D2497" t="s">
        <v>46</v>
      </c>
      <c r="E2497" t="s">
        <v>28</v>
      </c>
      <c r="F2497" t="s">
        <v>246</v>
      </c>
      <c r="G2497" t="s">
        <v>648</v>
      </c>
      <c r="H2497">
        <v>8</v>
      </c>
      <c r="I2497" s="1">
        <v>13922.64</v>
      </c>
      <c r="J2497" t="s">
        <v>17</v>
      </c>
      <c r="K2497" t="s">
        <v>18</v>
      </c>
      <c r="L2497" t="str" cm="1">
        <f t="array" ref="L2497">_xlfn.IFS(B2497&lt;30,"18-29",B2497&lt;45,"30-44",B2497&lt;60,"45-59",B2497&lt;75,"60-74",B2497&lt;=90,"75-90")</f>
        <v>30-44</v>
      </c>
      <c r="M2497" t="str">
        <f>IF(Table1[[#This Row],[length_of_stay_days]]&gt;7,"Yes","No")</f>
        <v>Yes</v>
      </c>
    </row>
    <row r="2498" spans="1:13" x14ac:dyDescent="0.3">
      <c r="A2498" t="s">
        <v>2897</v>
      </c>
      <c r="B2498">
        <v>89</v>
      </c>
      <c r="C2498" t="s">
        <v>20</v>
      </c>
      <c r="D2498" t="s">
        <v>46</v>
      </c>
      <c r="E2498" t="s">
        <v>21</v>
      </c>
      <c r="F2498" t="s">
        <v>405</v>
      </c>
      <c r="G2498" t="s">
        <v>376</v>
      </c>
      <c r="H2498">
        <v>9</v>
      </c>
      <c r="I2498" s="1">
        <v>13500.89</v>
      </c>
      <c r="J2498" t="s">
        <v>49</v>
      </c>
      <c r="K2498" t="s">
        <v>18</v>
      </c>
      <c r="L2498" t="str" cm="1">
        <f t="array" ref="L2498">_xlfn.IFS(B2498&lt;30,"18-29",B2498&lt;45,"30-44",B2498&lt;60,"45-59",B2498&lt;75,"60-74",B2498&lt;=90,"75-90")</f>
        <v>75-90</v>
      </c>
      <c r="M2498" t="str">
        <f>IF(Table1[[#This Row],[length_of_stay_days]]&gt;7,"Yes","No")</f>
        <v>Yes</v>
      </c>
    </row>
    <row r="2499" spans="1:13" x14ac:dyDescent="0.3">
      <c r="A2499" t="s">
        <v>2898</v>
      </c>
      <c r="B2499">
        <v>41</v>
      </c>
      <c r="C2499" t="s">
        <v>12</v>
      </c>
      <c r="D2499" t="s">
        <v>13</v>
      </c>
      <c r="E2499" t="s">
        <v>21</v>
      </c>
      <c r="F2499" t="s">
        <v>402</v>
      </c>
      <c r="G2499" t="s">
        <v>499</v>
      </c>
      <c r="H2499">
        <v>4</v>
      </c>
      <c r="I2499" s="1">
        <v>6795.52</v>
      </c>
      <c r="J2499" t="s">
        <v>17</v>
      </c>
      <c r="K2499" t="s">
        <v>18</v>
      </c>
      <c r="L2499" t="str" cm="1">
        <f t="array" ref="L2499">_xlfn.IFS(B2499&lt;30,"18-29",B2499&lt;45,"30-44",B2499&lt;60,"45-59",B2499&lt;75,"60-74",B2499&lt;=90,"75-90")</f>
        <v>30-44</v>
      </c>
      <c r="M2499" t="str">
        <f>IF(Table1[[#This Row],[length_of_stay_days]]&gt;7,"Yes","No")</f>
        <v>No</v>
      </c>
    </row>
    <row r="2500" spans="1:13" x14ac:dyDescent="0.3">
      <c r="A2500" t="s">
        <v>2899</v>
      </c>
      <c r="B2500">
        <v>84</v>
      </c>
      <c r="C2500" t="s">
        <v>20</v>
      </c>
      <c r="D2500" t="s">
        <v>46</v>
      </c>
      <c r="E2500" t="s">
        <v>28</v>
      </c>
      <c r="F2500" t="s">
        <v>26</v>
      </c>
      <c r="G2500" t="s">
        <v>449</v>
      </c>
      <c r="H2500">
        <v>11</v>
      </c>
      <c r="I2500" s="1">
        <v>17319.27</v>
      </c>
      <c r="J2500" t="s">
        <v>17</v>
      </c>
      <c r="K2500" t="s">
        <v>18</v>
      </c>
      <c r="L2500" t="str" cm="1">
        <f t="array" ref="L2500">_xlfn.IFS(B2500&lt;30,"18-29",B2500&lt;45,"30-44",B2500&lt;60,"45-59",B2500&lt;75,"60-74",B2500&lt;=90,"75-90")</f>
        <v>75-90</v>
      </c>
      <c r="M2500" t="str">
        <f>IF(Table1[[#This Row],[length_of_stay_days]]&gt;7,"Yes","No")</f>
        <v>Yes</v>
      </c>
    </row>
    <row r="2501" spans="1:13" x14ac:dyDescent="0.3">
      <c r="A2501" t="s">
        <v>2900</v>
      </c>
      <c r="B2501">
        <v>34</v>
      </c>
      <c r="C2501" t="s">
        <v>12</v>
      </c>
      <c r="D2501" t="s">
        <v>32</v>
      </c>
      <c r="E2501" t="s">
        <v>28</v>
      </c>
      <c r="F2501" t="s">
        <v>1181</v>
      </c>
      <c r="G2501" t="s">
        <v>157</v>
      </c>
      <c r="H2501">
        <v>5</v>
      </c>
      <c r="I2501" s="1">
        <v>9789.9599999999991</v>
      </c>
      <c r="J2501" t="s">
        <v>17</v>
      </c>
      <c r="K2501" t="s">
        <v>18</v>
      </c>
      <c r="L2501" t="str" cm="1">
        <f t="array" ref="L2501">_xlfn.IFS(B2501&lt;30,"18-29",B2501&lt;45,"30-44",B2501&lt;60,"45-59",B2501&lt;75,"60-74",B2501&lt;=90,"75-90")</f>
        <v>30-44</v>
      </c>
      <c r="M2501" t="str">
        <f>IF(Table1[[#This Row],[length_of_stay_days]]&gt;7,"Yes","No")</f>
        <v>No</v>
      </c>
    </row>
    <row r="2502" spans="1:13" x14ac:dyDescent="0.3">
      <c r="A2502" t="s">
        <v>2901</v>
      </c>
      <c r="B2502">
        <v>18</v>
      </c>
      <c r="C2502" t="s">
        <v>12</v>
      </c>
      <c r="D2502" t="s">
        <v>28</v>
      </c>
      <c r="E2502" t="s">
        <v>14</v>
      </c>
      <c r="F2502" t="s">
        <v>342</v>
      </c>
      <c r="G2502" t="s">
        <v>174</v>
      </c>
      <c r="H2502">
        <v>4</v>
      </c>
      <c r="I2502" s="1">
        <v>7023.79</v>
      </c>
      <c r="J2502" t="s">
        <v>17</v>
      </c>
      <c r="K2502" t="s">
        <v>18</v>
      </c>
      <c r="L2502" t="str" cm="1">
        <f t="array" ref="L2502">_xlfn.IFS(B2502&lt;30,"18-29",B2502&lt;45,"30-44",B2502&lt;60,"45-59",B2502&lt;75,"60-74",B2502&lt;=90,"75-90")</f>
        <v>18-29</v>
      </c>
      <c r="M2502" t="str">
        <f>IF(Table1[[#This Row],[length_of_stay_days]]&gt;7,"Yes","No")</f>
        <v>No</v>
      </c>
    </row>
    <row r="2503" spans="1:13" x14ac:dyDescent="0.3">
      <c r="A2503" t="s">
        <v>2902</v>
      </c>
      <c r="B2503">
        <v>24</v>
      </c>
      <c r="C2503" t="s">
        <v>12</v>
      </c>
      <c r="D2503" t="s">
        <v>51</v>
      </c>
      <c r="E2503" t="s">
        <v>21</v>
      </c>
      <c r="F2503" t="s">
        <v>478</v>
      </c>
      <c r="G2503" t="s">
        <v>348</v>
      </c>
      <c r="H2503">
        <v>8</v>
      </c>
      <c r="I2503" s="1">
        <v>15425.11</v>
      </c>
      <c r="J2503" t="s">
        <v>49</v>
      </c>
      <c r="K2503" t="s">
        <v>18</v>
      </c>
      <c r="L2503" t="str" cm="1">
        <f t="array" ref="L2503">_xlfn.IFS(B2503&lt;30,"18-29",B2503&lt;45,"30-44",B2503&lt;60,"45-59",B2503&lt;75,"60-74",B2503&lt;=90,"75-90")</f>
        <v>18-29</v>
      </c>
      <c r="M2503" t="str">
        <f>IF(Table1[[#This Row],[length_of_stay_days]]&gt;7,"Yes","No")</f>
        <v>Yes</v>
      </c>
    </row>
    <row r="2504" spans="1:13" x14ac:dyDescent="0.3">
      <c r="A2504" t="s">
        <v>2903</v>
      </c>
      <c r="B2504">
        <v>71</v>
      </c>
      <c r="C2504" t="s">
        <v>20</v>
      </c>
      <c r="D2504" t="s">
        <v>55</v>
      </c>
      <c r="E2504" t="s">
        <v>28</v>
      </c>
      <c r="F2504" t="s">
        <v>96</v>
      </c>
      <c r="G2504" t="s">
        <v>144</v>
      </c>
      <c r="H2504">
        <v>5</v>
      </c>
      <c r="I2504" s="1">
        <v>8397.85</v>
      </c>
      <c r="J2504" t="s">
        <v>17</v>
      </c>
      <c r="K2504" t="s">
        <v>18</v>
      </c>
      <c r="L2504" t="str" cm="1">
        <f t="array" ref="L2504">_xlfn.IFS(B2504&lt;30,"18-29",B2504&lt;45,"30-44",B2504&lt;60,"45-59",B2504&lt;75,"60-74",B2504&lt;=90,"75-90")</f>
        <v>60-74</v>
      </c>
      <c r="M2504" t="str">
        <f>IF(Table1[[#This Row],[length_of_stay_days]]&gt;7,"Yes","No")</f>
        <v>No</v>
      </c>
    </row>
    <row r="2505" spans="1:13" x14ac:dyDescent="0.3">
      <c r="A2505" t="s">
        <v>2904</v>
      </c>
      <c r="B2505">
        <v>20</v>
      </c>
      <c r="C2505" t="s">
        <v>12</v>
      </c>
      <c r="D2505" t="s">
        <v>32</v>
      </c>
      <c r="E2505" t="s">
        <v>28</v>
      </c>
      <c r="F2505" t="s">
        <v>783</v>
      </c>
      <c r="G2505" t="s">
        <v>26</v>
      </c>
      <c r="H2505">
        <v>7</v>
      </c>
      <c r="I2505" s="1">
        <v>10941.25</v>
      </c>
      <c r="J2505" t="s">
        <v>17</v>
      </c>
      <c r="K2505" t="s">
        <v>18</v>
      </c>
      <c r="L2505" t="str" cm="1">
        <f t="array" ref="L2505">_xlfn.IFS(B2505&lt;30,"18-29",B2505&lt;45,"30-44",B2505&lt;60,"45-59",B2505&lt;75,"60-74",B2505&lt;=90,"75-90")</f>
        <v>18-29</v>
      </c>
      <c r="M2505" t="str">
        <f>IF(Table1[[#This Row],[length_of_stay_days]]&gt;7,"Yes","No")</f>
        <v>No</v>
      </c>
    </row>
    <row r="2506" spans="1:13" x14ac:dyDescent="0.3">
      <c r="A2506" t="s">
        <v>2905</v>
      </c>
      <c r="B2506">
        <v>66</v>
      </c>
      <c r="C2506" t="s">
        <v>20</v>
      </c>
      <c r="D2506" t="s">
        <v>51</v>
      </c>
      <c r="E2506" t="s">
        <v>28</v>
      </c>
      <c r="F2506" t="s">
        <v>562</v>
      </c>
      <c r="G2506" t="s">
        <v>530</v>
      </c>
      <c r="H2506">
        <v>5</v>
      </c>
      <c r="I2506" s="1">
        <v>11598.82</v>
      </c>
      <c r="J2506" t="s">
        <v>17</v>
      </c>
      <c r="K2506" t="s">
        <v>18</v>
      </c>
      <c r="L2506" t="str" cm="1">
        <f t="array" ref="L2506">_xlfn.IFS(B2506&lt;30,"18-29",B2506&lt;45,"30-44",B2506&lt;60,"45-59",B2506&lt;75,"60-74",B2506&lt;=90,"75-90")</f>
        <v>60-74</v>
      </c>
      <c r="M2506" t="str">
        <f>IF(Table1[[#This Row],[length_of_stay_days]]&gt;7,"Yes","No")</f>
        <v>No</v>
      </c>
    </row>
    <row r="2507" spans="1:13" x14ac:dyDescent="0.3">
      <c r="A2507" t="s">
        <v>2906</v>
      </c>
      <c r="B2507">
        <v>43</v>
      </c>
      <c r="C2507" t="s">
        <v>12</v>
      </c>
      <c r="D2507" t="s">
        <v>55</v>
      </c>
      <c r="E2507" t="s">
        <v>28</v>
      </c>
      <c r="F2507" t="s">
        <v>563</v>
      </c>
      <c r="G2507" t="s">
        <v>203</v>
      </c>
      <c r="H2507">
        <v>7</v>
      </c>
      <c r="I2507" s="1">
        <v>10711.61</v>
      </c>
      <c r="J2507" t="s">
        <v>17</v>
      </c>
      <c r="K2507" t="s">
        <v>18</v>
      </c>
      <c r="L2507" t="str" cm="1">
        <f t="array" ref="L2507">_xlfn.IFS(B2507&lt;30,"18-29",B2507&lt;45,"30-44",B2507&lt;60,"45-59",B2507&lt;75,"60-74",B2507&lt;=90,"75-90")</f>
        <v>30-44</v>
      </c>
      <c r="M2507" t="str">
        <f>IF(Table1[[#This Row],[length_of_stay_days]]&gt;7,"Yes","No")</f>
        <v>No</v>
      </c>
    </row>
    <row r="2508" spans="1:13" x14ac:dyDescent="0.3">
      <c r="A2508" t="s">
        <v>2907</v>
      </c>
      <c r="B2508">
        <v>31</v>
      </c>
      <c r="C2508" t="s">
        <v>12</v>
      </c>
      <c r="D2508" t="s">
        <v>55</v>
      </c>
      <c r="E2508" t="s">
        <v>28</v>
      </c>
      <c r="F2508" t="s">
        <v>256</v>
      </c>
      <c r="G2508" t="s">
        <v>366</v>
      </c>
      <c r="H2508">
        <v>7</v>
      </c>
      <c r="I2508" s="1">
        <v>7316.65</v>
      </c>
      <c r="J2508" t="s">
        <v>49</v>
      </c>
      <c r="K2508" t="s">
        <v>44</v>
      </c>
      <c r="L2508" t="str" cm="1">
        <f t="array" ref="L2508">_xlfn.IFS(B2508&lt;30,"18-29",B2508&lt;45,"30-44",B2508&lt;60,"45-59",B2508&lt;75,"60-74",B2508&lt;=90,"75-90")</f>
        <v>30-44</v>
      </c>
      <c r="M2508" t="str">
        <f>IF(Table1[[#This Row],[length_of_stay_days]]&gt;7,"Yes","No")</f>
        <v>No</v>
      </c>
    </row>
    <row r="2509" spans="1:13" x14ac:dyDescent="0.3">
      <c r="A2509" t="s">
        <v>2908</v>
      </c>
      <c r="B2509">
        <v>45</v>
      </c>
      <c r="C2509" t="s">
        <v>12</v>
      </c>
      <c r="D2509" t="s">
        <v>13</v>
      </c>
      <c r="E2509" t="s">
        <v>21</v>
      </c>
      <c r="F2509" t="s">
        <v>339</v>
      </c>
      <c r="G2509" t="s">
        <v>506</v>
      </c>
      <c r="H2509">
        <v>5</v>
      </c>
      <c r="I2509" s="1">
        <v>9576.36</v>
      </c>
      <c r="J2509" t="s">
        <v>17</v>
      </c>
      <c r="K2509" t="s">
        <v>18</v>
      </c>
      <c r="L2509" t="str" cm="1">
        <f t="array" ref="L2509">_xlfn.IFS(B2509&lt;30,"18-29",B2509&lt;45,"30-44",B2509&lt;60,"45-59",B2509&lt;75,"60-74",B2509&lt;=90,"75-90")</f>
        <v>45-59</v>
      </c>
      <c r="M2509" t="str">
        <f>IF(Table1[[#This Row],[length_of_stay_days]]&gt;7,"Yes","No")</f>
        <v>No</v>
      </c>
    </row>
    <row r="2510" spans="1:13" x14ac:dyDescent="0.3">
      <c r="A2510" t="s">
        <v>2909</v>
      </c>
      <c r="B2510">
        <v>53</v>
      </c>
      <c r="C2510" t="s">
        <v>20</v>
      </c>
      <c r="D2510" t="s">
        <v>13</v>
      </c>
      <c r="E2510" t="s">
        <v>21</v>
      </c>
      <c r="F2510" t="s">
        <v>149</v>
      </c>
      <c r="G2510" t="s">
        <v>137</v>
      </c>
      <c r="H2510">
        <v>4</v>
      </c>
      <c r="I2510" s="1">
        <v>7869.13</v>
      </c>
      <c r="J2510" t="s">
        <v>17</v>
      </c>
      <c r="K2510" t="s">
        <v>223</v>
      </c>
      <c r="L2510" t="str" cm="1">
        <f t="array" ref="L2510">_xlfn.IFS(B2510&lt;30,"18-29",B2510&lt;45,"30-44",B2510&lt;60,"45-59",B2510&lt;75,"60-74",B2510&lt;=90,"75-90")</f>
        <v>45-59</v>
      </c>
      <c r="M2510" t="str">
        <f>IF(Table1[[#This Row],[length_of_stay_days]]&gt;7,"Yes","No")</f>
        <v>No</v>
      </c>
    </row>
    <row r="2511" spans="1:13" x14ac:dyDescent="0.3">
      <c r="A2511" t="s">
        <v>2910</v>
      </c>
      <c r="B2511">
        <v>38</v>
      </c>
      <c r="C2511" t="s">
        <v>12</v>
      </c>
      <c r="D2511" t="s">
        <v>28</v>
      </c>
      <c r="E2511" t="s">
        <v>28</v>
      </c>
      <c r="F2511" t="s">
        <v>474</v>
      </c>
      <c r="G2511" t="s">
        <v>462</v>
      </c>
      <c r="H2511">
        <v>4</v>
      </c>
      <c r="I2511" s="1">
        <v>2650.25</v>
      </c>
      <c r="J2511" t="s">
        <v>17</v>
      </c>
      <c r="K2511" t="s">
        <v>18</v>
      </c>
      <c r="L2511" t="str" cm="1">
        <f t="array" ref="L2511">_xlfn.IFS(B2511&lt;30,"18-29",B2511&lt;45,"30-44",B2511&lt;60,"45-59",B2511&lt;75,"60-74",B2511&lt;=90,"75-90")</f>
        <v>30-44</v>
      </c>
      <c r="M2511" t="str">
        <f>IF(Table1[[#This Row],[length_of_stay_days]]&gt;7,"Yes","No")</f>
        <v>No</v>
      </c>
    </row>
    <row r="2512" spans="1:13" x14ac:dyDescent="0.3">
      <c r="A2512" t="s">
        <v>2911</v>
      </c>
      <c r="B2512">
        <v>21</v>
      </c>
      <c r="C2512" t="s">
        <v>20</v>
      </c>
      <c r="D2512" t="s">
        <v>28</v>
      </c>
      <c r="E2512" t="s">
        <v>21</v>
      </c>
      <c r="F2512" t="s">
        <v>103</v>
      </c>
      <c r="G2512" t="s">
        <v>372</v>
      </c>
      <c r="H2512">
        <v>2</v>
      </c>
      <c r="I2512" s="1">
        <v>4629.46</v>
      </c>
      <c r="J2512" t="s">
        <v>49</v>
      </c>
      <c r="K2512" t="s">
        <v>18</v>
      </c>
      <c r="L2512" t="str" cm="1">
        <f t="array" ref="L2512">_xlfn.IFS(B2512&lt;30,"18-29",B2512&lt;45,"30-44",B2512&lt;60,"45-59",B2512&lt;75,"60-74",B2512&lt;=90,"75-90")</f>
        <v>18-29</v>
      </c>
      <c r="M2512" t="str">
        <f>IF(Table1[[#This Row],[length_of_stay_days]]&gt;7,"Yes","No")</f>
        <v>No</v>
      </c>
    </row>
    <row r="2513" spans="1:13" x14ac:dyDescent="0.3">
      <c r="A2513" t="s">
        <v>2912</v>
      </c>
      <c r="B2513">
        <v>85</v>
      </c>
      <c r="C2513" t="s">
        <v>12</v>
      </c>
      <c r="D2513" t="s">
        <v>46</v>
      </c>
      <c r="E2513" t="s">
        <v>28</v>
      </c>
      <c r="F2513" t="s">
        <v>767</v>
      </c>
      <c r="G2513" t="s">
        <v>451</v>
      </c>
      <c r="H2513">
        <v>8</v>
      </c>
      <c r="I2513" s="1">
        <v>12528.88</v>
      </c>
      <c r="J2513" t="s">
        <v>17</v>
      </c>
      <c r="K2513" t="s">
        <v>44</v>
      </c>
      <c r="L2513" t="str" cm="1">
        <f t="array" ref="L2513">_xlfn.IFS(B2513&lt;30,"18-29",B2513&lt;45,"30-44",B2513&lt;60,"45-59",B2513&lt;75,"60-74",B2513&lt;=90,"75-90")</f>
        <v>75-90</v>
      </c>
      <c r="M2513" t="str">
        <f>IF(Table1[[#This Row],[length_of_stay_days]]&gt;7,"Yes","No")</f>
        <v>Yes</v>
      </c>
    </row>
    <row r="2514" spans="1:13" x14ac:dyDescent="0.3">
      <c r="A2514" t="s">
        <v>2913</v>
      </c>
      <c r="B2514">
        <v>83</v>
      </c>
      <c r="C2514" t="s">
        <v>70</v>
      </c>
      <c r="D2514" t="s">
        <v>55</v>
      </c>
      <c r="E2514" t="s">
        <v>14</v>
      </c>
      <c r="F2514" t="s">
        <v>559</v>
      </c>
      <c r="G2514" t="s">
        <v>325</v>
      </c>
      <c r="H2514">
        <v>6</v>
      </c>
      <c r="I2514" s="1">
        <v>8863.93</v>
      </c>
      <c r="J2514" t="s">
        <v>17</v>
      </c>
      <c r="K2514" t="s">
        <v>18</v>
      </c>
      <c r="L2514" t="str" cm="1">
        <f t="array" ref="L2514">_xlfn.IFS(B2514&lt;30,"18-29",B2514&lt;45,"30-44",B2514&lt;60,"45-59",B2514&lt;75,"60-74",B2514&lt;=90,"75-90")</f>
        <v>75-90</v>
      </c>
      <c r="M2514" t="str">
        <f>IF(Table1[[#This Row],[length_of_stay_days]]&gt;7,"Yes","No")</f>
        <v>No</v>
      </c>
    </row>
    <row r="2515" spans="1:13" x14ac:dyDescent="0.3">
      <c r="A2515" t="s">
        <v>2914</v>
      </c>
      <c r="B2515">
        <v>68</v>
      </c>
      <c r="C2515" t="s">
        <v>12</v>
      </c>
      <c r="D2515" t="s">
        <v>28</v>
      </c>
      <c r="E2515" t="s">
        <v>28</v>
      </c>
      <c r="F2515" t="s">
        <v>141</v>
      </c>
      <c r="G2515" t="s">
        <v>56</v>
      </c>
      <c r="H2515">
        <v>3</v>
      </c>
      <c r="I2515" s="1">
        <v>5239.09</v>
      </c>
      <c r="J2515" t="s">
        <v>17</v>
      </c>
      <c r="K2515" t="s">
        <v>44</v>
      </c>
      <c r="L2515" t="str" cm="1">
        <f t="array" ref="L2515">_xlfn.IFS(B2515&lt;30,"18-29",B2515&lt;45,"30-44",B2515&lt;60,"45-59",B2515&lt;75,"60-74",B2515&lt;=90,"75-90")</f>
        <v>60-74</v>
      </c>
      <c r="M2515" t="str">
        <f>IF(Table1[[#This Row],[length_of_stay_days]]&gt;7,"Yes","No")</f>
        <v>No</v>
      </c>
    </row>
    <row r="2516" spans="1:13" x14ac:dyDescent="0.3">
      <c r="A2516" t="s">
        <v>2915</v>
      </c>
      <c r="B2516">
        <v>77</v>
      </c>
      <c r="C2516" t="s">
        <v>20</v>
      </c>
      <c r="D2516" t="s">
        <v>51</v>
      </c>
      <c r="E2516" t="s">
        <v>28</v>
      </c>
      <c r="F2516" t="s">
        <v>323</v>
      </c>
      <c r="G2516" t="s">
        <v>928</v>
      </c>
      <c r="H2516">
        <v>5</v>
      </c>
      <c r="I2516" s="1">
        <v>13222.39</v>
      </c>
      <c r="J2516" t="s">
        <v>17</v>
      </c>
      <c r="K2516" t="s">
        <v>44</v>
      </c>
      <c r="L2516" t="str" cm="1">
        <f t="array" ref="L2516">_xlfn.IFS(B2516&lt;30,"18-29",B2516&lt;45,"30-44",B2516&lt;60,"45-59",B2516&lt;75,"60-74",B2516&lt;=90,"75-90")</f>
        <v>75-90</v>
      </c>
      <c r="M2516" t="str">
        <f>IF(Table1[[#This Row],[length_of_stay_days]]&gt;7,"Yes","No")</f>
        <v>No</v>
      </c>
    </row>
    <row r="2517" spans="1:13" x14ac:dyDescent="0.3">
      <c r="A2517" t="s">
        <v>2916</v>
      </c>
      <c r="B2517">
        <v>74</v>
      </c>
      <c r="C2517" t="s">
        <v>20</v>
      </c>
      <c r="D2517" t="s">
        <v>28</v>
      </c>
      <c r="E2517" t="s">
        <v>28</v>
      </c>
      <c r="F2517" t="s">
        <v>89</v>
      </c>
      <c r="G2517" t="s">
        <v>584</v>
      </c>
      <c r="H2517">
        <v>6</v>
      </c>
      <c r="I2517" s="1">
        <v>8563.3700000000008</v>
      </c>
      <c r="J2517" t="s">
        <v>49</v>
      </c>
      <c r="K2517" t="s">
        <v>18</v>
      </c>
      <c r="L2517" t="str" cm="1">
        <f t="array" ref="L2517">_xlfn.IFS(B2517&lt;30,"18-29",B2517&lt;45,"30-44",B2517&lt;60,"45-59",B2517&lt;75,"60-74",B2517&lt;=90,"75-90")</f>
        <v>60-74</v>
      </c>
      <c r="M2517" t="str">
        <f>IF(Table1[[#This Row],[length_of_stay_days]]&gt;7,"Yes","No")</f>
        <v>No</v>
      </c>
    </row>
    <row r="2518" spans="1:13" x14ac:dyDescent="0.3">
      <c r="A2518" t="s">
        <v>2917</v>
      </c>
      <c r="B2518">
        <v>64</v>
      </c>
      <c r="C2518" t="s">
        <v>12</v>
      </c>
      <c r="D2518" t="s">
        <v>28</v>
      </c>
      <c r="E2518" t="s">
        <v>28</v>
      </c>
      <c r="F2518" t="s">
        <v>280</v>
      </c>
      <c r="G2518" t="s">
        <v>182</v>
      </c>
      <c r="H2518">
        <v>2</v>
      </c>
      <c r="I2518" s="1">
        <v>3957.16</v>
      </c>
      <c r="J2518" t="s">
        <v>17</v>
      </c>
      <c r="K2518" t="s">
        <v>18</v>
      </c>
      <c r="L2518" t="str" cm="1">
        <f t="array" ref="L2518">_xlfn.IFS(B2518&lt;30,"18-29",B2518&lt;45,"30-44",B2518&lt;60,"45-59",B2518&lt;75,"60-74",B2518&lt;=90,"75-90")</f>
        <v>60-74</v>
      </c>
      <c r="M2518" t="str">
        <f>IF(Table1[[#This Row],[length_of_stay_days]]&gt;7,"Yes","No")</f>
        <v>No</v>
      </c>
    </row>
    <row r="2519" spans="1:13" x14ac:dyDescent="0.3">
      <c r="A2519" t="s">
        <v>2918</v>
      </c>
      <c r="B2519">
        <v>39</v>
      </c>
      <c r="C2519" t="s">
        <v>12</v>
      </c>
      <c r="D2519" t="s">
        <v>13</v>
      </c>
      <c r="E2519" t="s">
        <v>21</v>
      </c>
      <c r="F2519" t="s">
        <v>609</v>
      </c>
      <c r="G2519" t="s">
        <v>319</v>
      </c>
      <c r="H2519">
        <v>5</v>
      </c>
      <c r="I2519" s="1">
        <v>6165.94</v>
      </c>
      <c r="J2519" t="s">
        <v>17</v>
      </c>
      <c r="K2519" t="s">
        <v>18</v>
      </c>
      <c r="L2519" t="str" cm="1">
        <f t="array" ref="L2519">_xlfn.IFS(B2519&lt;30,"18-29",B2519&lt;45,"30-44",B2519&lt;60,"45-59",B2519&lt;75,"60-74",B2519&lt;=90,"75-90")</f>
        <v>30-44</v>
      </c>
      <c r="M2519" t="str">
        <f>IF(Table1[[#This Row],[length_of_stay_days]]&gt;7,"Yes","No")</f>
        <v>No</v>
      </c>
    </row>
    <row r="2520" spans="1:13" x14ac:dyDescent="0.3">
      <c r="A2520" t="s">
        <v>2919</v>
      </c>
      <c r="B2520">
        <v>66</v>
      </c>
      <c r="C2520" t="s">
        <v>12</v>
      </c>
      <c r="D2520" t="s">
        <v>55</v>
      </c>
      <c r="E2520" t="s">
        <v>21</v>
      </c>
      <c r="F2520" t="s">
        <v>217</v>
      </c>
      <c r="G2520" t="s">
        <v>133</v>
      </c>
      <c r="H2520">
        <v>7</v>
      </c>
      <c r="I2520" s="1">
        <v>9016.75</v>
      </c>
      <c r="J2520" t="s">
        <v>49</v>
      </c>
      <c r="K2520" t="s">
        <v>18</v>
      </c>
      <c r="L2520" t="str" cm="1">
        <f t="array" ref="L2520">_xlfn.IFS(B2520&lt;30,"18-29",B2520&lt;45,"30-44",B2520&lt;60,"45-59",B2520&lt;75,"60-74",B2520&lt;=90,"75-90")</f>
        <v>60-74</v>
      </c>
      <c r="M2520" t="str">
        <f>IF(Table1[[#This Row],[length_of_stay_days]]&gt;7,"Yes","No")</f>
        <v>No</v>
      </c>
    </row>
    <row r="2521" spans="1:13" x14ac:dyDescent="0.3">
      <c r="A2521" t="s">
        <v>2920</v>
      </c>
      <c r="B2521">
        <v>58</v>
      </c>
      <c r="C2521" t="s">
        <v>12</v>
      </c>
      <c r="D2521" t="s">
        <v>51</v>
      </c>
      <c r="E2521" t="s">
        <v>21</v>
      </c>
      <c r="F2521" t="s">
        <v>436</v>
      </c>
      <c r="G2521" t="s">
        <v>89</v>
      </c>
      <c r="H2521">
        <v>8</v>
      </c>
      <c r="I2521" s="1">
        <v>10990.56</v>
      </c>
      <c r="J2521" t="s">
        <v>17</v>
      </c>
      <c r="K2521" t="s">
        <v>18</v>
      </c>
      <c r="L2521" t="str" cm="1">
        <f t="array" ref="L2521">_xlfn.IFS(B2521&lt;30,"18-29",B2521&lt;45,"30-44",B2521&lt;60,"45-59",B2521&lt;75,"60-74",B2521&lt;=90,"75-90")</f>
        <v>45-59</v>
      </c>
      <c r="M2521" t="str">
        <f>IF(Table1[[#This Row],[length_of_stay_days]]&gt;7,"Yes","No")</f>
        <v>Yes</v>
      </c>
    </row>
    <row r="2522" spans="1:13" x14ac:dyDescent="0.3">
      <c r="A2522" t="s">
        <v>2921</v>
      </c>
      <c r="B2522">
        <v>80</v>
      </c>
      <c r="C2522" t="s">
        <v>20</v>
      </c>
      <c r="D2522" t="s">
        <v>32</v>
      </c>
      <c r="E2522" t="s">
        <v>28</v>
      </c>
      <c r="F2522" t="s">
        <v>774</v>
      </c>
      <c r="G2522" t="s">
        <v>144</v>
      </c>
      <c r="H2522">
        <v>7</v>
      </c>
      <c r="I2522" s="1">
        <v>13007.58</v>
      </c>
      <c r="J2522" t="s">
        <v>17</v>
      </c>
      <c r="K2522" t="s">
        <v>18</v>
      </c>
      <c r="L2522" t="str" cm="1">
        <f t="array" ref="L2522">_xlfn.IFS(B2522&lt;30,"18-29",B2522&lt;45,"30-44",B2522&lt;60,"45-59",B2522&lt;75,"60-74",B2522&lt;=90,"75-90")</f>
        <v>75-90</v>
      </c>
      <c r="M2522" t="str">
        <f>IF(Table1[[#This Row],[length_of_stay_days]]&gt;7,"Yes","No")</f>
        <v>No</v>
      </c>
    </row>
    <row r="2523" spans="1:13" x14ac:dyDescent="0.3">
      <c r="A2523" t="s">
        <v>2922</v>
      </c>
      <c r="B2523">
        <v>37</v>
      </c>
      <c r="C2523" t="s">
        <v>20</v>
      </c>
      <c r="D2523" t="s">
        <v>28</v>
      </c>
      <c r="E2523" t="s">
        <v>28</v>
      </c>
      <c r="F2523" t="s">
        <v>62</v>
      </c>
      <c r="G2523" t="s">
        <v>471</v>
      </c>
      <c r="H2523">
        <v>3</v>
      </c>
      <c r="I2523" s="1">
        <v>5565.16</v>
      </c>
      <c r="J2523" t="s">
        <v>17</v>
      </c>
      <c r="K2523" t="s">
        <v>18</v>
      </c>
      <c r="L2523" t="str" cm="1">
        <f t="array" ref="L2523">_xlfn.IFS(B2523&lt;30,"18-29",B2523&lt;45,"30-44",B2523&lt;60,"45-59",B2523&lt;75,"60-74",B2523&lt;=90,"75-90")</f>
        <v>30-44</v>
      </c>
      <c r="M2523" t="str">
        <f>IF(Table1[[#This Row],[length_of_stay_days]]&gt;7,"Yes","No")</f>
        <v>No</v>
      </c>
    </row>
    <row r="2524" spans="1:13" x14ac:dyDescent="0.3">
      <c r="A2524" t="s">
        <v>2923</v>
      </c>
      <c r="B2524">
        <v>24</v>
      </c>
      <c r="C2524" t="s">
        <v>12</v>
      </c>
      <c r="D2524" t="s">
        <v>55</v>
      </c>
      <c r="E2524" t="s">
        <v>28</v>
      </c>
      <c r="F2524" t="s">
        <v>609</v>
      </c>
      <c r="G2524" t="s">
        <v>214</v>
      </c>
      <c r="H2524">
        <v>8</v>
      </c>
      <c r="I2524" s="1">
        <v>10114.14</v>
      </c>
      <c r="J2524" t="s">
        <v>17</v>
      </c>
      <c r="K2524" t="s">
        <v>18</v>
      </c>
      <c r="L2524" t="str" cm="1">
        <f t="array" ref="L2524">_xlfn.IFS(B2524&lt;30,"18-29",B2524&lt;45,"30-44",B2524&lt;60,"45-59",B2524&lt;75,"60-74",B2524&lt;=90,"75-90")</f>
        <v>18-29</v>
      </c>
      <c r="M2524" t="str">
        <f>IF(Table1[[#This Row],[length_of_stay_days]]&gt;7,"Yes","No")</f>
        <v>Yes</v>
      </c>
    </row>
    <row r="2525" spans="1:13" x14ac:dyDescent="0.3">
      <c r="A2525" t="s">
        <v>2924</v>
      </c>
      <c r="B2525">
        <v>38</v>
      </c>
      <c r="C2525" t="s">
        <v>12</v>
      </c>
      <c r="D2525" t="s">
        <v>55</v>
      </c>
      <c r="E2525" t="s">
        <v>21</v>
      </c>
      <c r="F2525" t="s">
        <v>501</v>
      </c>
      <c r="G2525" t="s">
        <v>203</v>
      </c>
      <c r="H2525">
        <v>6</v>
      </c>
      <c r="I2525" s="1">
        <v>10465.01</v>
      </c>
      <c r="J2525" t="s">
        <v>17</v>
      </c>
      <c r="K2525" t="s">
        <v>18</v>
      </c>
      <c r="L2525" t="str" cm="1">
        <f t="array" ref="L2525">_xlfn.IFS(B2525&lt;30,"18-29",B2525&lt;45,"30-44",B2525&lt;60,"45-59",B2525&lt;75,"60-74",B2525&lt;=90,"75-90")</f>
        <v>30-44</v>
      </c>
      <c r="M2525" t="str">
        <f>IF(Table1[[#This Row],[length_of_stay_days]]&gt;7,"Yes","No")</f>
        <v>No</v>
      </c>
    </row>
    <row r="2526" spans="1:13" x14ac:dyDescent="0.3">
      <c r="A2526" t="s">
        <v>2925</v>
      </c>
      <c r="B2526">
        <v>18</v>
      </c>
      <c r="C2526" t="s">
        <v>20</v>
      </c>
      <c r="D2526" t="s">
        <v>32</v>
      </c>
      <c r="E2526" t="s">
        <v>14</v>
      </c>
      <c r="F2526" t="s">
        <v>286</v>
      </c>
      <c r="G2526" t="s">
        <v>516</v>
      </c>
      <c r="H2526">
        <v>4</v>
      </c>
      <c r="I2526" s="1">
        <v>7180.86</v>
      </c>
      <c r="J2526" t="s">
        <v>49</v>
      </c>
      <c r="K2526" t="s">
        <v>18</v>
      </c>
      <c r="L2526" t="str" cm="1">
        <f t="array" ref="L2526">_xlfn.IFS(B2526&lt;30,"18-29",B2526&lt;45,"30-44",B2526&lt;60,"45-59",B2526&lt;75,"60-74",B2526&lt;=90,"75-90")</f>
        <v>18-29</v>
      </c>
      <c r="M2526" t="str">
        <f>IF(Table1[[#This Row],[length_of_stay_days]]&gt;7,"Yes","No")</f>
        <v>No</v>
      </c>
    </row>
    <row r="2527" spans="1:13" x14ac:dyDescent="0.3">
      <c r="A2527" t="s">
        <v>2926</v>
      </c>
      <c r="B2527">
        <v>55</v>
      </c>
      <c r="C2527" t="s">
        <v>20</v>
      </c>
      <c r="D2527" t="s">
        <v>55</v>
      </c>
      <c r="E2527" t="s">
        <v>14</v>
      </c>
      <c r="F2527" t="s">
        <v>350</v>
      </c>
      <c r="G2527" t="s">
        <v>285</v>
      </c>
      <c r="H2527">
        <v>8</v>
      </c>
      <c r="I2527" s="1">
        <v>12621.5</v>
      </c>
      <c r="J2527" t="s">
        <v>17</v>
      </c>
      <c r="K2527" t="s">
        <v>18</v>
      </c>
      <c r="L2527" t="str" cm="1">
        <f t="array" ref="L2527">_xlfn.IFS(B2527&lt;30,"18-29",B2527&lt;45,"30-44",B2527&lt;60,"45-59",B2527&lt;75,"60-74",B2527&lt;=90,"75-90")</f>
        <v>45-59</v>
      </c>
      <c r="M2527" t="str">
        <f>IF(Table1[[#This Row],[length_of_stay_days]]&gt;7,"Yes","No")</f>
        <v>Yes</v>
      </c>
    </row>
    <row r="2528" spans="1:13" x14ac:dyDescent="0.3">
      <c r="A2528" t="s">
        <v>2927</v>
      </c>
      <c r="B2528">
        <v>87</v>
      </c>
      <c r="C2528" t="s">
        <v>12</v>
      </c>
      <c r="D2528" t="s">
        <v>13</v>
      </c>
      <c r="E2528" t="s">
        <v>28</v>
      </c>
      <c r="F2528" t="s">
        <v>846</v>
      </c>
      <c r="G2528" t="s">
        <v>352</v>
      </c>
      <c r="H2528">
        <v>8</v>
      </c>
      <c r="I2528" s="1">
        <v>10190.65</v>
      </c>
      <c r="J2528" t="s">
        <v>17</v>
      </c>
      <c r="K2528" t="s">
        <v>18</v>
      </c>
      <c r="L2528" t="str" cm="1">
        <f t="array" ref="L2528">_xlfn.IFS(B2528&lt;30,"18-29",B2528&lt;45,"30-44",B2528&lt;60,"45-59",B2528&lt;75,"60-74",B2528&lt;=90,"75-90")</f>
        <v>75-90</v>
      </c>
      <c r="M2528" t="str">
        <f>IF(Table1[[#This Row],[length_of_stay_days]]&gt;7,"Yes","No")</f>
        <v>Yes</v>
      </c>
    </row>
    <row r="2529" spans="1:13" x14ac:dyDescent="0.3">
      <c r="A2529" t="s">
        <v>2928</v>
      </c>
      <c r="B2529">
        <v>27</v>
      </c>
      <c r="C2529" t="s">
        <v>20</v>
      </c>
      <c r="D2529" t="s">
        <v>32</v>
      </c>
      <c r="E2529" t="s">
        <v>28</v>
      </c>
      <c r="F2529" t="s">
        <v>337</v>
      </c>
      <c r="G2529" t="s">
        <v>315</v>
      </c>
      <c r="H2529">
        <v>7</v>
      </c>
      <c r="I2529" s="1">
        <v>12698.46</v>
      </c>
      <c r="J2529" t="s">
        <v>17</v>
      </c>
      <c r="K2529" t="s">
        <v>18</v>
      </c>
      <c r="L2529" t="str" cm="1">
        <f t="array" ref="L2529">_xlfn.IFS(B2529&lt;30,"18-29",B2529&lt;45,"30-44",B2529&lt;60,"45-59",B2529&lt;75,"60-74",B2529&lt;=90,"75-90")</f>
        <v>18-29</v>
      </c>
      <c r="M2529" t="str">
        <f>IF(Table1[[#This Row],[length_of_stay_days]]&gt;7,"Yes","No")</f>
        <v>No</v>
      </c>
    </row>
    <row r="2530" spans="1:13" x14ac:dyDescent="0.3">
      <c r="A2530" t="s">
        <v>2929</v>
      </c>
      <c r="B2530">
        <v>42</v>
      </c>
      <c r="C2530" t="s">
        <v>20</v>
      </c>
      <c r="D2530" t="s">
        <v>51</v>
      </c>
      <c r="E2530" t="s">
        <v>28</v>
      </c>
      <c r="F2530" t="s">
        <v>405</v>
      </c>
      <c r="G2530" t="s">
        <v>774</v>
      </c>
      <c r="H2530">
        <v>8</v>
      </c>
      <c r="I2530" s="1">
        <v>12347.84</v>
      </c>
      <c r="J2530" t="s">
        <v>17</v>
      </c>
      <c r="K2530" t="s">
        <v>18</v>
      </c>
      <c r="L2530" t="str" cm="1">
        <f t="array" ref="L2530">_xlfn.IFS(B2530&lt;30,"18-29",B2530&lt;45,"30-44",B2530&lt;60,"45-59",B2530&lt;75,"60-74",B2530&lt;=90,"75-90")</f>
        <v>30-44</v>
      </c>
      <c r="M2530" t="str">
        <f>IF(Table1[[#This Row],[length_of_stay_days]]&gt;7,"Yes","No")</f>
        <v>Yes</v>
      </c>
    </row>
    <row r="2531" spans="1:13" x14ac:dyDescent="0.3">
      <c r="A2531" t="s">
        <v>2930</v>
      </c>
      <c r="B2531">
        <v>76</v>
      </c>
      <c r="C2531" t="s">
        <v>20</v>
      </c>
      <c r="D2531" t="s">
        <v>13</v>
      </c>
      <c r="E2531" t="s">
        <v>14</v>
      </c>
      <c r="F2531" t="s">
        <v>103</v>
      </c>
      <c r="G2531" t="s">
        <v>355</v>
      </c>
      <c r="H2531">
        <v>4</v>
      </c>
      <c r="I2531" s="1">
        <v>4410.88</v>
      </c>
      <c r="J2531" t="s">
        <v>17</v>
      </c>
      <c r="K2531" t="s">
        <v>18</v>
      </c>
      <c r="L2531" t="str" cm="1">
        <f t="array" ref="L2531">_xlfn.IFS(B2531&lt;30,"18-29",B2531&lt;45,"30-44",B2531&lt;60,"45-59",B2531&lt;75,"60-74",B2531&lt;=90,"75-90")</f>
        <v>75-90</v>
      </c>
      <c r="M2531" t="str">
        <f>IF(Table1[[#This Row],[length_of_stay_days]]&gt;7,"Yes","No")</f>
        <v>No</v>
      </c>
    </row>
    <row r="2532" spans="1:13" x14ac:dyDescent="0.3">
      <c r="A2532" t="s">
        <v>2931</v>
      </c>
      <c r="B2532">
        <v>31</v>
      </c>
      <c r="C2532" t="s">
        <v>20</v>
      </c>
      <c r="D2532" t="s">
        <v>32</v>
      </c>
      <c r="E2532" t="s">
        <v>21</v>
      </c>
      <c r="F2532" t="s">
        <v>430</v>
      </c>
      <c r="G2532" t="s">
        <v>235</v>
      </c>
      <c r="H2532">
        <v>7</v>
      </c>
      <c r="I2532" s="1">
        <v>12293.28</v>
      </c>
      <c r="J2532" t="s">
        <v>17</v>
      </c>
      <c r="K2532" t="s">
        <v>18</v>
      </c>
      <c r="L2532" t="str" cm="1">
        <f t="array" ref="L2532">_xlfn.IFS(B2532&lt;30,"18-29",B2532&lt;45,"30-44",B2532&lt;60,"45-59",B2532&lt;75,"60-74",B2532&lt;=90,"75-90")</f>
        <v>30-44</v>
      </c>
      <c r="M2532" t="str">
        <f>IF(Table1[[#This Row],[length_of_stay_days]]&gt;7,"Yes","No")</f>
        <v>No</v>
      </c>
    </row>
    <row r="2533" spans="1:13" x14ac:dyDescent="0.3">
      <c r="A2533" t="s">
        <v>2932</v>
      </c>
      <c r="B2533">
        <v>51</v>
      </c>
      <c r="C2533" t="s">
        <v>20</v>
      </c>
      <c r="D2533" t="s">
        <v>51</v>
      </c>
      <c r="E2533" t="s">
        <v>28</v>
      </c>
      <c r="F2533" t="s">
        <v>791</v>
      </c>
      <c r="G2533" t="s">
        <v>96</v>
      </c>
      <c r="H2533">
        <v>7</v>
      </c>
      <c r="I2533" s="1">
        <v>10478.11</v>
      </c>
      <c r="J2533" t="s">
        <v>17</v>
      </c>
      <c r="K2533" t="s">
        <v>18</v>
      </c>
      <c r="L2533" t="str" cm="1">
        <f t="array" ref="L2533">_xlfn.IFS(B2533&lt;30,"18-29",B2533&lt;45,"30-44",B2533&lt;60,"45-59",B2533&lt;75,"60-74",B2533&lt;=90,"75-90")</f>
        <v>45-59</v>
      </c>
      <c r="M2533" t="str">
        <f>IF(Table1[[#This Row],[length_of_stay_days]]&gt;7,"Yes","No")</f>
        <v>No</v>
      </c>
    </row>
    <row r="2534" spans="1:13" x14ac:dyDescent="0.3">
      <c r="A2534" t="s">
        <v>2933</v>
      </c>
      <c r="B2534">
        <v>86</v>
      </c>
      <c r="C2534" t="s">
        <v>12</v>
      </c>
      <c r="D2534" t="s">
        <v>28</v>
      </c>
      <c r="E2534" t="s">
        <v>14</v>
      </c>
      <c r="F2534" t="s">
        <v>975</v>
      </c>
      <c r="G2534" t="s">
        <v>680</v>
      </c>
      <c r="H2534">
        <v>9</v>
      </c>
      <c r="I2534" s="1">
        <v>9432.32</v>
      </c>
      <c r="J2534" t="s">
        <v>17</v>
      </c>
      <c r="K2534" t="s">
        <v>18</v>
      </c>
      <c r="L2534" t="str" cm="1">
        <f t="array" ref="L2534">_xlfn.IFS(B2534&lt;30,"18-29",B2534&lt;45,"30-44",B2534&lt;60,"45-59",B2534&lt;75,"60-74",B2534&lt;=90,"75-90")</f>
        <v>75-90</v>
      </c>
      <c r="M2534" t="str">
        <f>IF(Table1[[#This Row],[length_of_stay_days]]&gt;7,"Yes","No")</f>
        <v>Yes</v>
      </c>
    </row>
    <row r="2535" spans="1:13" x14ac:dyDescent="0.3">
      <c r="A2535" t="s">
        <v>2934</v>
      </c>
      <c r="B2535">
        <v>54</v>
      </c>
      <c r="C2535" t="s">
        <v>12</v>
      </c>
      <c r="D2535" t="s">
        <v>13</v>
      </c>
      <c r="E2535" t="s">
        <v>14</v>
      </c>
      <c r="F2535" t="s">
        <v>126</v>
      </c>
      <c r="G2535" t="s">
        <v>395</v>
      </c>
      <c r="H2535">
        <v>3</v>
      </c>
      <c r="I2535" s="1">
        <v>3006.48</v>
      </c>
      <c r="J2535" t="s">
        <v>17</v>
      </c>
      <c r="K2535" t="s">
        <v>18</v>
      </c>
      <c r="L2535" t="str" cm="1">
        <f t="array" ref="L2535">_xlfn.IFS(B2535&lt;30,"18-29",B2535&lt;45,"30-44",B2535&lt;60,"45-59",B2535&lt;75,"60-74",B2535&lt;=90,"75-90")</f>
        <v>45-59</v>
      </c>
      <c r="M2535" t="str">
        <f>IF(Table1[[#This Row],[length_of_stay_days]]&gt;7,"Yes","No")</f>
        <v>No</v>
      </c>
    </row>
    <row r="2536" spans="1:13" x14ac:dyDescent="0.3">
      <c r="A2536" t="s">
        <v>2935</v>
      </c>
      <c r="B2536">
        <v>29</v>
      </c>
      <c r="C2536" t="s">
        <v>20</v>
      </c>
      <c r="D2536" t="s">
        <v>46</v>
      </c>
      <c r="E2536" t="s">
        <v>21</v>
      </c>
      <c r="F2536" t="s">
        <v>252</v>
      </c>
      <c r="G2536" t="s">
        <v>458</v>
      </c>
      <c r="H2536">
        <v>2</v>
      </c>
      <c r="I2536" s="1">
        <v>8849.51</v>
      </c>
      <c r="J2536" t="s">
        <v>17</v>
      </c>
      <c r="K2536" t="s">
        <v>18</v>
      </c>
      <c r="L2536" t="str" cm="1">
        <f t="array" ref="L2536">_xlfn.IFS(B2536&lt;30,"18-29",B2536&lt;45,"30-44",B2536&lt;60,"45-59",B2536&lt;75,"60-74",B2536&lt;=90,"75-90")</f>
        <v>18-29</v>
      </c>
      <c r="M2536" t="str">
        <f>IF(Table1[[#This Row],[length_of_stay_days]]&gt;7,"Yes","No")</f>
        <v>No</v>
      </c>
    </row>
    <row r="2537" spans="1:13" x14ac:dyDescent="0.3">
      <c r="A2537" t="s">
        <v>2936</v>
      </c>
      <c r="B2537">
        <v>77</v>
      </c>
      <c r="C2537" t="s">
        <v>20</v>
      </c>
      <c r="D2537" t="s">
        <v>28</v>
      </c>
      <c r="E2537" t="s">
        <v>14</v>
      </c>
      <c r="F2537" t="s">
        <v>89</v>
      </c>
      <c r="G2537" t="s">
        <v>648</v>
      </c>
      <c r="H2537">
        <v>1</v>
      </c>
      <c r="I2537" s="1">
        <v>3324.79</v>
      </c>
      <c r="J2537" t="s">
        <v>17</v>
      </c>
      <c r="K2537" t="s">
        <v>18</v>
      </c>
      <c r="L2537" t="str" cm="1">
        <f t="array" ref="L2537">_xlfn.IFS(B2537&lt;30,"18-29",B2537&lt;45,"30-44",B2537&lt;60,"45-59",B2537&lt;75,"60-74",B2537&lt;=90,"75-90")</f>
        <v>75-90</v>
      </c>
      <c r="M2537" t="str">
        <f>IF(Table1[[#This Row],[length_of_stay_days]]&gt;7,"Yes","No")</f>
        <v>No</v>
      </c>
    </row>
    <row r="2538" spans="1:13" x14ac:dyDescent="0.3">
      <c r="A2538" t="s">
        <v>2937</v>
      </c>
      <c r="B2538">
        <v>57</v>
      </c>
      <c r="C2538" t="s">
        <v>12</v>
      </c>
      <c r="D2538" t="s">
        <v>28</v>
      </c>
      <c r="E2538" t="s">
        <v>14</v>
      </c>
      <c r="F2538" t="s">
        <v>1018</v>
      </c>
      <c r="G2538" t="s">
        <v>410</v>
      </c>
      <c r="H2538">
        <v>4</v>
      </c>
      <c r="I2538" s="1">
        <v>4164.6099999999997</v>
      </c>
      <c r="J2538" t="s">
        <v>17</v>
      </c>
      <c r="K2538" t="s">
        <v>18</v>
      </c>
      <c r="L2538" t="str" cm="1">
        <f t="array" ref="L2538">_xlfn.IFS(B2538&lt;30,"18-29",B2538&lt;45,"30-44",B2538&lt;60,"45-59",B2538&lt;75,"60-74",B2538&lt;=90,"75-90")</f>
        <v>45-59</v>
      </c>
      <c r="M2538" t="str">
        <f>IF(Table1[[#This Row],[length_of_stay_days]]&gt;7,"Yes","No")</f>
        <v>No</v>
      </c>
    </row>
    <row r="2539" spans="1:13" x14ac:dyDescent="0.3">
      <c r="A2539" t="s">
        <v>2938</v>
      </c>
      <c r="B2539">
        <v>30</v>
      </c>
      <c r="C2539" t="s">
        <v>20</v>
      </c>
      <c r="D2539" t="s">
        <v>13</v>
      </c>
      <c r="E2539" t="s">
        <v>14</v>
      </c>
      <c r="F2539" t="s">
        <v>499</v>
      </c>
      <c r="G2539" t="s">
        <v>344</v>
      </c>
      <c r="H2539">
        <v>7</v>
      </c>
      <c r="I2539" s="1">
        <v>6486.82</v>
      </c>
      <c r="J2539" t="s">
        <v>17</v>
      </c>
      <c r="K2539" t="s">
        <v>18</v>
      </c>
      <c r="L2539" t="str" cm="1">
        <f t="array" ref="L2539">_xlfn.IFS(B2539&lt;30,"18-29",B2539&lt;45,"30-44",B2539&lt;60,"45-59",B2539&lt;75,"60-74",B2539&lt;=90,"75-90")</f>
        <v>30-44</v>
      </c>
      <c r="M2539" t="str">
        <f>IF(Table1[[#This Row],[length_of_stay_days]]&gt;7,"Yes","No")</f>
        <v>No</v>
      </c>
    </row>
    <row r="2540" spans="1:13" x14ac:dyDescent="0.3">
      <c r="A2540" t="s">
        <v>2939</v>
      </c>
      <c r="B2540">
        <v>86</v>
      </c>
      <c r="C2540" t="s">
        <v>20</v>
      </c>
      <c r="D2540" t="s">
        <v>13</v>
      </c>
      <c r="E2540" t="s">
        <v>28</v>
      </c>
      <c r="F2540" t="s">
        <v>616</v>
      </c>
      <c r="G2540" t="s">
        <v>163</v>
      </c>
      <c r="H2540">
        <v>5</v>
      </c>
      <c r="I2540" s="1">
        <v>6956.99</v>
      </c>
      <c r="J2540" t="s">
        <v>17</v>
      </c>
      <c r="K2540" t="s">
        <v>18</v>
      </c>
      <c r="L2540" t="str" cm="1">
        <f t="array" ref="L2540">_xlfn.IFS(B2540&lt;30,"18-29",B2540&lt;45,"30-44",B2540&lt;60,"45-59",B2540&lt;75,"60-74",B2540&lt;=90,"75-90")</f>
        <v>75-90</v>
      </c>
      <c r="M2540" t="str">
        <f>IF(Table1[[#This Row],[length_of_stay_days]]&gt;7,"Yes","No")</f>
        <v>No</v>
      </c>
    </row>
    <row r="2541" spans="1:13" x14ac:dyDescent="0.3">
      <c r="A2541" t="s">
        <v>2940</v>
      </c>
      <c r="B2541">
        <v>72</v>
      </c>
      <c r="C2541" t="s">
        <v>12</v>
      </c>
      <c r="D2541" t="s">
        <v>32</v>
      </c>
      <c r="E2541" t="s">
        <v>21</v>
      </c>
      <c r="F2541" t="s">
        <v>198</v>
      </c>
      <c r="G2541" t="s">
        <v>555</v>
      </c>
      <c r="H2541">
        <v>6</v>
      </c>
      <c r="I2541" s="1">
        <v>10876.26</v>
      </c>
      <c r="J2541" t="s">
        <v>17</v>
      </c>
      <c r="K2541" t="s">
        <v>18</v>
      </c>
      <c r="L2541" t="str" cm="1">
        <f t="array" ref="L2541">_xlfn.IFS(B2541&lt;30,"18-29",B2541&lt;45,"30-44",B2541&lt;60,"45-59",B2541&lt;75,"60-74",B2541&lt;=90,"75-90")</f>
        <v>60-74</v>
      </c>
      <c r="M2541" t="str">
        <f>IF(Table1[[#This Row],[length_of_stay_days]]&gt;7,"Yes","No")</f>
        <v>No</v>
      </c>
    </row>
    <row r="2542" spans="1:13" x14ac:dyDescent="0.3">
      <c r="A2542" t="s">
        <v>2941</v>
      </c>
      <c r="B2542">
        <v>62</v>
      </c>
      <c r="C2542" t="s">
        <v>12</v>
      </c>
      <c r="D2542" t="s">
        <v>32</v>
      </c>
      <c r="E2542" t="s">
        <v>28</v>
      </c>
      <c r="F2542" t="s">
        <v>427</v>
      </c>
      <c r="G2542" t="s">
        <v>787</v>
      </c>
      <c r="H2542">
        <v>6</v>
      </c>
      <c r="I2542" s="1">
        <v>9404.1200000000008</v>
      </c>
      <c r="J2542" t="s">
        <v>17</v>
      </c>
      <c r="K2542" t="s">
        <v>18</v>
      </c>
      <c r="L2542" t="str" cm="1">
        <f t="array" ref="L2542">_xlfn.IFS(B2542&lt;30,"18-29",B2542&lt;45,"30-44",B2542&lt;60,"45-59",B2542&lt;75,"60-74",B2542&lt;=90,"75-90")</f>
        <v>60-74</v>
      </c>
      <c r="M2542" t="str">
        <f>IF(Table1[[#This Row],[length_of_stay_days]]&gt;7,"Yes","No")</f>
        <v>No</v>
      </c>
    </row>
    <row r="2543" spans="1:13" x14ac:dyDescent="0.3">
      <c r="A2543" t="s">
        <v>2942</v>
      </c>
      <c r="B2543">
        <v>20</v>
      </c>
      <c r="C2543" t="s">
        <v>12</v>
      </c>
      <c r="D2543" t="s">
        <v>51</v>
      </c>
      <c r="E2543" t="s">
        <v>28</v>
      </c>
      <c r="F2543" t="s">
        <v>443</v>
      </c>
      <c r="G2543" t="s">
        <v>532</v>
      </c>
      <c r="H2543">
        <v>6</v>
      </c>
      <c r="I2543" s="1">
        <v>10801.9</v>
      </c>
      <c r="J2543" t="s">
        <v>17</v>
      </c>
      <c r="K2543" t="s">
        <v>18</v>
      </c>
      <c r="L2543" t="str" cm="1">
        <f t="array" ref="L2543">_xlfn.IFS(B2543&lt;30,"18-29",B2543&lt;45,"30-44",B2543&lt;60,"45-59",B2543&lt;75,"60-74",B2543&lt;=90,"75-90")</f>
        <v>18-29</v>
      </c>
      <c r="M2543" t="str">
        <f>IF(Table1[[#This Row],[length_of_stay_days]]&gt;7,"Yes","No")</f>
        <v>No</v>
      </c>
    </row>
    <row r="2544" spans="1:13" x14ac:dyDescent="0.3">
      <c r="A2544" t="s">
        <v>2943</v>
      </c>
      <c r="B2544">
        <v>89</v>
      </c>
      <c r="C2544" t="s">
        <v>12</v>
      </c>
      <c r="D2544" t="s">
        <v>28</v>
      </c>
      <c r="E2544" t="s">
        <v>28</v>
      </c>
      <c r="F2544" t="s">
        <v>266</v>
      </c>
      <c r="G2544" t="s">
        <v>295</v>
      </c>
      <c r="H2544">
        <v>5</v>
      </c>
      <c r="I2544" s="1">
        <v>7849.71</v>
      </c>
      <c r="J2544" t="s">
        <v>17</v>
      </c>
      <c r="K2544" t="s">
        <v>18</v>
      </c>
      <c r="L2544" t="str" cm="1">
        <f t="array" ref="L2544">_xlfn.IFS(B2544&lt;30,"18-29",B2544&lt;45,"30-44",B2544&lt;60,"45-59",B2544&lt;75,"60-74",B2544&lt;=90,"75-90")</f>
        <v>75-90</v>
      </c>
      <c r="M2544" t="str">
        <f>IF(Table1[[#This Row],[length_of_stay_days]]&gt;7,"Yes","No")</f>
        <v>No</v>
      </c>
    </row>
    <row r="2545" spans="1:13" x14ac:dyDescent="0.3">
      <c r="A2545" t="s">
        <v>2944</v>
      </c>
      <c r="B2545">
        <v>35</v>
      </c>
      <c r="C2545" t="s">
        <v>12</v>
      </c>
      <c r="D2545" t="s">
        <v>51</v>
      </c>
      <c r="E2545" t="s">
        <v>28</v>
      </c>
      <c r="F2545" t="s">
        <v>376</v>
      </c>
      <c r="G2545" t="s">
        <v>143</v>
      </c>
      <c r="H2545">
        <v>4</v>
      </c>
      <c r="I2545" s="1">
        <v>8927.1</v>
      </c>
      <c r="J2545" t="s">
        <v>49</v>
      </c>
      <c r="K2545" t="s">
        <v>44</v>
      </c>
      <c r="L2545" t="str" cm="1">
        <f t="array" ref="L2545">_xlfn.IFS(B2545&lt;30,"18-29",B2545&lt;45,"30-44",B2545&lt;60,"45-59",B2545&lt;75,"60-74",B2545&lt;=90,"75-90")</f>
        <v>30-44</v>
      </c>
      <c r="M2545" t="str">
        <f>IF(Table1[[#This Row],[length_of_stay_days]]&gt;7,"Yes","No")</f>
        <v>No</v>
      </c>
    </row>
    <row r="2546" spans="1:13" x14ac:dyDescent="0.3">
      <c r="A2546" t="s">
        <v>2945</v>
      </c>
      <c r="B2546">
        <v>21</v>
      </c>
      <c r="C2546" t="s">
        <v>20</v>
      </c>
      <c r="D2546" t="s">
        <v>28</v>
      </c>
      <c r="E2546" t="s">
        <v>28</v>
      </c>
      <c r="F2546" t="s">
        <v>330</v>
      </c>
      <c r="G2546" t="s">
        <v>337</v>
      </c>
      <c r="H2546">
        <v>3</v>
      </c>
      <c r="I2546" s="1">
        <v>4972.2700000000004</v>
      </c>
      <c r="J2546" t="s">
        <v>17</v>
      </c>
      <c r="K2546" t="s">
        <v>18</v>
      </c>
      <c r="L2546" t="str" cm="1">
        <f t="array" ref="L2546">_xlfn.IFS(B2546&lt;30,"18-29",B2546&lt;45,"30-44",B2546&lt;60,"45-59",B2546&lt;75,"60-74",B2546&lt;=90,"75-90")</f>
        <v>18-29</v>
      </c>
      <c r="M2546" t="str">
        <f>IF(Table1[[#This Row],[length_of_stay_days]]&gt;7,"Yes","No")</f>
        <v>No</v>
      </c>
    </row>
    <row r="2547" spans="1:13" x14ac:dyDescent="0.3">
      <c r="A2547" t="s">
        <v>2946</v>
      </c>
      <c r="B2547">
        <v>33</v>
      </c>
      <c r="C2547" t="s">
        <v>12</v>
      </c>
      <c r="D2547" t="s">
        <v>55</v>
      </c>
      <c r="E2547" t="s">
        <v>28</v>
      </c>
      <c r="F2547" t="s">
        <v>72</v>
      </c>
      <c r="G2547" t="s">
        <v>363</v>
      </c>
      <c r="H2547">
        <v>6</v>
      </c>
      <c r="I2547" s="1">
        <v>12299.28</v>
      </c>
      <c r="J2547" t="s">
        <v>17</v>
      </c>
      <c r="K2547" t="s">
        <v>18</v>
      </c>
      <c r="L2547" t="str" cm="1">
        <f t="array" ref="L2547">_xlfn.IFS(B2547&lt;30,"18-29",B2547&lt;45,"30-44",B2547&lt;60,"45-59",B2547&lt;75,"60-74",B2547&lt;=90,"75-90")</f>
        <v>30-44</v>
      </c>
      <c r="M2547" t="str">
        <f>IF(Table1[[#This Row],[length_of_stay_days]]&gt;7,"Yes","No")</f>
        <v>No</v>
      </c>
    </row>
    <row r="2548" spans="1:13" x14ac:dyDescent="0.3">
      <c r="A2548" t="s">
        <v>2947</v>
      </c>
      <c r="B2548">
        <v>88</v>
      </c>
      <c r="C2548" t="s">
        <v>12</v>
      </c>
      <c r="D2548" t="s">
        <v>13</v>
      </c>
      <c r="E2548" t="s">
        <v>21</v>
      </c>
      <c r="F2548" t="s">
        <v>895</v>
      </c>
      <c r="G2548" t="s">
        <v>270</v>
      </c>
      <c r="H2548">
        <v>5</v>
      </c>
      <c r="I2548" s="1">
        <v>6979</v>
      </c>
      <c r="J2548" t="s">
        <v>17</v>
      </c>
      <c r="K2548" t="s">
        <v>18</v>
      </c>
      <c r="L2548" t="str" cm="1">
        <f t="array" ref="L2548">_xlfn.IFS(B2548&lt;30,"18-29",B2548&lt;45,"30-44",B2548&lt;60,"45-59",B2548&lt;75,"60-74",B2548&lt;=90,"75-90")</f>
        <v>75-90</v>
      </c>
      <c r="M2548" t="str">
        <f>IF(Table1[[#This Row],[length_of_stay_days]]&gt;7,"Yes","No")</f>
        <v>No</v>
      </c>
    </row>
    <row r="2549" spans="1:13" x14ac:dyDescent="0.3">
      <c r="A2549" t="s">
        <v>2948</v>
      </c>
      <c r="B2549">
        <v>28</v>
      </c>
      <c r="C2549" t="s">
        <v>12</v>
      </c>
      <c r="D2549" t="s">
        <v>13</v>
      </c>
      <c r="E2549" t="s">
        <v>14</v>
      </c>
      <c r="F2549" t="s">
        <v>342</v>
      </c>
      <c r="G2549" t="s">
        <v>232</v>
      </c>
      <c r="H2549">
        <v>8</v>
      </c>
      <c r="I2549" s="1">
        <v>9729.86</v>
      </c>
      <c r="J2549" t="s">
        <v>17</v>
      </c>
      <c r="K2549" t="s">
        <v>18</v>
      </c>
      <c r="L2549" t="str" cm="1">
        <f t="array" ref="L2549">_xlfn.IFS(B2549&lt;30,"18-29",B2549&lt;45,"30-44",B2549&lt;60,"45-59",B2549&lt;75,"60-74",B2549&lt;=90,"75-90")</f>
        <v>18-29</v>
      </c>
      <c r="M2549" t="str">
        <f>IF(Table1[[#This Row],[length_of_stay_days]]&gt;7,"Yes","No")</f>
        <v>Yes</v>
      </c>
    </row>
    <row r="2550" spans="1:13" x14ac:dyDescent="0.3">
      <c r="A2550" t="s">
        <v>2949</v>
      </c>
      <c r="B2550">
        <v>90</v>
      </c>
      <c r="C2550" t="s">
        <v>20</v>
      </c>
      <c r="D2550" t="s">
        <v>28</v>
      </c>
      <c r="E2550" t="s">
        <v>21</v>
      </c>
      <c r="F2550" t="s">
        <v>40</v>
      </c>
      <c r="G2550" t="s">
        <v>225</v>
      </c>
      <c r="H2550">
        <v>8</v>
      </c>
      <c r="I2550" s="1">
        <v>8476.93</v>
      </c>
      <c r="J2550" t="s">
        <v>17</v>
      </c>
      <c r="K2550" t="s">
        <v>18</v>
      </c>
      <c r="L2550" t="str" cm="1">
        <f t="array" ref="L2550">_xlfn.IFS(B2550&lt;30,"18-29",B2550&lt;45,"30-44",B2550&lt;60,"45-59",B2550&lt;75,"60-74",B2550&lt;=90,"75-90")</f>
        <v>75-90</v>
      </c>
      <c r="M2550" t="str">
        <f>IF(Table1[[#This Row],[length_of_stay_days]]&gt;7,"Yes","No")</f>
        <v>Yes</v>
      </c>
    </row>
    <row r="2551" spans="1:13" x14ac:dyDescent="0.3">
      <c r="A2551" t="s">
        <v>2950</v>
      </c>
      <c r="B2551">
        <v>81</v>
      </c>
      <c r="C2551" t="s">
        <v>12</v>
      </c>
      <c r="D2551" t="s">
        <v>51</v>
      </c>
      <c r="E2551" t="s">
        <v>28</v>
      </c>
      <c r="F2551" t="s">
        <v>263</v>
      </c>
      <c r="G2551" t="s">
        <v>509</v>
      </c>
      <c r="H2551">
        <v>8</v>
      </c>
      <c r="I2551" s="1">
        <v>14240.57</v>
      </c>
      <c r="J2551" t="s">
        <v>17</v>
      </c>
      <c r="K2551" t="s">
        <v>18</v>
      </c>
      <c r="L2551" t="str" cm="1">
        <f t="array" ref="L2551">_xlfn.IFS(B2551&lt;30,"18-29",B2551&lt;45,"30-44",B2551&lt;60,"45-59",B2551&lt;75,"60-74",B2551&lt;=90,"75-90")</f>
        <v>75-90</v>
      </c>
      <c r="M2551" t="str">
        <f>IF(Table1[[#This Row],[length_of_stay_days]]&gt;7,"Yes","No")</f>
        <v>Yes</v>
      </c>
    </row>
    <row r="2552" spans="1:13" x14ac:dyDescent="0.3">
      <c r="A2552" t="s">
        <v>2951</v>
      </c>
      <c r="B2552">
        <v>28</v>
      </c>
      <c r="C2552" t="s">
        <v>20</v>
      </c>
      <c r="D2552" t="s">
        <v>28</v>
      </c>
      <c r="E2552" t="s">
        <v>14</v>
      </c>
      <c r="F2552" t="s">
        <v>1181</v>
      </c>
      <c r="G2552" t="s">
        <v>77</v>
      </c>
      <c r="H2552">
        <v>1</v>
      </c>
      <c r="I2552" s="1">
        <v>4880.6899999999996</v>
      </c>
      <c r="J2552" t="s">
        <v>17</v>
      </c>
      <c r="K2552" t="s">
        <v>18</v>
      </c>
      <c r="L2552" t="str" cm="1">
        <f t="array" ref="L2552">_xlfn.IFS(B2552&lt;30,"18-29",B2552&lt;45,"30-44",B2552&lt;60,"45-59",B2552&lt;75,"60-74",B2552&lt;=90,"75-90")</f>
        <v>18-29</v>
      </c>
      <c r="M2552" t="str">
        <f>IF(Table1[[#This Row],[length_of_stay_days]]&gt;7,"Yes","No")</f>
        <v>No</v>
      </c>
    </row>
    <row r="2553" spans="1:13" x14ac:dyDescent="0.3">
      <c r="A2553" t="s">
        <v>2952</v>
      </c>
      <c r="B2553">
        <v>22</v>
      </c>
      <c r="C2553" t="s">
        <v>12</v>
      </c>
      <c r="D2553" t="s">
        <v>55</v>
      </c>
      <c r="E2553" t="s">
        <v>14</v>
      </c>
      <c r="F2553" t="s">
        <v>129</v>
      </c>
      <c r="G2553" t="s">
        <v>270</v>
      </c>
      <c r="H2553">
        <v>7</v>
      </c>
      <c r="I2553" s="1">
        <v>12983.9</v>
      </c>
      <c r="J2553" t="s">
        <v>17</v>
      </c>
      <c r="K2553" t="s">
        <v>18</v>
      </c>
      <c r="L2553" t="str" cm="1">
        <f t="array" ref="L2553">_xlfn.IFS(B2553&lt;30,"18-29",B2553&lt;45,"30-44",B2553&lt;60,"45-59",B2553&lt;75,"60-74",B2553&lt;=90,"75-90")</f>
        <v>18-29</v>
      </c>
      <c r="M2553" t="str">
        <f>IF(Table1[[#This Row],[length_of_stay_days]]&gt;7,"Yes","No")</f>
        <v>No</v>
      </c>
    </row>
    <row r="2554" spans="1:13" x14ac:dyDescent="0.3">
      <c r="A2554" t="s">
        <v>2953</v>
      </c>
      <c r="B2554">
        <v>71</v>
      </c>
      <c r="C2554" t="s">
        <v>12</v>
      </c>
      <c r="D2554" t="s">
        <v>28</v>
      </c>
      <c r="E2554" t="s">
        <v>28</v>
      </c>
      <c r="F2554" t="s">
        <v>791</v>
      </c>
      <c r="G2554" t="s">
        <v>774</v>
      </c>
      <c r="H2554">
        <v>5</v>
      </c>
      <c r="I2554" s="1">
        <v>6243.5</v>
      </c>
      <c r="J2554" t="s">
        <v>17</v>
      </c>
      <c r="K2554" t="s">
        <v>44</v>
      </c>
      <c r="L2554" t="str" cm="1">
        <f t="array" ref="L2554">_xlfn.IFS(B2554&lt;30,"18-29",B2554&lt;45,"30-44",B2554&lt;60,"45-59",B2554&lt;75,"60-74",B2554&lt;=90,"75-90")</f>
        <v>60-74</v>
      </c>
      <c r="M2554" t="str">
        <f>IF(Table1[[#This Row],[length_of_stay_days]]&gt;7,"Yes","No")</f>
        <v>No</v>
      </c>
    </row>
    <row r="2555" spans="1:13" x14ac:dyDescent="0.3">
      <c r="A2555" t="s">
        <v>2954</v>
      </c>
      <c r="B2555">
        <v>73</v>
      </c>
      <c r="C2555" t="s">
        <v>70</v>
      </c>
      <c r="D2555" t="s">
        <v>32</v>
      </c>
      <c r="E2555" t="s">
        <v>28</v>
      </c>
      <c r="F2555" t="s">
        <v>644</v>
      </c>
      <c r="G2555" t="s">
        <v>512</v>
      </c>
      <c r="H2555">
        <v>11</v>
      </c>
      <c r="I2555" s="1">
        <v>14312.2</v>
      </c>
      <c r="J2555" t="s">
        <v>17</v>
      </c>
      <c r="K2555" t="s">
        <v>18</v>
      </c>
      <c r="L2555" t="str" cm="1">
        <f t="array" ref="L2555">_xlfn.IFS(B2555&lt;30,"18-29",B2555&lt;45,"30-44",B2555&lt;60,"45-59",B2555&lt;75,"60-74",B2555&lt;=90,"75-90")</f>
        <v>60-74</v>
      </c>
      <c r="M2555" t="str">
        <f>IF(Table1[[#This Row],[length_of_stay_days]]&gt;7,"Yes","No")</f>
        <v>Yes</v>
      </c>
    </row>
    <row r="2556" spans="1:13" x14ac:dyDescent="0.3">
      <c r="A2556" t="s">
        <v>2955</v>
      </c>
      <c r="B2556">
        <v>33</v>
      </c>
      <c r="C2556" t="s">
        <v>12</v>
      </c>
      <c r="D2556" t="s">
        <v>32</v>
      </c>
      <c r="E2556" t="s">
        <v>28</v>
      </c>
      <c r="F2556" t="s">
        <v>130</v>
      </c>
      <c r="G2556" t="s">
        <v>357</v>
      </c>
      <c r="H2556">
        <v>5</v>
      </c>
      <c r="I2556" s="1">
        <v>11138.29</v>
      </c>
      <c r="J2556" t="s">
        <v>17</v>
      </c>
      <c r="K2556" t="s">
        <v>18</v>
      </c>
      <c r="L2556" t="str" cm="1">
        <f t="array" ref="L2556">_xlfn.IFS(B2556&lt;30,"18-29",B2556&lt;45,"30-44",B2556&lt;60,"45-59",B2556&lt;75,"60-74",B2556&lt;=90,"75-90")</f>
        <v>30-44</v>
      </c>
      <c r="M2556" t="str">
        <f>IF(Table1[[#This Row],[length_of_stay_days]]&gt;7,"Yes","No")</f>
        <v>No</v>
      </c>
    </row>
    <row r="2557" spans="1:13" x14ac:dyDescent="0.3">
      <c r="A2557" t="s">
        <v>2956</v>
      </c>
      <c r="B2557">
        <v>69</v>
      </c>
      <c r="C2557" t="s">
        <v>20</v>
      </c>
      <c r="D2557" t="s">
        <v>28</v>
      </c>
      <c r="E2557" t="s">
        <v>28</v>
      </c>
      <c r="F2557" t="s">
        <v>1054</v>
      </c>
      <c r="G2557" t="s">
        <v>454</v>
      </c>
      <c r="H2557">
        <v>5</v>
      </c>
      <c r="I2557" s="1">
        <v>8014</v>
      </c>
      <c r="J2557" t="s">
        <v>17</v>
      </c>
      <c r="K2557" t="s">
        <v>18</v>
      </c>
      <c r="L2557" t="str" cm="1">
        <f t="array" ref="L2557">_xlfn.IFS(B2557&lt;30,"18-29",B2557&lt;45,"30-44",B2557&lt;60,"45-59",B2557&lt;75,"60-74",B2557&lt;=90,"75-90")</f>
        <v>60-74</v>
      </c>
      <c r="M2557" t="str">
        <f>IF(Table1[[#This Row],[length_of_stay_days]]&gt;7,"Yes","No")</f>
        <v>No</v>
      </c>
    </row>
    <row r="2558" spans="1:13" x14ac:dyDescent="0.3">
      <c r="A2558" t="s">
        <v>2957</v>
      </c>
      <c r="B2558">
        <v>43</v>
      </c>
      <c r="C2558" t="s">
        <v>20</v>
      </c>
      <c r="D2558" t="s">
        <v>46</v>
      </c>
      <c r="E2558" t="s">
        <v>21</v>
      </c>
      <c r="F2558" t="s">
        <v>493</v>
      </c>
      <c r="G2558" t="s">
        <v>231</v>
      </c>
      <c r="H2558">
        <v>6</v>
      </c>
      <c r="I2558" s="1">
        <v>16066.86</v>
      </c>
      <c r="J2558" t="s">
        <v>17</v>
      </c>
      <c r="K2558" t="s">
        <v>223</v>
      </c>
      <c r="L2558" t="str" cm="1">
        <f t="array" ref="L2558">_xlfn.IFS(B2558&lt;30,"18-29",B2558&lt;45,"30-44",B2558&lt;60,"45-59",B2558&lt;75,"60-74",B2558&lt;=90,"75-90")</f>
        <v>30-44</v>
      </c>
      <c r="M2558" t="str">
        <f>IF(Table1[[#This Row],[length_of_stay_days]]&gt;7,"Yes","No")</f>
        <v>No</v>
      </c>
    </row>
    <row r="2559" spans="1:13" x14ac:dyDescent="0.3">
      <c r="A2559" t="s">
        <v>2958</v>
      </c>
      <c r="B2559">
        <v>83</v>
      </c>
      <c r="C2559" t="s">
        <v>12</v>
      </c>
      <c r="D2559" t="s">
        <v>13</v>
      </c>
      <c r="E2559" t="s">
        <v>28</v>
      </c>
      <c r="F2559" t="s">
        <v>463</v>
      </c>
      <c r="G2559" t="s">
        <v>263</v>
      </c>
      <c r="H2559">
        <v>2</v>
      </c>
      <c r="I2559" s="1">
        <v>2967.07</v>
      </c>
      <c r="J2559" t="s">
        <v>17</v>
      </c>
      <c r="K2559" t="s">
        <v>18</v>
      </c>
      <c r="L2559" t="str" cm="1">
        <f t="array" ref="L2559">_xlfn.IFS(B2559&lt;30,"18-29",B2559&lt;45,"30-44",B2559&lt;60,"45-59",B2559&lt;75,"60-74",B2559&lt;=90,"75-90")</f>
        <v>75-90</v>
      </c>
      <c r="M2559" t="str">
        <f>IF(Table1[[#This Row],[length_of_stay_days]]&gt;7,"Yes","No")</f>
        <v>No</v>
      </c>
    </row>
    <row r="2560" spans="1:13" x14ac:dyDescent="0.3">
      <c r="A2560" t="s">
        <v>2959</v>
      </c>
      <c r="B2560">
        <v>18</v>
      </c>
      <c r="C2560" t="s">
        <v>70</v>
      </c>
      <c r="D2560" t="s">
        <v>46</v>
      </c>
      <c r="E2560" t="s">
        <v>14</v>
      </c>
      <c r="F2560" t="s">
        <v>64</v>
      </c>
      <c r="G2560" t="s">
        <v>469</v>
      </c>
      <c r="H2560">
        <v>9</v>
      </c>
      <c r="I2560" s="1">
        <v>13494.47</v>
      </c>
      <c r="J2560" t="s">
        <v>49</v>
      </c>
      <c r="K2560" t="s">
        <v>18</v>
      </c>
      <c r="L2560" t="str" cm="1">
        <f t="array" ref="L2560">_xlfn.IFS(B2560&lt;30,"18-29",B2560&lt;45,"30-44",B2560&lt;60,"45-59",B2560&lt;75,"60-74",B2560&lt;=90,"75-90")</f>
        <v>18-29</v>
      </c>
      <c r="M2560" t="str">
        <f>IF(Table1[[#This Row],[length_of_stay_days]]&gt;7,"Yes","No")</f>
        <v>Yes</v>
      </c>
    </row>
    <row r="2561" spans="1:13" x14ac:dyDescent="0.3">
      <c r="A2561" t="s">
        <v>2960</v>
      </c>
      <c r="B2561">
        <v>32</v>
      </c>
      <c r="C2561" t="s">
        <v>12</v>
      </c>
      <c r="D2561" t="s">
        <v>28</v>
      </c>
      <c r="E2561" t="s">
        <v>28</v>
      </c>
      <c r="F2561" t="s">
        <v>1207</v>
      </c>
      <c r="G2561" t="s">
        <v>241</v>
      </c>
      <c r="H2561">
        <v>6</v>
      </c>
      <c r="I2561" s="1">
        <v>7703.5</v>
      </c>
      <c r="J2561" t="s">
        <v>17</v>
      </c>
      <c r="K2561" t="s">
        <v>18</v>
      </c>
      <c r="L2561" t="str" cm="1">
        <f t="array" ref="L2561">_xlfn.IFS(B2561&lt;30,"18-29",B2561&lt;45,"30-44",B2561&lt;60,"45-59",B2561&lt;75,"60-74",B2561&lt;=90,"75-90")</f>
        <v>30-44</v>
      </c>
      <c r="M2561" t="str">
        <f>IF(Table1[[#This Row],[length_of_stay_days]]&gt;7,"Yes","No")</f>
        <v>No</v>
      </c>
    </row>
    <row r="2562" spans="1:13" x14ac:dyDescent="0.3">
      <c r="A2562" t="s">
        <v>2961</v>
      </c>
      <c r="B2562">
        <v>21</v>
      </c>
      <c r="C2562" t="s">
        <v>20</v>
      </c>
      <c r="D2562" t="s">
        <v>51</v>
      </c>
      <c r="E2562" t="s">
        <v>28</v>
      </c>
      <c r="F2562" t="s">
        <v>286</v>
      </c>
      <c r="G2562" t="s">
        <v>366</v>
      </c>
      <c r="H2562">
        <v>8</v>
      </c>
      <c r="I2562" s="1">
        <v>13581.74</v>
      </c>
      <c r="J2562" t="s">
        <v>17</v>
      </c>
      <c r="K2562" t="s">
        <v>18</v>
      </c>
      <c r="L2562" t="str" cm="1">
        <f t="array" ref="L2562">_xlfn.IFS(B2562&lt;30,"18-29",B2562&lt;45,"30-44",B2562&lt;60,"45-59",B2562&lt;75,"60-74",B2562&lt;=90,"75-90")</f>
        <v>18-29</v>
      </c>
      <c r="M2562" t="str">
        <f>IF(Table1[[#This Row],[length_of_stay_days]]&gt;7,"Yes","No")</f>
        <v>Yes</v>
      </c>
    </row>
    <row r="2563" spans="1:13" x14ac:dyDescent="0.3">
      <c r="A2563" t="s">
        <v>2962</v>
      </c>
      <c r="B2563">
        <v>43</v>
      </c>
      <c r="C2563" t="s">
        <v>20</v>
      </c>
      <c r="D2563" t="s">
        <v>28</v>
      </c>
      <c r="E2563" t="s">
        <v>28</v>
      </c>
      <c r="F2563" t="s">
        <v>350</v>
      </c>
      <c r="G2563" t="s">
        <v>26</v>
      </c>
      <c r="H2563">
        <v>5</v>
      </c>
      <c r="I2563" s="1">
        <v>8308.7099999999991</v>
      </c>
      <c r="J2563" t="s">
        <v>17</v>
      </c>
      <c r="K2563" t="s">
        <v>18</v>
      </c>
      <c r="L2563" t="str" cm="1">
        <f t="array" ref="L2563">_xlfn.IFS(B2563&lt;30,"18-29",B2563&lt;45,"30-44",B2563&lt;60,"45-59",B2563&lt;75,"60-74",B2563&lt;=90,"75-90")</f>
        <v>30-44</v>
      </c>
      <c r="M2563" t="str">
        <f>IF(Table1[[#This Row],[length_of_stay_days]]&gt;7,"Yes","No")</f>
        <v>No</v>
      </c>
    </row>
    <row r="2564" spans="1:13" x14ac:dyDescent="0.3">
      <c r="A2564" t="s">
        <v>2963</v>
      </c>
      <c r="B2564">
        <v>41</v>
      </c>
      <c r="C2564" t="s">
        <v>12</v>
      </c>
      <c r="D2564" t="s">
        <v>28</v>
      </c>
      <c r="E2564" t="s">
        <v>28</v>
      </c>
      <c r="F2564" t="s">
        <v>234</v>
      </c>
      <c r="G2564" t="s">
        <v>235</v>
      </c>
      <c r="H2564">
        <v>5</v>
      </c>
      <c r="I2564" s="1">
        <v>6272.31</v>
      </c>
      <c r="J2564" t="s">
        <v>17</v>
      </c>
      <c r="K2564" t="s">
        <v>18</v>
      </c>
      <c r="L2564" t="str" cm="1">
        <f t="array" ref="L2564">_xlfn.IFS(B2564&lt;30,"18-29",B2564&lt;45,"30-44",B2564&lt;60,"45-59",B2564&lt;75,"60-74",B2564&lt;=90,"75-90")</f>
        <v>30-44</v>
      </c>
      <c r="M2564" t="str">
        <f>IF(Table1[[#This Row],[length_of_stay_days]]&gt;7,"Yes","No")</f>
        <v>No</v>
      </c>
    </row>
    <row r="2565" spans="1:13" x14ac:dyDescent="0.3">
      <c r="A2565" t="s">
        <v>2964</v>
      </c>
      <c r="B2565">
        <v>77</v>
      </c>
      <c r="C2565" t="s">
        <v>20</v>
      </c>
      <c r="D2565" t="s">
        <v>28</v>
      </c>
      <c r="E2565" t="s">
        <v>21</v>
      </c>
      <c r="F2565" t="s">
        <v>456</v>
      </c>
      <c r="G2565" t="s">
        <v>532</v>
      </c>
      <c r="H2565">
        <v>7</v>
      </c>
      <c r="I2565" s="1">
        <v>5729.2</v>
      </c>
      <c r="J2565" t="s">
        <v>17</v>
      </c>
      <c r="K2565" t="s">
        <v>18</v>
      </c>
      <c r="L2565" t="str" cm="1">
        <f t="array" ref="L2565">_xlfn.IFS(B2565&lt;30,"18-29",B2565&lt;45,"30-44",B2565&lt;60,"45-59",B2565&lt;75,"60-74",B2565&lt;=90,"75-90")</f>
        <v>75-90</v>
      </c>
      <c r="M2565" t="str">
        <f>IF(Table1[[#This Row],[length_of_stay_days]]&gt;7,"Yes","No")</f>
        <v>No</v>
      </c>
    </row>
    <row r="2566" spans="1:13" x14ac:dyDescent="0.3">
      <c r="A2566" t="s">
        <v>2965</v>
      </c>
      <c r="B2566">
        <v>80</v>
      </c>
      <c r="C2566" t="s">
        <v>12</v>
      </c>
      <c r="D2566" t="s">
        <v>46</v>
      </c>
      <c r="E2566" t="s">
        <v>14</v>
      </c>
      <c r="F2566" t="s">
        <v>304</v>
      </c>
      <c r="G2566" t="s">
        <v>361</v>
      </c>
      <c r="H2566">
        <v>6</v>
      </c>
      <c r="I2566" s="1">
        <v>13276.81</v>
      </c>
      <c r="J2566" t="s">
        <v>17</v>
      </c>
      <c r="K2566" t="s">
        <v>18</v>
      </c>
      <c r="L2566" t="str" cm="1">
        <f t="array" ref="L2566">_xlfn.IFS(B2566&lt;30,"18-29",B2566&lt;45,"30-44",B2566&lt;60,"45-59",B2566&lt;75,"60-74",B2566&lt;=90,"75-90")</f>
        <v>75-90</v>
      </c>
      <c r="M2566" t="str">
        <f>IF(Table1[[#This Row],[length_of_stay_days]]&gt;7,"Yes","No")</f>
        <v>No</v>
      </c>
    </row>
    <row r="2567" spans="1:13" x14ac:dyDescent="0.3">
      <c r="A2567" t="s">
        <v>2966</v>
      </c>
      <c r="B2567">
        <v>85</v>
      </c>
      <c r="C2567" t="s">
        <v>20</v>
      </c>
      <c r="D2567" t="s">
        <v>46</v>
      </c>
      <c r="E2567" t="s">
        <v>28</v>
      </c>
      <c r="F2567" t="s">
        <v>1018</v>
      </c>
      <c r="G2567" t="s">
        <v>465</v>
      </c>
      <c r="H2567">
        <v>9</v>
      </c>
      <c r="I2567" s="1">
        <v>14562.03</v>
      </c>
      <c r="J2567" t="s">
        <v>17</v>
      </c>
      <c r="K2567" t="s">
        <v>18</v>
      </c>
      <c r="L2567" t="str" cm="1">
        <f t="array" ref="L2567">_xlfn.IFS(B2567&lt;30,"18-29",B2567&lt;45,"30-44",B2567&lt;60,"45-59",B2567&lt;75,"60-74",B2567&lt;=90,"75-90")</f>
        <v>75-90</v>
      </c>
      <c r="M2567" t="str">
        <f>IF(Table1[[#This Row],[length_of_stay_days]]&gt;7,"Yes","No")</f>
        <v>Yes</v>
      </c>
    </row>
    <row r="2568" spans="1:13" x14ac:dyDescent="0.3">
      <c r="A2568" t="s">
        <v>2967</v>
      </c>
      <c r="B2568">
        <v>58</v>
      </c>
      <c r="C2568" t="s">
        <v>12</v>
      </c>
      <c r="D2568" t="s">
        <v>55</v>
      </c>
      <c r="E2568" t="s">
        <v>14</v>
      </c>
      <c r="F2568" t="s">
        <v>449</v>
      </c>
      <c r="G2568" t="s">
        <v>295</v>
      </c>
      <c r="H2568">
        <v>4</v>
      </c>
      <c r="I2568" s="1">
        <v>11892.19</v>
      </c>
      <c r="J2568" t="s">
        <v>17</v>
      </c>
      <c r="K2568" t="s">
        <v>18</v>
      </c>
      <c r="L2568" t="str" cm="1">
        <f t="array" ref="L2568">_xlfn.IFS(B2568&lt;30,"18-29",B2568&lt;45,"30-44",B2568&lt;60,"45-59",B2568&lt;75,"60-74",B2568&lt;=90,"75-90")</f>
        <v>45-59</v>
      </c>
      <c r="M2568" t="str">
        <f>IF(Table1[[#This Row],[length_of_stay_days]]&gt;7,"Yes","No")</f>
        <v>No</v>
      </c>
    </row>
    <row r="2569" spans="1:13" x14ac:dyDescent="0.3">
      <c r="A2569" t="s">
        <v>2968</v>
      </c>
      <c r="B2569">
        <v>43</v>
      </c>
      <c r="C2569" t="s">
        <v>20</v>
      </c>
      <c r="D2569" t="s">
        <v>28</v>
      </c>
      <c r="E2569" t="s">
        <v>28</v>
      </c>
      <c r="F2569" t="s">
        <v>22</v>
      </c>
      <c r="G2569" t="s">
        <v>92</v>
      </c>
      <c r="H2569">
        <v>6</v>
      </c>
      <c r="I2569" s="1">
        <v>6464.47</v>
      </c>
      <c r="J2569" t="s">
        <v>17</v>
      </c>
      <c r="K2569" t="s">
        <v>223</v>
      </c>
      <c r="L2569" t="str" cm="1">
        <f t="array" ref="L2569">_xlfn.IFS(B2569&lt;30,"18-29",B2569&lt;45,"30-44",B2569&lt;60,"45-59",B2569&lt;75,"60-74",B2569&lt;=90,"75-90")</f>
        <v>30-44</v>
      </c>
      <c r="M2569" t="str">
        <f>IF(Table1[[#This Row],[length_of_stay_days]]&gt;7,"Yes","No")</f>
        <v>No</v>
      </c>
    </row>
    <row r="2570" spans="1:13" x14ac:dyDescent="0.3">
      <c r="A2570" t="s">
        <v>2969</v>
      </c>
      <c r="B2570">
        <v>80</v>
      </c>
      <c r="C2570" t="s">
        <v>20</v>
      </c>
      <c r="D2570" t="s">
        <v>28</v>
      </c>
      <c r="E2570" t="s">
        <v>28</v>
      </c>
      <c r="F2570" t="s">
        <v>271</v>
      </c>
      <c r="G2570" t="s">
        <v>198</v>
      </c>
      <c r="H2570">
        <v>5</v>
      </c>
      <c r="I2570" s="1">
        <v>9225.52</v>
      </c>
      <c r="J2570" t="s">
        <v>17</v>
      </c>
      <c r="K2570" t="s">
        <v>18</v>
      </c>
      <c r="L2570" t="str" cm="1">
        <f t="array" ref="L2570">_xlfn.IFS(B2570&lt;30,"18-29",B2570&lt;45,"30-44",B2570&lt;60,"45-59",B2570&lt;75,"60-74",B2570&lt;=90,"75-90")</f>
        <v>75-90</v>
      </c>
      <c r="M2570" t="str">
        <f>IF(Table1[[#This Row],[length_of_stay_days]]&gt;7,"Yes","No")</f>
        <v>No</v>
      </c>
    </row>
    <row r="2571" spans="1:13" x14ac:dyDescent="0.3">
      <c r="A2571" t="s">
        <v>2970</v>
      </c>
      <c r="B2571">
        <v>34</v>
      </c>
      <c r="C2571" t="s">
        <v>12</v>
      </c>
      <c r="D2571" t="s">
        <v>32</v>
      </c>
      <c r="E2571" t="s">
        <v>28</v>
      </c>
      <c r="F2571" t="s">
        <v>232</v>
      </c>
      <c r="G2571" t="s">
        <v>22</v>
      </c>
      <c r="H2571">
        <v>6</v>
      </c>
      <c r="I2571" s="1">
        <v>12389.8</v>
      </c>
      <c r="J2571" t="s">
        <v>17</v>
      </c>
      <c r="K2571" t="s">
        <v>18</v>
      </c>
      <c r="L2571" t="str" cm="1">
        <f t="array" ref="L2571">_xlfn.IFS(B2571&lt;30,"18-29",B2571&lt;45,"30-44",B2571&lt;60,"45-59",B2571&lt;75,"60-74",B2571&lt;=90,"75-90")</f>
        <v>30-44</v>
      </c>
      <c r="M2571" t="str">
        <f>IF(Table1[[#This Row],[length_of_stay_days]]&gt;7,"Yes","No")</f>
        <v>No</v>
      </c>
    </row>
    <row r="2572" spans="1:13" x14ac:dyDescent="0.3">
      <c r="A2572" t="s">
        <v>2971</v>
      </c>
      <c r="B2572">
        <v>32</v>
      </c>
      <c r="C2572" t="s">
        <v>12</v>
      </c>
      <c r="D2572" t="s">
        <v>28</v>
      </c>
      <c r="E2572" t="s">
        <v>14</v>
      </c>
      <c r="F2572" t="s">
        <v>465</v>
      </c>
      <c r="G2572" t="s">
        <v>489</v>
      </c>
      <c r="H2572">
        <v>1</v>
      </c>
      <c r="I2572" s="1">
        <v>2862.18</v>
      </c>
      <c r="J2572" t="s">
        <v>49</v>
      </c>
      <c r="K2572" t="s">
        <v>18</v>
      </c>
      <c r="L2572" t="str" cm="1">
        <f t="array" ref="L2572">_xlfn.IFS(B2572&lt;30,"18-29",B2572&lt;45,"30-44",B2572&lt;60,"45-59",B2572&lt;75,"60-74",B2572&lt;=90,"75-90")</f>
        <v>30-44</v>
      </c>
      <c r="M2572" t="str">
        <f>IF(Table1[[#This Row],[length_of_stay_days]]&gt;7,"Yes","No")</f>
        <v>No</v>
      </c>
    </row>
    <row r="2573" spans="1:13" x14ac:dyDescent="0.3">
      <c r="A2573" t="s">
        <v>2972</v>
      </c>
      <c r="B2573">
        <v>44</v>
      </c>
      <c r="C2573" t="s">
        <v>20</v>
      </c>
      <c r="D2573" t="s">
        <v>51</v>
      </c>
      <c r="E2573" t="s">
        <v>14</v>
      </c>
      <c r="F2573" t="s">
        <v>258</v>
      </c>
      <c r="G2573" t="s">
        <v>322</v>
      </c>
      <c r="H2573">
        <v>1</v>
      </c>
      <c r="I2573" s="1">
        <v>6259.64</v>
      </c>
      <c r="J2573" t="s">
        <v>17</v>
      </c>
      <c r="K2573" t="s">
        <v>18</v>
      </c>
      <c r="L2573" t="str" cm="1">
        <f t="array" ref="L2573">_xlfn.IFS(B2573&lt;30,"18-29",B2573&lt;45,"30-44",B2573&lt;60,"45-59",B2573&lt;75,"60-74",B2573&lt;=90,"75-90")</f>
        <v>30-44</v>
      </c>
      <c r="M2573" t="str">
        <f>IF(Table1[[#This Row],[length_of_stay_days]]&gt;7,"Yes","No")</f>
        <v>No</v>
      </c>
    </row>
    <row r="2574" spans="1:13" x14ac:dyDescent="0.3">
      <c r="A2574" t="s">
        <v>2973</v>
      </c>
      <c r="B2574">
        <v>60</v>
      </c>
      <c r="C2574" t="s">
        <v>20</v>
      </c>
      <c r="D2574" t="s">
        <v>13</v>
      </c>
      <c r="E2574" t="s">
        <v>14</v>
      </c>
      <c r="F2574" t="s">
        <v>112</v>
      </c>
      <c r="G2574" t="s">
        <v>124</v>
      </c>
      <c r="H2574">
        <v>4</v>
      </c>
      <c r="I2574" s="1">
        <v>11325.76</v>
      </c>
      <c r="J2574" t="s">
        <v>17</v>
      </c>
      <c r="K2574" t="s">
        <v>18</v>
      </c>
      <c r="L2574" t="str" cm="1">
        <f t="array" ref="L2574">_xlfn.IFS(B2574&lt;30,"18-29",B2574&lt;45,"30-44",B2574&lt;60,"45-59",B2574&lt;75,"60-74",B2574&lt;=90,"75-90")</f>
        <v>60-74</v>
      </c>
      <c r="M2574" t="str">
        <f>IF(Table1[[#This Row],[length_of_stay_days]]&gt;7,"Yes","No")</f>
        <v>No</v>
      </c>
    </row>
    <row r="2575" spans="1:13" x14ac:dyDescent="0.3">
      <c r="A2575" t="s">
        <v>2974</v>
      </c>
      <c r="B2575">
        <v>28</v>
      </c>
      <c r="C2575" t="s">
        <v>12</v>
      </c>
      <c r="D2575" t="s">
        <v>46</v>
      </c>
      <c r="E2575" t="s">
        <v>14</v>
      </c>
      <c r="F2575" t="s">
        <v>411</v>
      </c>
      <c r="G2575" t="s">
        <v>489</v>
      </c>
      <c r="H2575">
        <v>4</v>
      </c>
      <c r="I2575" s="1">
        <v>11685.6</v>
      </c>
      <c r="J2575" t="s">
        <v>17</v>
      </c>
      <c r="K2575" t="s">
        <v>18</v>
      </c>
      <c r="L2575" t="str" cm="1">
        <f t="array" ref="L2575">_xlfn.IFS(B2575&lt;30,"18-29",B2575&lt;45,"30-44",B2575&lt;60,"45-59",B2575&lt;75,"60-74",B2575&lt;=90,"75-90")</f>
        <v>18-29</v>
      </c>
      <c r="M2575" t="str">
        <f>IF(Table1[[#This Row],[length_of_stay_days]]&gt;7,"Yes","No")</f>
        <v>No</v>
      </c>
    </row>
    <row r="2576" spans="1:13" x14ac:dyDescent="0.3">
      <c r="A2576" t="s">
        <v>2975</v>
      </c>
      <c r="B2576">
        <v>49</v>
      </c>
      <c r="C2576" t="s">
        <v>20</v>
      </c>
      <c r="D2576" t="s">
        <v>13</v>
      </c>
      <c r="E2576" t="s">
        <v>28</v>
      </c>
      <c r="F2576" t="s">
        <v>526</v>
      </c>
      <c r="G2576" t="s">
        <v>821</v>
      </c>
      <c r="H2576">
        <v>4</v>
      </c>
      <c r="I2576" s="1">
        <v>7161.47</v>
      </c>
      <c r="J2576" t="s">
        <v>17</v>
      </c>
      <c r="K2576" t="s">
        <v>18</v>
      </c>
      <c r="L2576" t="str" cm="1">
        <f t="array" ref="L2576">_xlfn.IFS(B2576&lt;30,"18-29",B2576&lt;45,"30-44",B2576&lt;60,"45-59",B2576&lt;75,"60-74",B2576&lt;=90,"75-90")</f>
        <v>45-59</v>
      </c>
      <c r="M2576" t="str">
        <f>IF(Table1[[#This Row],[length_of_stay_days]]&gt;7,"Yes","No")</f>
        <v>No</v>
      </c>
    </row>
    <row r="2577" spans="1:13" x14ac:dyDescent="0.3">
      <c r="A2577" t="s">
        <v>2976</v>
      </c>
      <c r="B2577">
        <v>63</v>
      </c>
      <c r="C2577" t="s">
        <v>12</v>
      </c>
      <c r="D2577" t="s">
        <v>32</v>
      </c>
      <c r="E2577" t="s">
        <v>14</v>
      </c>
      <c r="F2577" t="s">
        <v>355</v>
      </c>
      <c r="G2577" t="s">
        <v>465</v>
      </c>
      <c r="H2577">
        <v>6</v>
      </c>
      <c r="I2577" s="1">
        <v>13251.24</v>
      </c>
      <c r="J2577" t="s">
        <v>17</v>
      </c>
      <c r="K2577" t="s">
        <v>18</v>
      </c>
      <c r="L2577" t="str" cm="1">
        <f t="array" ref="L2577">_xlfn.IFS(B2577&lt;30,"18-29",B2577&lt;45,"30-44",B2577&lt;60,"45-59",B2577&lt;75,"60-74",B2577&lt;=90,"75-90")</f>
        <v>60-74</v>
      </c>
      <c r="M2577" t="str">
        <f>IF(Table1[[#This Row],[length_of_stay_days]]&gt;7,"Yes","No")</f>
        <v>No</v>
      </c>
    </row>
    <row r="2578" spans="1:13" x14ac:dyDescent="0.3">
      <c r="A2578" t="s">
        <v>2977</v>
      </c>
      <c r="B2578">
        <v>18</v>
      </c>
      <c r="C2578" t="s">
        <v>12</v>
      </c>
      <c r="D2578" t="s">
        <v>13</v>
      </c>
      <c r="E2578" t="s">
        <v>28</v>
      </c>
      <c r="F2578" t="s">
        <v>90</v>
      </c>
      <c r="G2578" t="s">
        <v>454</v>
      </c>
      <c r="H2578">
        <v>4</v>
      </c>
      <c r="I2578" s="1">
        <v>8333.99</v>
      </c>
      <c r="J2578" t="s">
        <v>49</v>
      </c>
      <c r="K2578" t="s">
        <v>44</v>
      </c>
      <c r="L2578" t="str" cm="1">
        <f t="array" ref="L2578">_xlfn.IFS(B2578&lt;30,"18-29",B2578&lt;45,"30-44",B2578&lt;60,"45-59",B2578&lt;75,"60-74",B2578&lt;=90,"75-90")</f>
        <v>18-29</v>
      </c>
      <c r="M2578" t="str">
        <f>IF(Table1[[#This Row],[length_of_stay_days]]&gt;7,"Yes","No")</f>
        <v>No</v>
      </c>
    </row>
    <row r="2579" spans="1:13" x14ac:dyDescent="0.3">
      <c r="A2579" t="s">
        <v>2978</v>
      </c>
      <c r="B2579">
        <v>60</v>
      </c>
      <c r="C2579" t="s">
        <v>12</v>
      </c>
      <c r="D2579" t="s">
        <v>46</v>
      </c>
      <c r="E2579" t="s">
        <v>21</v>
      </c>
      <c r="F2579" t="s">
        <v>1248</v>
      </c>
      <c r="G2579" t="s">
        <v>293</v>
      </c>
      <c r="H2579">
        <v>7</v>
      </c>
      <c r="I2579" s="1">
        <v>15832.65</v>
      </c>
      <c r="J2579" t="s">
        <v>17</v>
      </c>
      <c r="K2579" t="s">
        <v>18</v>
      </c>
      <c r="L2579" t="str" cm="1">
        <f t="array" ref="L2579">_xlfn.IFS(B2579&lt;30,"18-29",B2579&lt;45,"30-44",B2579&lt;60,"45-59",B2579&lt;75,"60-74",B2579&lt;=90,"75-90")</f>
        <v>60-74</v>
      </c>
      <c r="M2579" t="str">
        <f>IF(Table1[[#This Row],[length_of_stay_days]]&gt;7,"Yes","No")</f>
        <v>No</v>
      </c>
    </row>
    <row r="2580" spans="1:13" x14ac:dyDescent="0.3">
      <c r="A2580" t="s">
        <v>2979</v>
      </c>
      <c r="B2580">
        <v>60</v>
      </c>
      <c r="C2580" t="s">
        <v>20</v>
      </c>
      <c r="D2580" t="s">
        <v>55</v>
      </c>
      <c r="E2580" t="s">
        <v>28</v>
      </c>
      <c r="F2580" t="s">
        <v>1160</v>
      </c>
      <c r="G2580" t="s">
        <v>646</v>
      </c>
      <c r="H2580">
        <v>3</v>
      </c>
      <c r="I2580" s="1">
        <v>7182.09</v>
      </c>
      <c r="J2580" t="s">
        <v>17</v>
      </c>
      <c r="K2580" t="s">
        <v>18</v>
      </c>
      <c r="L2580" t="str" cm="1">
        <f t="array" ref="L2580">_xlfn.IFS(B2580&lt;30,"18-29",B2580&lt;45,"30-44",B2580&lt;60,"45-59",B2580&lt;75,"60-74",B2580&lt;=90,"75-90")</f>
        <v>60-74</v>
      </c>
      <c r="M2580" t="str">
        <f>IF(Table1[[#This Row],[length_of_stay_days]]&gt;7,"Yes","No")</f>
        <v>No</v>
      </c>
    </row>
    <row r="2581" spans="1:13" x14ac:dyDescent="0.3">
      <c r="A2581" t="s">
        <v>2980</v>
      </c>
      <c r="B2581">
        <v>81</v>
      </c>
      <c r="C2581" t="s">
        <v>20</v>
      </c>
      <c r="D2581" t="s">
        <v>28</v>
      </c>
      <c r="E2581" t="s">
        <v>21</v>
      </c>
      <c r="F2581" t="s">
        <v>579</v>
      </c>
      <c r="H2581">
        <v>9</v>
      </c>
      <c r="I2581" s="1">
        <v>6853.72</v>
      </c>
      <c r="J2581" t="s">
        <v>49</v>
      </c>
      <c r="K2581" t="s">
        <v>18</v>
      </c>
      <c r="L2581" t="str" cm="1">
        <f t="array" ref="L2581">_xlfn.IFS(B2581&lt;30,"18-29",B2581&lt;45,"30-44",B2581&lt;60,"45-59",B2581&lt;75,"60-74",B2581&lt;=90,"75-90")</f>
        <v>75-90</v>
      </c>
      <c r="M2581" t="str">
        <f>IF(Table1[[#This Row],[length_of_stay_days]]&gt;7,"Yes","No")</f>
        <v>Yes</v>
      </c>
    </row>
    <row r="2582" spans="1:13" x14ac:dyDescent="0.3">
      <c r="A2582" t="s">
        <v>2981</v>
      </c>
      <c r="B2582">
        <v>22</v>
      </c>
      <c r="C2582" t="s">
        <v>20</v>
      </c>
      <c r="D2582" t="s">
        <v>13</v>
      </c>
      <c r="E2582" t="s">
        <v>28</v>
      </c>
      <c r="F2582" t="s">
        <v>474</v>
      </c>
      <c r="G2582" t="s">
        <v>216</v>
      </c>
      <c r="H2582">
        <v>1</v>
      </c>
      <c r="I2582" s="1">
        <v>6823.29</v>
      </c>
      <c r="J2582" t="s">
        <v>17</v>
      </c>
      <c r="K2582" t="s">
        <v>18</v>
      </c>
      <c r="L2582" t="str" cm="1">
        <f t="array" ref="L2582">_xlfn.IFS(B2582&lt;30,"18-29",B2582&lt;45,"30-44",B2582&lt;60,"45-59",B2582&lt;75,"60-74",B2582&lt;=90,"75-90")</f>
        <v>18-29</v>
      </c>
      <c r="M2582" t="str">
        <f>IF(Table1[[#This Row],[length_of_stay_days]]&gt;7,"Yes","No")</f>
        <v>No</v>
      </c>
    </row>
    <row r="2583" spans="1:13" x14ac:dyDescent="0.3">
      <c r="A2583" t="s">
        <v>2982</v>
      </c>
      <c r="B2583">
        <v>29</v>
      </c>
      <c r="C2583" t="s">
        <v>20</v>
      </c>
      <c r="D2583" t="s">
        <v>51</v>
      </c>
      <c r="E2583" t="s">
        <v>21</v>
      </c>
      <c r="F2583" t="s">
        <v>121</v>
      </c>
      <c r="G2583" t="s">
        <v>61</v>
      </c>
      <c r="H2583">
        <v>4</v>
      </c>
      <c r="I2583" s="1">
        <v>12210.26</v>
      </c>
      <c r="J2583" t="s">
        <v>49</v>
      </c>
      <c r="K2583" t="s">
        <v>18</v>
      </c>
      <c r="L2583" t="str" cm="1">
        <f t="array" ref="L2583">_xlfn.IFS(B2583&lt;30,"18-29",B2583&lt;45,"30-44",B2583&lt;60,"45-59",B2583&lt;75,"60-74",B2583&lt;=90,"75-90")</f>
        <v>18-29</v>
      </c>
      <c r="M2583" t="str">
        <f>IF(Table1[[#This Row],[length_of_stay_days]]&gt;7,"Yes","No")</f>
        <v>No</v>
      </c>
    </row>
    <row r="2584" spans="1:13" x14ac:dyDescent="0.3">
      <c r="A2584" t="s">
        <v>2983</v>
      </c>
      <c r="B2584">
        <v>45</v>
      </c>
      <c r="C2584" t="s">
        <v>20</v>
      </c>
      <c r="D2584" t="s">
        <v>13</v>
      </c>
      <c r="E2584" t="s">
        <v>28</v>
      </c>
      <c r="F2584" t="s">
        <v>378</v>
      </c>
      <c r="G2584" t="s">
        <v>268</v>
      </c>
      <c r="H2584">
        <v>3</v>
      </c>
      <c r="I2584" s="1">
        <v>6372.42</v>
      </c>
      <c r="J2584" t="s">
        <v>17</v>
      </c>
      <c r="K2584" t="s">
        <v>18</v>
      </c>
      <c r="L2584" t="str" cm="1">
        <f t="array" ref="L2584">_xlfn.IFS(B2584&lt;30,"18-29",B2584&lt;45,"30-44",B2584&lt;60,"45-59",B2584&lt;75,"60-74",B2584&lt;=90,"75-90")</f>
        <v>45-59</v>
      </c>
      <c r="M2584" t="str">
        <f>IF(Table1[[#This Row],[length_of_stay_days]]&gt;7,"Yes","No")</f>
        <v>No</v>
      </c>
    </row>
    <row r="2585" spans="1:13" x14ac:dyDescent="0.3">
      <c r="A2585" t="s">
        <v>2984</v>
      </c>
      <c r="B2585">
        <v>36</v>
      </c>
      <c r="C2585" t="s">
        <v>12</v>
      </c>
      <c r="D2585" t="s">
        <v>46</v>
      </c>
      <c r="E2585" t="s">
        <v>14</v>
      </c>
      <c r="F2585" t="s">
        <v>520</v>
      </c>
      <c r="G2585" t="s">
        <v>165</v>
      </c>
      <c r="H2585">
        <v>6</v>
      </c>
      <c r="I2585" s="1">
        <v>12236.85</v>
      </c>
      <c r="J2585" t="s">
        <v>17</v>
      </c>
      <c r="K2585" t="s">
        <v>18</v>
      </c>
      <c r="L2585" t="str" cm="1">
        <f t="array" ref="L2585">_xlfn.IFS(B2585&lt;30,"18-29",B2585&lt;45,"30-44",B2585&lt;60,"45-59",B2585&lt;75,"60-74",B2585&lt;=90,"75-90")</f>
        <v>30-44</v>
      </c>
      <c r="M2585" t="str">
        <f>IF(Table1[[#This Row],[length_of_stay_days]]&gt;7,"Yes","No")</f>
        <v>No</v>
      </c>
    </row>
    <row r="2586" spans="1:13" x14ac:dyDescent="0.3">
      <c r="A2586" t="s">
        <v>2985</v>
      </c>
      <c r="B2586">
        <v>84</v>
      </c>
      <c r="C2586" t="s">
        <v>20</v>
      </c>
      <c r="D2586" t="s">
        <v>51</v>
      </c>
      <c r="E2586" t="s">
        <v>14</v>
      </c>
      <c r="F2586" t="s">
        <v>174</v>
      </c>
      <c r="G2586" t="s">
        <v>308</v>
      </c>
      <c r="H2586">
        <v>7</v>
      </c>
      <c r="I2586" s="1">
        <v>10595.1</v>
      </c>
      <c r="J2586" t="s">
        <v>17</v>
      </c>
      <c r="K2586" t="s">
        <v>18</v>
      </c>
      <c r="L2586" t="str" cm="1">
        <f t="array" ref="L2586">_xlfn.IFS(B2586&lt;30,"18-29",B2586&lt;45,"30-44",B2586&lt;60,"45-59",B2586&lt;75,"60-74",B2586&lt;=90,"75-90")</f>
        <v>75-90</v>
      </c>
      <c r="M2586" t="str">
        <f>IF(Table1[[#This Row],[length_of_stay_days]]&gt;7,"Yes","No")</f>
        <v>No</v>
      </c>
    </row>
    <row r="2587" spans="1:13" x14ac:dyDescent="0.3">
      <c r="A2587" t="s">
        <v>2986</v>
      </c>
      <c r="B2587">
        <v>70</v>
      </c>
      <c r="C2587" t="s">
        <v>20</v>
      </c>
      <c r="D2587" t="s">
        <v>51</v>
      </c>
      <c r="E2587" t="s">
        <v>14</v>
      </c>
      <c r="F2587" t="s">
        <v>532</v>
      </c>
      <c r="G2587" t="s">
        <v>158</v>
      </c>
      <c r="H2587">
        <v>7</v>
      </c>
      <c r="I2587" s="1">
        <v>11071.75</v>
      </c>
      <c r="J2587" t="s">
        <v>17</v>
      </c>
      <c r="K2587" t="s">
        <v>18</v>
      </c>
      <c r="L2587" t="str" cm="1">
        <f t="array" ref="L2587">_xlfn.IFS(B2587&lt;30,"18-29",B2587&lt;45,"30-44",B2587&lt;60,"45-59",B2587&lt;75,"60-74",B2587&lt;=90,"75-90")</f>
        <v>60-74</v>
      </c>
      <c r="M2587" t="str">
        <f>IF(Table1[[#This Row],[length_of_stay_days]]&gt;7,"Yes","No")</f>
        <v>No</v>
      </c>
    </row>
    <row r="2588" spans="1:13" x14ac:dyDescent="0.3">
      <c r="A2588" t="s">
        <v>2987</v>
      </c>
      <c r="B2588">
        <v>22</v>
      </c>
      <c r="C2588" t="s">
        <v>12</v>
      </c>
      <c r="D2588" t="s">
        <v>13</v>
      </c>
      <c r="E2588" t="s">
        <v>28</v>
      </c>
      <c r="F2588" t="s">
        <v>259</v>
      </c>
      <c r="G2588" t="s">
        <v>298</v>
      </c>
      <c r="H2588">
        <v>1</v>
      </c>
      <c r="I2588" s="1">
        <v>6276.87</v>
      </c>
      <c r="J2588" t="s">
        <v>17</v>
      </c>
      <c r="K2588" t="s">
        <v>18</v>
      </c>
      <c r="L2588" t="str" cm="1">
        <f t="array" ref="L2588">_xlfn.IFS(B2588&lt;30,"18-29",B2588&lt;45,"30-44",B2588&lt;60,"45-59",B2588&lt;75,"60-74",B2588&lt;=90,"75-90")</f>
        <v>18-29</v>
      </c>
      <c r="M2588" t="str">
        <f>IF(Table1[[#This Row],[length_of_stay_days]]&gt;7,"Yes","No")</f>
        <v>No</v>
      </c>
    </row>
    <row r="2589" spans="1:13" x14ac:dyDescent="0.3">
      <c r="A2589" t="s">
        <v>2988</v>
      </c>
      <c r="B2589">
        <v>44</v>
      </c>
      <c r="C2589" t="s">
        <v>12</v>
      </c>
      <c r="D2589" t="s">
        <v>28</v>
      </c>
      <c r="E2589" t="s">
        <v>21</v>
      </c>
      <c r="F2589" t="s">
        <v>127</v>
      </c>
      <c r="G2589" t="s">
        <v>829</v>
      </c>
      <c r="H2589">
        <v>1</v>
      </c>
      <c r="I2589" s="1">
        <v>4359.57</v>
      </c>
      <c r="J2589" t="s">
        <v>17</v>
      </c>
      <c r="K2589" t="s">
        <v>18</v>
      </c>
      <c r="L2589" t="str" cm="1">
        <f t="array" ref="L2589">_xlfn.IFS(B2589&lt;30,"18-29",B2589&lt;45,"30-44",B2589&lt;60,"45-59",B2589&lt;75,"60-74",B2589&lt;=90,"75-90")</f>
        <v>30-44</v>
      </c>
      <c r="M2589" t="str">
        <f>IF(Table1[[#This Row],[length_of_stay_days]]&gt;7,"Yes","No")</f>
        <v>No</v>
      </c>
    </row>
    <row r="2590" spans="1:13" x14ac:dyDescent="0.3">
      <c r="A2590" t="s">
        <v>2989</v>
      </c>
      <c r="B2590">
        <v>69</v>
      </c>
      <c r="C2590" t="s">
        <v>12</v>
      </c>
      <c r="D2590" t="s">
        <v>28</v>
      </c>
      <c r="E2590" t="s">
        <v>21</v>
      </c>
      <c r="F2590" t="s">
        <v>620</v>
      </c>
      <c r="G2590" t="s">
        <v>71</v>
      </c>
      <c r="H2590">
        <v>4</v>
      </c>
      <c r="I2590" s="1">
        <v>7326.9</v>
      </c>
      <c r="J2590" t="s">
        <v>17</v>
      </c>
      <c r="K2590" t="s">
        <v>18</v>
      </c>
      <c r="L2590" t="str" cm="1">
        <f t="array" ref="L2590">_xlfn.IFS(B2590&lt;30,"18-29",B2590&lt;45,"30-44",B2590&lt;60,"45-59",B2590&lt;75,"60-74",B2590&lt;=90,"75-90")</f>
        <v>60-74</v>
      </c>
      <c r="M2590" t="str">
        <f>IF(Table1[[#This Row],[length_of_stay_days]]&gt;7,"Yes","No")</f>
        <v>No</v>
      </c>
    </row>
    <row r="2591" spans="1:13" x14ac:dyDescent="0.3">
      <c r="A2591" t="s">
        <v>2990</v>
      </c>
      <c r="B2591">
        <v>37</v>
      </c>
      <c r="C2591" t="s">
        <v>12</v>
      </c>
      <c r="D2591" t="s">
        <v>32</v>
      </c>
      <c r="E2591" t="s">
        <v>14</v>
      </c>
      <c r="F2591" t="s">
        <v>852</v>
      </c>
      <c r="G2591" t="s">
        <v>358</v>
      </c>
      <c r="H2591">
        <v>12</v>
      </c>
      <c r="I2591" s="1">
        <v>13471.42</v>
      </c>
      <c r="J2591" t="s">
        <v>17</v>
      </c>
      <c r="K2591" t="s">
        <v>18</v>
      </c>
      <c r="L2591" t="str" cm="1">
        <f t="array" ref="L2591">_xlfn.IFS(B2591&lt;30,"18-29",B2591&lt;45,"30-44",B2591&lt;60,"45-59",B2591&lt;75,"60-74",B2591&lt;=90,"75-90")</f>
        <v>30-44</v>
      </c>
      <c r="M2591" t="str">
        <f>IF(Table1[[#This Row],[length_of_stay_days]]&gt;7,"Yes","No")</f>
        <v>Yes</v>
      </c>
    </row>
    <row r="2592" spans="1:13" x14ac:dyDescent="0.3">
      <c r="A2592" t="s">
        <v>2991</v>
      </c>
      <c r="B2592">
        <v>54</v>
      </c>
      <c r="C2592" t="s">
        <v>12</v>
      </c>
      <c r="D2592" t="s">
        <v>28</v>
      </c>
      <c r="E2592" t="s">
        <v>14</v>
      </c>
      <c r="F2592" t="s">
        <v>248</v>
      </c>
      <c r="G2592" t="s">
        <v>367</v>
      </c>
      <c r="H2592">
        <v>1</v>
      </c>
      <c r="I2592" s="1">
        <v>3115.22</v>
      </c>
      <c r="J2592" t="s">
        <v>17</v>
      </c>
      <c r="K2592" t="s">
        <v>44</v>
      </c>
      <c r="L2592" t="str" cm="1">
        <f t="array" ref="L2592">_xlfn.IFS(B2592&lt;30,"18-29",B2592&lt;45,"30-44",B2592&lt;60,"45-59",B2592&lt;75,"60-74",B2592&lt;=90,"75-90")</f>
        <v>45-59</v>
      </c>
      <c r="M2592" t="str">
        <f>IF(Table1[[#This Row],[length_of_stay_days]]&gt;7,"Yes","No")</f>
        <v>No</v>
      </c>
    </row>
    <row r="2593" spans="1:13" x14ac:dyDescent="0.3">
      <c r="A2593" t="s">
        <v>2992</v>
      </c>
      <c r="B2593">
        <v>57</v>
      </c>
      <c r="C2593" t="s">
        <v>12</v>
      </c>
      <c r="D2593" t="s">
        <v>13</v>
      </c>
      <c r="E2593" t="s">
        <v>21</v>
      </c>
      <c r="F2593" t="s">
        <v>43</v>
      </c>
      <c r="G2593" t="s">
        <v>371</v>
      </c>
      <c r="H2593">
        <v>6</v>
      </c>
      <c r="I2593" s="1">
        <v>7539.03</v>
      </c>
      <c r="J2593" t="s">
        <v>49</v>
      </c>
      <c r="K2593" t="s">
        <v>18</v>
      </c>
      <c r="L2593" t="str" cm="1">
        <f t="array" ref="L2593">_xlfn.IFS(B2593&lt;30,"18-29",B2593&lt;45,"30-44",B2593&lt;60,"45-59",B2593&lt;75,"60-74",B2593&lt;=90,"75-90")</f>
        <v>45-59</v>
      </c>
      <c r="M2593" t="str">
        <f>IF(Table1[[#This Row],[length_of_stay_days]]&gt;7,"Yes","No")</f>
        <v>No</v>
      </c>
    </row>
    <row r="2594" spans="1:13" x14ac:dyDescent="0.3">
      <c r="A2594" t="s">
        <v>2993</v>
      </c>
      <c r="B2594">
        <v>62</v>
      </c>
      <c r="C2594" t="s">
        <v>12</v>
      </c>
      <c r="D2594" t="s">
        <v>28</v>
      </c>
      <c r="E2594" t="s">
        <v>21</v>
      </c>
      <c r="F2594" t="s">
        <v>456</v>
      </c>
      <c r="G2594" t="s">
        <v>1181</v>
      </c>
      <c r="H2594">
        <v>3</v>
      </c>
      <c r="I2594" s="1">
        <v>4379.8599999999997</v>
      </c>
      <c r="J2594" t="s">
        <v>17</v>
      </c>
      <c r="K2594" t="s">
        <v>18</v>
      </c>
      <c r="L2594" t="str" cm="1">
        <f t="array" ref="L2594">_xlfn.IFS(B2594&lt;30,"18-29",B2594&lt;45,"30-44",B2594&lt;60,"45-59",B2594&lt;75,"60-74",B2594&lt;=90,"75-90")</f>
        <v>60-74</v>
      </c>
      <c r="M2594" t="str">
        <f>IF(Table1[[#This Row],[length_of_stay_days]]&gt;7,"Yes","No")</f>
        <v>No</v>
      </c>
    </row>
    <row r="2595" spans="1:13" x14ac:dyDescent="0.3">
      <c r="A2595" t="s">
        <v>2994</v>
      </c>
      <c r="B2595">
        <v>63</v>
      </c>
      <c r="C2595" t="s">
        <v>20</v>
      </c>
      <c r="D2595" t="s">
        <v>51</v>
      </c>
      <c r="E2595" t="s">
        <v>28</v>
      </c>
      <c r="F2595" t="s">
        <v>399</v>
      </c>
      <c r="G2595" t="s">
        <v>509</v>
      </c>
      <c r="H2595">
        <v>5</v>
      </c>
      <c r="I2595" s="1">
        <v>10796.87</v>
      </c>
      <c r="J2595" t="s">
        <v>17</v>
      </c>
      <c r="K2595" t="s">
        <v>18</v>
      </c>
      <c r="L2595" t="str" cm="1">
        <f t="array" ref="L2595">_xlfn.IFS(B2595&lt;30,"18-29",B2595&lt;45,"30-44",B2595&lt;60,"45-59",B2595&lt;75,"60-74",B2595&lt;=90,"75-90")</f>
        <v>60-74</v>
      </c>
      <c r="M2595" t="str">
        <f>IF(Table1[[#This Row],[length_of_stay_days]]&gt;7,"Yes","No")</f>
        <v>No</v>
      </c>
    </row>
    <row r="2596" spans="1:13" x14ac:dyDescent="0.3">
      <c r="A2596" t="s">
        <v>2995</v>
      </c>
      <c r="B2596">
        <v>53</v>
      </c>
      <c r="C2596" t="s">
        <v>20</v>
      </c>
      <c r="D2596" t="s">
        <v>13</v>
      </c>
      <c r="E2596" t="s">
        <v>14</v>
      </c>
      <c r="F2596" t="s">
        <v>216</v>
      </c>
      <c r="G2596" t="s">
        <v>339</v>
      </c>
      <c r="H2596">
        <v>5</v>
      </c>
      <c r="I2596" s="1">
        <v>11396.69</v>
      </c>
      <c r="J2596" t="s">
        <v>17</v>
      </c>
      <c r="K2596" t="s">
        <v>18</v>
      </c>
      <c r="L2596" t="str" cm="1">
        <f t="array" ref="L2596">_xlfn.IFS(B2596&lt;30,"18-29",B2596&lt;45,"30-44",B2596&lt;60,"45-59",B2596&lt;75,"60-74",B2596&lt;=90,"75-90")</f>
        <v>45-59</v>
      </c>
      <c r="M2596" t="str">
        <f>IF(Table1[[#This Row],[length_of_stay_days]]&gt;7,"Yes","No")</f>
        <v>No</v>
      </c>
    </row>
    <row r="2597" spans="1:13" x14ac:dyDescent="0.3">
      <c r="A2597" t="s">
        <v>2996</v>
      </c>
      <c r="B2597">
        <v>20</v>
      </c>
      <c r="C2597" t="s">
        <v>20</v>
      </c>
      <c r="D2597" t="s">
        <v>28</v>
      </c>
      <c r="E2597" t="s">
        <v>28</v>
      </c>
      <c r="F2597" t="s">
        <v>765</v>
      </c>
      <c r="G2597" t="s">
        <v>234</v>
      </c>
      <c r="H2597">
        <v>5</v>
      </c>
      <c r="I2597" s="1">
        <v>5562.77</v>
      </c>
      <c r="J2597" t="s">
        <v>49</v>
      </c>
      <c r="K2597" t="s">
        <v>18</v>
      </c>
      <c r="L2597" t="str" cm="1">
        <f t="array" ref="L2597">_xlfn.IFS(B2597&lt;30,"18-29",B2597&lt;45,"30-44",B2597&lt;60,"45-59",B2597&lt;75,"60-74",B2597&lt;=90,"75-90")</f>
        <v>18-29</v>
      </c>
      <c r="M2597" t="str">
        <f>IF(Table1[[#This Row],[length_of_stay_days]]&gt;7,"Yes","No")</f>
        <v>No</v>
      </c>
    </row>
    <row r="2598" spans="1:13" x14ac:dyDescent="0.3">
      <c r="A2598" t="s">
        <v>2997</v>
      </c>
      <c r="B2598">
        <v>26</v>
      </c>
      <c r="C2598" t="s">
        <v>12</v>
      </c>
      <c r="D2598" t="s">
        <v>13</v>
      </c>
      <c r="E2598" t="s">
        <v>28</v>
      </c>
      <c r="F2598" t="s">
        <v>106</v>
      </c>
      <c r="G2598" t="s">
        <v>491</v>
      </c>
      <c r="H2598">
        <v>6</v>
      </c>
      <c r="I2598" s="1">
        <v>8278.4500000000007</v>
      </c>
      <c r="J2598" t="s">
        <v>17</v>
      </c>
      <c r="K2598" t="s">
        <v>18</v>
      </c>
      <c r="L2598" t="str" cm="1">
        <f t="array" ref="L2598">_xlfn.IFS(B2598&lt;30,"18-29",B2598&lt;45,"30-44",B2598&lt;60,"45-59",B2598&lt;75,"60-74",B2598&lt;=90,"75-90")</f>
        <v>18-29</v>
      </c>
      <c r="M2598" t="str">
        <f>IF(Table1[[#This Row],[length_of_stay_days]]&gt;7,"Yes","No")</f>
        <v>No</v>
      </c>
    </row>
    <row r="2599" spans="1:13" x14ac:dyDescent="0.3">
      <c r="A2599" t="s">
        <v>2998</v>
      </c>
      <c r="B2599">
        <v>18</v>
      </c>
      <c r="C2599" t="s">
        <v>20</v>
      </c>
      <c r="D2599" t="s">
        <v>13</v>
      </c>
      <c r="E2599" t="s">
        <v>14</v>
      </c>
      <c r="F2599" t="s">
        <v>372</v>
      </c>
      <c r="G2599" t="s">
        <v>646</v>
      </c>
      <c r="H2599">
        <v>7</v>
      </c>
      <c r="I2599" s="1">
        <v>11203.36</v>
      </c>
      <c r="J2599" t="s">
        <v>17</v>
      </c>
      <c r="K2599" t="s">
        <v>18</v>
      </c>
      <c r="L2599" t="str" cm="1">
        <f t="array" ref="L2599">_xlfn.IFS(B2599&lt;30,"18-29",B2599&lt;45,"30-44",B2599&lt;60,"45-59",B2599&lt;75,"60-74",B2599&lt;=90,"75-90")</f>
        <v>18-29</v>
      </c>
      <c r="M2599" t="str">
        <f>IF(Table1[[#This Row],[length_of_stay_days]]&gt;7,"Yes","No")</f>
        <v>No</v>
      </c>
    </row>
    <row r="2600" spans="1:13" x14ac:dyDescent="0.3">
      <c r="A2600" t="s">
        <v>2999</v>
      </c>
      <c r="B2600">
        <v>88</v>
      </c>
      <c r="C2600" t="s">
        <v>20</v>
      </c>
      <c r="D2600" t="s">
        <v>28</v>
      </c>
      <c r="E2600" t="s">
        <v>28</v>
      </c>
      <c r="F2600" t="s">
        <v>402</v>
      </c>
      <c r="G2600" t="s">
        <v>629</v>
      </c>
      <c r="H2600">
        <v>6</v>
      </c>
      <c r="I2600" s="1">
        <v>6398.64</v>
      </c>
      <c r="J2600" t="s">
        <v>17</v>
      </c>
      <c r="K2600" t="s">
        <v>18</v>
      </c>
      <c r="L2600" t="str" cm="1">
        <f t="array" ref="L2600">_xlfn.IFS(B2600&lt;30,"18-29",B2600&lt;45,"30-44",B2600&lt;60,"45-59",B2600&lt;75,"60-74",B2600&lt;=90,"75-90")</f>
        <v>75-90</v>
      </c>
      <c r="M2600" t="str">
        <f>IF(Table1[[#This Row],[length_of_stay_days]]&gt;7,"Yes","No")</f>
        <v>No</v>
      </c>
    </row>
    <row r="2601" spans="1:13" x14ac:dyDescent="0.3">
      <c r="A2601" t="s">
        <v>3000</v>
      </c>
      <c r="B2601">
        <v>45</v>
      </c>
      <c r="C2601" t="s">
        <v>20</v>
      </c>
      <c r="D2601" t="s">
        <v>51</v>
      </c>
      <c r="E2601" t="s">
        <v>14</v>
      </c>
      <c r="F2601" t="s">
        <v>314</v>
      </c>
      <c r="G2601" t="s">
        <v>765</v>
      </c>
      <c r="H2601">
        <v>1</v>
      </c>
      <c r="I2601" s="1">
        <v>9435.4</v>
      </c>
      <c r="J2601" t="s">
        <v>17</v>
      </c>
      <c r="K2601" t="s">
        <v>18</v>
      </c>
      <c r="L2601" t="str" cm="1">
        <f t="array" ref="L2601">_xlfn.IFS(B2601&lt;30,"18-29",B2601&lt;45,"30-44",B2601&lt;60,"45-59",B2601&lt;75,"60-74",B2601&lt;=90,"75-90")</f>
        <v>45-59</v>
      </c>
      <c r="M2601" t="str">
        <f>IF(Table1[[#This Row],[length_of_stay_days]]&gt;7,"Yes","No")</f>
        <v>No</v>
      </c>
    </row>
    <row r="2602" spans="1:13" x14ac:dyDescent="0.3">
      <c r="A2602" t="s">
        <v>3001</v>
      </c>
      <c r="B2602">
        <v>60</v>
      </c>
      <c r="C2602" t="s">
        <v>12</v>
      </c>
      <c r="D2602" t="s">
        <v>13</v>
      </c>
      <c r="E2602" t="s">
        <v>21</v>
      </c>
      <c r="F2602" t="s">
        <v>421</v>
      </c>
      <c r="G2602" t="s">
        <v>207</v>
      </c>
      <c r="H2602">
        <v>7</v>
      </c>
      <c r="I2602" s="1">
        <v>6783.7</v>
      </c>
      <c r="J2602" t="s">
        <v>17</v>
      </c>
      <c r="K2602" t="s">
        <v>44</v>
      </c>
      <c r="L2602" t="str" cm="1">
        <f t="array" ref="L2602">_xlfn.IFS(B2602&lt;30,"18-29",B2602&lt;45,"30-44",B2602&lt;60,"45-59",B2602&lt;75,"60-74",B2602&lt;=90,"75-90")</f>
        <v>60-74</v>
      </c>
      <c r="M2602" t="str">
        <f>IF(Table1[[#This Row],[length_of_stay_days]]&gt;7,"Yes","No")</f>
        <v>No</v>
      </c>
    </row>
    <row r="2603" spans="1:13" x14ac:dyDescent="0.3">
      <c r="A2603" t="s">
        <v>3002</v>
      </c>
      <c r="B2603">
        <v>21</v>
      </c>
      <c r="C2603" t="s">
        <v>12</v>
      </c>
      <c r="D2603" t="s">
        <v>13</v>
      </c>
      <c r="E2603" t="s">
        <v>14</v>
      </c>
      <c r="F2603" t="s">
        <v>493</v>
      </c>
      <c r="G2603" t="s">
        <v>173</v>
      </c>
      <c r="H2603">
        <v>4</v>
      </c>
      <c r="I2603" s="1">
        <v>3927.67</v>
      </c>
      <c r="J2603" t="s">
        <v>17</v>
      </c>
      <c r="K2603" t="s">
        <v>18</v>
      </c>
      <c r="L2603" t="str" cm="1">
        <f t="array" ref="L2603">_xlfn.IFS(B2603&lt;30,"18-29",B2603&lt;45,"30-44",B2603&lt;60,"45-59",B2603&lt;75,"60-74",B2603&lt;=90,"75-90")</f>
        <v>18-29</v>
      </c>
      <c r="M2603" t="str">
        <f>IF(Table1[[#This Row],[length_of_stay_days]]&gt;7,"Yes","No")</f>
        <v>No</v>
      </c>
    </row>
    <row r="2604" spans="1:13" x14ac:dyDescent="0.3">
      <c r="A2604" t="s">
        <v>3003</v>
      </c>
      <c r="B2604">
        <v>58</v>
      </c>
      <c r="C2604" t="s">
        <v>12</v>
      </c>
      <c r="D2604" t="s">
        <v>46</v>
      </c>
      <c r="E2604" t="s">
        <v>14</v>
      </c>
      <c r="F2604" t="s">
        <v>554</v>
      </c>
      <c r="G2604" t="s">
        <v>434</v>
      </c>
      <c r="H2604">
        <v>6</v>
      </c>
      <c r="I2604" s="1">
        <v>14254.53</v>
      </c>
      <c r="J2604" t="s">
        <v>17</v>
      </c>
      <c r="K2604" t="s">
        <v>18</v>
      </c>
      <c r="L2604" t="str" cm="1">
        <f t="array" ref="L2604">_xlfn.IFS(B2604&lt;30,"18-29",B2604&lt;45,"30-44",B2604&lt;60,"45-59",B2604&lt;75,"60-74",B2604&lt;=90,"75-90")</f>
        <v>45-59</v>
      </c>
      <c r="M2604" t="str">
        <f>IF(Table1[[#This Row],[length_of_stay_days]]&gt;7,"Yes","No")</f>
        <v>No</v>
      </c>
    </row>
    <row r="2605" spans="1:13" x14ac:dyDescent="0.3">
      <c r="A2605" t="s">
        <v>3004</v>
      </c>
      <c r="B2605">
        <v>22</v>
      </c>
      <c r="C2605" t="s">
        <v>20</v>
      </c>
      <c r="D2605" t="s">
        <v>28</v>
      </c>
      <c r="E2605" t="s">
        <v>28</v>
      </c>
      <c r="F2605" t="s">
        <v>447</v>
      </c>
      <c r="G2605" t="s">
        <v>241</v>
      </c>
      <c r="H2605">
        <v>5</v>
      </c>
      <c r="I2605" s="1">
        <v>7571.3</v>
      </c>
      <c r="J2605" t="s">
        <v>17</v>
      </c>
      <c r="K2605" t="s">
        <v>18</v>
      </c>
      <c r="L2605" t="str" cm="1">
        <f t="array" ref="L2605">_xlfn.IFS(B2605&lt;30,"18-29",B2605&lt;45,"30-44",B2605&lt;60,"45-59",B2605&lt;75,"60-74",B2605&lt;=90,"75-90")</f>
        <v>18-29</v>
      </c>
      <c r="M2605" t="str">
        <f>IF(Table1[[#This Row],[length_of_stay_days]]&gt;7,"Yes","No")</f>
        <v>No</v>
      </c>
    </row>
    <row r="2606" spans="1:13" x14ac:dyDescent="0.3">
      <c r="A2606" t="s">
        <v>3005</v>
      </c>
      <c r="B2606">
        <v>78</v>
      </c>
      <c r="C2606" t="s">
        <v>20</v>
      </c>
      <c r="D2606" t="s">
        <v>32</v>
      </c>
      <c r="E2606" t="s">
        <v>28</v>
      </c>
      <c r="F2606" t="s">
        <v>348</v>
      </c>
      <c r="G2606" t="s">
        <v>162</v>
      </c>
      <c r="H2606">
        <v>8</v>
      </c>
      <c r="I2606" s="1">
        <v>13108.77</v>
      </c>
      <c r="J2606" t="s">
        <v>17</v>
      </c>
      <c r="K2606" t="s">
        <v>18</v>
      </c>
      <c r="L2606" t="str" cm="1">
        <f t="array" ref="L2606">_xlfn.IFS(B2606&lt;30,"18-29",B2606&lt;45,"30-44",B2606&lt;60,"45-59",B2606&lt;75,"60-74",B2606&lt;=90,"75-90")</f>
        <v>75-90</v>
      </c>
      <c r="M2606" t="str">
        <f>IF(Table1[[#This Row],[length_of_stay_days]]&gt;7,"Yes","No")</f>
        <v>Yes</v>
      </c>
    </row>
    <row r="2607" spans="1:13" x14ac:dyDescent="0.3">
      <c r="A2607" t="s">
        <v>3006</v>
      </c>
      <c r="B2607">
        <v>86</v>
      </c>
      <c r="C2607" t="s">
        <v>12</v>
      </c>
      <c r="D2607" t="s">
        <v>46</v>
      </c>
      <c r="E2607" t="s">
        <v>28</v>
      </c>
      <c r="F2607" t="s">
        <v>606</v>
      </c>
      <c r="G2607" t="s">
        <v>543</v>
      </c>
      <c r="H2607">
        <v>13</v>
      </c>
      <c r="I2607" s="1">
        <v>17584.23</v>
      </c>
      <c r="J2607" t="s">
        <v>17</v>
      </c>
      <c r="K2607" t="s">
        <v>18</v>
      </c>
      <c r="L2607" t="str" cm="1">
        <f t="array" ref="L2607">_xlfn.IFS(B2607&lt;30,"18-29",B2607&lt;45,"30-44",B2607&lt;60,"45-59",B2607&lt;75,"60-74",B2607&lt;=90,"75-90")</f>
        <v>75-90</v>
      </c>
      <c r="M2607" t="str">
        <f>IF(Table1[[#This Row],[length_of_stay_days]]&gt;7,"Yes","No")</f>
        <v>Yes</v>
      </c>
    </row>
    <row r="2608" spans="1:13" x14ac:dyDescent="0.3">
      <c r="A2608" t="s">
        <v>3007</v>
      </c>
      <c r="B2608">
        <v>18</v>
      </c>
      <c r="C2608" t="s">
        <v>20</v>
      </c>
      <c r="D2608" t="s">
        <v>51</v>
      </c>
      <c r="E2608" t="s">
        <v>14</v>
      </c>
      <c r="F2608" t="s">
        <v>527</v>
      </c>
      <c r="G2608" t="s">
        <v>80</v>
      </c>
      <c r="H2608">
        <v>5</v>
      </c>
      <c r="I2608" s="1">
        <v>9656.2800000000007</v>
      </c>
      <c r="J2608" t="s">
        <v>17</v>
      </c>
      <c r="K2608" t="s">
        <v>18</v>
      </c>
      <c r="L2608" t="str" cm="1">
        <f t="array" ref="L2608">_xlfn.IFS(B2608&lt;30,"18-29",B2608&lt;45,"30-44",B2608&lt;60,"45-59",B2608&lt;75,"60-74",B2608&lt;=90,"75-90")</f>
        <v>18-29</v>
      </c>
      <c r="M2608" t="str">
        <f>IF(Table1[[#This Row],[length_of_stay_days]]&gt;7,"Yes","No")</f>
        <v>No</v>
      </c>
    </row>
    <row r="2609" spans="1:13" x14ac:dyDescent="0.3">
      <c r="A2609" t="s">
        <v>3008</v>
      </c>
      <c r="B2609">
        <v>28</v>
      </c>
      <c r="C2609" t="s">
        <v>20</v>
      </c>
      <c r="D2609" t="s">
        <v>28</v>
      </c>
      <c r="E2609" t="s">
        <v>14</v>
      </c>
      <c r="F2609" t="s">
        <v>778</v>
      </c>
      <c r="G2609" t="s">
        <v>98</v>
      </c>
      <c r="H2609">
        <v>2</v>
      </c>
      <c r="I2609" s="1">
        <v>4569.55</v>
      </c>
      <c r="J2609" t="s">
        <v>49</v>
      </c>
      <c r="K2609" t="s">
        <v>18</v>
      </c>
      <c r="L2609" t="str" cm="1">
        <f t="array" ref="L2609">_xlfn.IFS(B2609&lt;30,"18-29",B2609&lt;45,"30-44",B2609&lt;60,"45-59",B2609&lt;75,"60-74",B2609&lt;=90,"75-90")</f>
        <v>18-29</v>
      </c>
      <c r="M2609" t="str">
        <f>IF(Table1[[#This Row],[length_of_stay_days]]&gt;7,"Yes","No")</f>
        <v>No</v>
      </c>
    </row>
    <row r="2610" spans="1:13" x14ac:dyDescent="0.3">
      <c r="A2610" t="s">
        <v>3009</v>
      </c>
      <c r="B2610">
        <v>53</v>
      </c>
      <c r="C2610" t="s">
        <v>20</v>
      </c>
      <c r="D2610" t="s">
        <v>55</v>
      </c>
      <c r="E2610" t="s">
        <v>21</v>
      </c>
      <c r="F2610" t="s">
        <v>410</v>
      </c>
      <c r="G2610" t="s">
        <v>575</v>
      </c>
      <c r="H2610">
        <v>7</v>
      </c>
      <c r="I2610" s="1">
        <v>10642.74</v>
      </c>
      <c r="J2610" t="s">
        <v>17</v>
      </c>
      <c r="K2610" t="s">
        <v>18</v>
      </c>
      <c r="L2610" t="str" cm="1">
        <f t="array" ref="L2610">_xlfn.IFS(B2610&lt;30,"18-29",B2610&lt;45,"30-44",B2610&lt;60,"45-59",B2610&lt;75,"60-74",B2610&lt;=90,"75-90")</f>
        <v>45-59</v>
      </c>
      <c r="M2610" t="str">
        <f>IF(Table1[[#This Row],[length_of_stay_days]]&gt;7,"Yes","No")</f>
        <v>No</v>
      </c>
    </row>
    <row r="2611" spans="1:13" x14ac:dyDescent="0.3">
      <c r="A2611" t="s">
        <v>3010</v>
      </c>
      <c r="B2611">
        <v>20</v>
      </c>
      <c r="C2611" t="s">
        <v>20</v>
      </c>
      <c r="D2611" t="s">
        <v>32</v>
      </c>
      <c r="E2611" t="s">
        <v>21</v>
      </c>
      <c r="F2611" t="s">
        <v>90</v>
      </c>
      <c r="G2611" t="s">
        <v>99</v>
      </c>
      <c r="H2611">
        <v>8</v>
      </c>
      <c r="I2611" s="1">
        <v>13763.32</v>
      </c>
      <c r="J2611" t="s">
        <v>17</v>
      </c>
      <c r="K2611" t="s">
        <v>18</v>
      </c>
      <c r="L2611" t="str" cm="1">
        <f t="array" ref="L2611">_xlfn.IFS(B2611&lt;30,"18-29",B2611&lt;45,"30-44",B2611&lt;60,"45-59",B2611&lt;75,"60-74",B2611&lt;=90,"75-90")</f>
        <v>18-29</v>
      </c>
      <c r="M2611" t="str">
        <f>IF(Table1[[#This Row],[length_of_stay_days]]&gt;7,"Yes","No")</f>
        <v>Yes</v>
      </c>
    </row>
    <row r="2612" spans="1:13" x14ac:dyDescent="0.3">
      <c r="A2612" t="s">
        <v>3011</v>
      </c>
      <c r="B2612">
        <v>69</v>
      </c>
      <c r="C2612" t="s">
        <v>12</v>
      </c>
      <c r="D2612" t="s">
        <v>28</v>
      </c>
      <c r="E2612" t="s">
        <v>21</v>
      </c>
      <c r="F2612" t="s">
        <v>629</v>
      </c>
      <c r="G2612" t="s">
        <v>219</v>
      </c>
      <c r="H2612">
        <v>4</v>
      </c>
      <c r="I2612" s="1">
        <v>6207.18</v>
      </c>
      <c r="J2612" t="s">
        <v>17</v>
      </c>
      <c r="K2612" t="s">
        <v>18</v>
      </c>
      <c r="L2612" t="str" cm="1">
        <f t="array" ref="L2612">_xlfn.IFS(B2612&lt;30,"18-29",B2612&lt;45,"30-44",B2612&lt;60,"45-59",B2612&lt;75,"60-74",B2612&lt;=90,"75-90")</f>
        <v>60-74</v>
      </c>
      <c r="M2612" t="str">
        <f>IF(Table1[[#This Row],[length_of_stay_days]]&gt;7,"Yes","No")</f>
        <v>No</v>
      </c>
    </row>
    <row r="2613" spans="1:13" x14ac:dyDescent="0.3">
      <c r="A2613" t="s">
        <v>3012</v>
      </c>
      <c r="B2613">
        <v>57</v>
      </c>
      <c r="C2613" t="s">
        <v>20</v>
      </c>
      <c r="D2613" t="s">
        <v>51</v>
      </c>
      <c r="E2613" t="s">
        <v>21</v>
      </c>
      <c r="F2613" t="s">
        <v>90</v>
      </c>
      <c r="G2613" t="s">
        <v>458</v>
      </c>
      <c r="H2613">
        <v>7</v>
      </c>
      <c r="I2613" s="1">
        <v>10618.2</v>
      </c>
      <c r="J2613" t="s">
        <v>17</v>
      </c>
      <c r="K2613" t="s">
        <v>18</v>
      </c>
      <c r="L2613" t="str" cm="1">
        <f t="array" ref="L2613">_xlfn.IFS(B2613&lt;30,"18-29",B2613&lt;45,"30-44",B2613&lt;60,"45-59",B2613&lt;75,"60-74",B2613&lt;=90,"75-90")</f>
        <v>45-59</v>
      </c>
      <c r="M2613" t="str">
        <f>IF(Table1[[#This Row],[length_of_stay_days]]&gt;7,"Yes","No")</f>
        <v>No</v>
      </c>
    </row>
    <row r="2614" spans="1:13" x14ac:dyDescent="0.3">
      <c r="A2614" t="s">
        <v>3013</v>
      </c>
      <c r="B2614">
        <v>42</v>
      </c>
      <c r="C2614" t="s">
        <v>20</v>
      </c>
      <c r="D2614" t="s">
        <v>28</v>
      </c>
      <c r="E2614" t="s">
        <v>28</v>
      </c>
      <c r="F2614" t="s">
        <v>462</v>
      </c>
      <c r="G2614" t="s">
        <v>689</v>
      </c>
      <c r="H2614">
        <v>4</v>
      </c>
      <c r="I2614" s="1">
        <v>6025.7</v>
      </c>
      <c r="J2614" t="s">
        <v>17</v>
      </c>
      <c r="K2614" t="s">
        <v>18</v>
      </c>
      <c r="L2614" t="str" cm="1">
        <f t="array" ref="L2614">_xlfn.IFS(B2614&lt;30,"18-29",B2614&lt;45,"30-44",B2614&lt;60,"45-59",B2614&lt;75,"60-74",B2614&lt;=90,"75-90")</f>
        <v>30-44</v>
      </c>
      <c r="M2614" t="str">
        <f>IF(Table1[[#This Row],[length_of_stay_days]]&gt;7,"Yes","No")</f>
        <v>No</v>
      </c>
    </row>
    <row r="2615" spans="1:13" x14ac:dyDescent="0.3">
      <c r="A2615" t="s">
        <v>3014</v>
      </c>
      <c r="B2615">
        <v>66</v>
      </c>
      <c r="C2615" t="s">
        <v>12</v>
      </c>
      <c r="D2615" t="s">
        <v>28</v>
      </c>
      <c r="E2615" t="s">
        <v>28</v>
      </c>
      <c r="F2615" t="s">
        <v>623</v>
      </c>
      <c r="G2615" t="s">
        <v>184</v>
      </c>
      <c r="H2615">
        <v>4</v>
      </c>
      <c r="I2615" s="1">
        <v>4059.98</v>
      </c>
      <c r="J2615" t="s">
        <v>17</v>
      </c>
      <c r="K2615" t="s">
        <v>18</v>
      </c>
      <c r="L2615" t="str" cm="1">
        <f t="array" ref="L2615">_xlfn.IFS(B2615&lt;30,"18-29",B2615&lt;45,"30-44",B2615&lt;60,"45-59",B2615&lt;75,"60-74",B2615&lt;=90,"75-90")</f>
        <v>60-74</v>
      </c>
      <c r="M2615" t="str">
        <f>IF(Table1[[#This Row],[length_of_stay_days]]&gt;7,"Yes","No")</f>
        <v>No</v>
      </c>
    </row>
    <row r="2616" spans="1:13" x14ac:dyDescent="0.3">
      <c r="A2616" t="s">
        <v>3015</v>
      </c>
      <c r="B2616">
        <v>90</v>
      </c>
      <c r="C2616" t="s">
        <v>12</v>
      </c>
      <c r="D2616" t="s">
        <v>13</v>
      </c>
      <c r="E2616" t="s">
        <v>28</v>
      </c>
      <c r="F2616" t="s">
        <v>228</v>
      </c>
      <c r="G2616" t="s">
        <v>449</v>
      </c>
      <c r="H2616">
        <v>7</v>
      </c>
      <c r="I2616" s="1">
        <v>10758.95</v>
      </c>
      <c r="J2616" t="s">
        <v>17</v>
      </c>
      <c r="K2616" t="s">
        <v>18</v>
      </c>
      <c r="L2616" t="str" cm="1">
        <f t="array" ref="L2616">_xlfn.IFS(B2616&lt;30,"18-29",B2616&lt;45,"30-44",B2616&lt;60,"45-59",B2616&lt;75,"60-74",B2616&lt;=90,"75-90")</f>
        <v>75-90</v>
      </c>
      <c r="M2616" t="str">
        <f>IF(Table1[[#This Row],[length_of_stay_days]]&gt;7,"Yes","No")</f>
        <v>No</v>
      </c>
    </row>
    <row r="2617" spans="1:13" x14ac:dyDescent="0.3">
      <c r="A2617" t="s">
        <v>3016</v>
      </c>
      <c r="B2617">
        <v>45</v>
      </c>
      <c r="C2617" t="s">
        <v>12</v>
      </c>
      <c r="D2617" t="s">
        <v>32</v>
      </c>
      <c r="E2617" t="s">
        <v>21</v>
      </c>
      <c r="F2617" t="s">
        <v>65</v>
      </c>
      <c r="G2617" t="s">
        <v>84</v>
      </c>
      <c r="H2617">
        <v>5</v>
      </c>
      <c r="I2617" s="1">
        <v>12611.38</v>
      </c>
      <c r="J2617" t="s">
        <v>17</v>
      </c>
      <c r="K2617" t="s">
        <v>18</v>
      </c>
      <c r="L2617" t="str" cm="1">
        <f t="array" ref="L2617">_xlfn.IFS(B2617&lt;30,"18-29",B2617&lt;45,"30-44",B2617&lt;60,"45-59",B2617&lt;75,"60-74",B2617&lt;=90,"75-90")</f>
        <v>45-59</v>
      </c>
      <c r="M2617" t="str">
        <f>IF(Table1[[#This Row],[length_of_stay_days]]&gt;7,"Yes","No")</f>
        <v>No</v>
      </c>
    </row>
    <row r="2618" spans="1:13" x14ac:dyDescent="0.3">
      <c r="A2618" t="s">
        <v>3017</v>
      </c>
      <c r="B2618">
        <v>66</v>
      </c>
      <c r="C2618" t="s">
        <v>20</v>
      </c>
      <c r="D2618" t="s">
        <v>13</v>
      </c>
      <c r="E2618" t="s">
        <v>28</v>
      </c>
      <c r="F2618" t="s">
        <v>90</v>
      </c>
      <c r="G2618" t="s">
        <v>975</v>
      </c>
      <c r="H2618">
        <v>6</v>
      </c>
      <c r="I2618" s="1">
        <v>8795.75</v>
      </c>
      <c r="J2618" t="s">
        <v>17</v>
      </c>
      <c r="K2618" t="s">
        <v>18</v>
      </c>
      <c r="L2618" t="str" cm="1">
        <f t="array" ref="L2618">_xlfn.IFS(B2618&lt;30,"18-29",B2618&lt;45,"30-44",B2618&lt;60,"45-59",B2618&lt;75,"60-74",B2618&lt;=90,"75-90")</f>
        <v>60-74</v>
      </c>
      <c r="M2618" t="str">
        <f>IF(Table1[[#This Row],[length_of_stay_days]]&gt;7,"Yes","No")</f>
        <v>No</v>
      </c>
    </row>
    <row r="2619" spans="1:13" x14ac:dyDescent="0.3">
      <c r="A2619" t="s">
        <v>3018</v>
      </c>
      <c r="B2619">
        <v>28</v>
      </c>
      <c r="C2619" t="s">
        <v>20</v>
      </c>
      <c r="D2619" t="s">
        <v>13</v>
      </c>
      <c r="E2619" t="s">
        <v>28</v>
      </c>
      <c r="F2619" t="s">
        <v>78</v>
      </c>
      <c r="G2619" t="s">
        <v>210</v>
      </c>
      <c r="H2619">
        <v>6</v>
      </c>
      <c r="I2619" s="1">
        <v>5669.57</v>
      </c>
      <c r="J2619" t="s">
        <v>17</v>
      </c>
      <c r="K2619" t="s">
        <v>18</v>
      </c>
      <c r="L2619" t="str" cm="1">
        <f t="array" ref="L2619">_xlfn.IFS(B2619&lt;30,"18-29",B2619&lt;45,"30-44",B2619&lt;60,"45-59",B2619&lt;75,"60-74",B2619&lt;=90,"75-90")</f>
        <v>18-29</v>
      </c>
      <c r="M2619" t="str">
        <f>IF(Table1[[#This Row],[length_of_stay_days]]&gt;7,"Yes","No")</f>
        <v>No</v>
      </c>
    </row>
    <row r="2620" spans="1:13" x14ac:dyDescent="0.3">
      <c r="A2620" t="s">
        <v>3019</v>
      </c>
      <c r="B2620">
        <v>62</v>
      </c>
      <c r="C2620" t="s">
        <v>12</v>
      </c>
      <c r="D2620" t="s">
        <v>46</v>
      </c>
      <c r="E2620" t="s">
        <v>21</v>
      </c>
      <c r="F2620" t="s">
        <v>270</v>
      </c>
      <c r="G2620" t="s">
        <v>198</v>
      </c>
      <c r="H2620">
        <v>7</v>
      </c>
      <c r="I2620" s="1">
        <v>14682.29</v>
      </c>
      <c r="J2620" t="s">
        <v>17</v>
      </c>
      <c r="K2620" t="s">
        <v>18</v>
      </c>
      <c r="L2620" t="str" cm="1">
        <f t="array" ref="L2620">_xlfn.IFS(B2620&lt;30,"18-29",B2620&lt;45,"30-44",B2620&lt;60,"45-59",B2620&lt;75,"60-74",B2620&lt;=90,"75-90")</f>
        <v>60-74</v>
      </c>
      <c r="M2620" t="str">
        <f>IF(Table1[[#This Row],[length_of_stay_days]]&gt;7,"Yes","No")</f>
        <v>No</v>
      </c>
    </row>
    <row r="2621" spans="1:13" x14ac:dyDescent="0.3">
      <c r="A2621" t="s">
        <v>3020</v>
      </c>
      <c r="B2621">
        <v>88</v>
      </c>
      <c r="C2621" t="s">
        <v>20</v>
      </c>
      <c r="D2621" t="s">
        <v>51</v>
      </c>
      <c r="E2621" t="s">
        <v>28</v>
      </c>
      <c r="F2621" t="s">
        <v>306</v>
      </c>
      <c r="G2621" t="s">
        <v>496</v>
      </c>
      <c r="H2621">
        <v>8</v>
      </c>
      <c r="I2621" s="1">
        <v>11615.99</v>
      </c>
      <c r="J2621" t="s">
        <v>17</v>
      </c>
      <c r="K2621" t="s">
        <v>18</v>
      </c>
      <c r="L2621" t="str" cm="1">
        <f t="array" ref="L2621">_xlfn.IFS(B2621&lt;30,"18-29",B2621&lt;45,"30-44",B2621&lt;60,"45-59",B2621&lt;75,"60-74",B2621&lt;=90,"75-90")</f>
        <v>75-90</v>
      </c>
      <c r="M2621" t="str">
        <f>IF(Table1[[#This Row],[length_of_stay_days]]&gt;7,"Yes","No")</f>
        <v>Yes</v>
      </c>
    </row>
    <row r="2622" spans="1:13" x14ac:dyDescent="0.3">
      <c r="A2622" t="s">
        <v>3021</v>
      </c>
      <c r="B2622">
        <v>65</v>
      </c>
      <c r="C2622" t="s">
        <v>12</v>
      </c>
      <c r="D2622" t="s">
        <v>55</v>
      </c>
      <c r="E2622" t="s">
        <v>28</v>
      </c>
      <c r="F2622" t="s">
        <v>177</v>
      </c>
      <c r="G2622" t="s">
        <v>328</v>
      </c>
      <c r="H2622">
        <v>3</v>
      </c>
      <c r="I2622" s="1">
        <v>7152.92</v>
      </c>
      <c r="J2622" t="s">
        <v>49</v>
      </c>
      <c r="K2622" t="s">
        <v>18</v>
      </c>
      <c r="L2622" t="str" cm="1">
        <f t="array" ref="L2622">_xlfn.IFS(B2622&lt;30,"18-29",B2622&lt;45,"30-44",B2622&lt;60,"45-59",B2622&lt;75,"60-74",B2622&lt;=90,"75-90")</f>
        <v>60-74</v>
      </c>
      <c r="M2622" t="str">
        <f>IF(Table1[[#This Row],[length_of_stay_days]]&gt;7,"Yes","No")</f>
        <v>No</v>
      </c>
    </row>
    <row r="2623" spans="1:13" x14ac:dyDescent="0.3">
      <c r="A2623" t="s">
        <v>3022</v>
      </c>
      <c r="B2623">
        <v>76</v>
      </c>
      <c r="C2623" t="s">
        <v>12</v>
      </c>
      <c r="D2623" t="s">
        <v>13</v>
      </c>
      <c r="E2623" t="s">
        <v>28</v>
      </c>
      <c r="F2623" t="s">
        <v>879</v>
      </c>
      <c r="G2623" t="s">
        <v>34</v>
      </c>
      <c r="H2623">
        <v>3</v>
      </c>
      <c r="I2623" s="1">
        <v>5895.55</v>
      </c>
      <c r="J2623" t="s">
        <v>17</v>
      </c>
      <c r="K2623" t="s">
        <v>18</v>
      </c>
      <c r="L2623" t="str" cm="1">
        <f t="array" ref="L2623">_xlfn.IFS(B2623&lt;30,"18-29",B2623&lt;45,"30-44",B2623&lt;60,"45-59",B2623&lt;75,"60-74",B2623&lt;=90,"75-90")</f>
        <v>75-90</v>
      </c>
      <c r="M2623" t="str">
        <f>IF(Table1[[#This Row],[length_of_stay_days]]&gt;7,"Yes","No")</f>
        <v>No</v>
      </c>
    </row>
    <row r="2624" spans="1:13" x14ac:dyDescent="0.3">
      <c r="A2624" t="s">
        <v>3023</v>
      </c>
      <c r="B2624">
        <v>35</v>
      </c>
      <c r="C2624" t="s">
        <v>12</v>
      </c>
      <c r="D2624" t="s">
        <v>28</v>
      </c>
      <c r="E2624" t="s">
        <v>28</v>
      </c>
      <c r="F2624" t="s">
        <v>501</v>
      </c>
      <c r="G2624" t="s">
        <v>514</v>
      </c>
      <c r="H2624">
        <v>5</v>
      </c>
      <c r="I2624" s="1">
        <v>5860.32</v>
      </c>
      <c r="J2624" t="s">
        <v>17</v>
      </c>
      <c r="K2624" t="s">
        <v>18</v>
      </c>
      <c r="L2624" t="str" cm="1">
        <f t="array" ref="L2624">_xlfn.IFS(B2624&lt;30,"18-29",B2624&lt;45,"30-44",B2624&lt;60,"45-59",B2624&lt;75,"60-74",B2624&lt;=90,"75-90")</f>
        <v>30-44</v>
      </c>
      <c r="M2624" t="str">
        <f>IF(Table1[[#This Row],[length_of_stay_days]]&gt;7,"Yes","No")</f>
        <v>No</v>
      </c>
    </row>
    <row r="2625" spans="1:13" x14ac:dyDescent="0.3">
      <c r="A2625" t="s">
        <v>3024</v>
      </c>
      <c r="B2625">
        <v>49</v>
      </c>
      <c r="C2625" t="s">
        <v>20</v>
      </c>
      <c r="D2625" t="s">
        <v>46</v>
      </c>
      <c r="E2625" t="s">
        <v>14</v>
      </c>
      <c r="F2625" t="s">
        <v>465</v>
      </c>
      <c r="G2625" t="s">
        <v>447</v>
      </c>
      <c r="H2625">
        <v>4</v>
      </c>
      <c r="I2625" s="1">
        <v>13905.63</v>
      </c>
      <c r="J2625" t="s">
        <v>49</v>
      </c>
      <c r="K2625" t="s">
        <v>18</v>
      </c>
      <c r="L2625" t="str" cm="1">
        <f t="array" ref="L2625">_xlfn.IFS(B2625&lt;30,"18-29",B2625&lt;45,"30-44",B2625&lt;60,"45-59",B2625&lt;75,"60-74",B2625&lt;=90,"75-90")</f>
        <v>45-59</v>
      </c>
      <c r="M2625" t="str">
        <f>IF(Table1[[#This Row],[length_of_stay_days]]&gt;7,"Yes","No")</f>
        <v>No</v>
      </c>
    </row>
    <row r="2626" spans="1:13" x14ac:dyDescent="0.3">
      <c r="A2626" t="s">
        <v>3025</v>
      </c>
      <c r="B2626">
        <v>31</v>
      </c>
      <c r="C2626" t="s">
        <v>20</v>
      </c>
      <c r="D2626" t="s">
        <v>46</v>
      </c>
      <c r="E2626" t="s">
        <v>28</v>
      </c>
      <c r="F2626" t="s">
        <v>261</v>
      </c>
      <c r="G2626" t="s">
        <v>395</v>
      </c>
      <c r="H2626">
        <v>10</v>
      </c>
      <c r="I2626" s="1">
        <v>15863.58</v>
      </c>
      <c r="J2626" t="s">
        <v>49</v>
      </c>
      <c r="K2626" t="s">
        <v>18</v>
      </c>
      <c r="L2626" t="str" cm="1">
        <f t="array" ref="L2626">_xlfn.IFS(B2626&lt;30,"18-29",B2626&lt;45,"30-44",B2626&lt;60,"45-59",B2626&lt;75,"60-74",B2626&lt;=90,"75-90")</f>
        <v>30-44</v>
      </c>
      <c r="M2626" t="str">
        <f>IF(Table1[[#This Row],[length_of_stay_days]]&gt;7,"Yes","No")</f>
        <v>Yes</v>
      </c>
    </row>
    <row r="2627" spans="1:13" x14ac:dyDescent="0.3">
      <c r="A2627" t="s">
        <v>3026</v>
      </c>
      <c r="B2627">
        <v>75</v>
      </c>
      <c r="C2627" t="s">
        <v>20</v>
      </c>
      <c r="D2627" t="s">
        <v>13</v>
      </c>
      <c r="E2627" t="s">
        <v>14</v>
      </c>
      <c r="F2627" t="s">
        <v>350</v>
      </c>
      <c r="G2627" t="s">
        <v>87</v>
      </c>
      <c r="H2627">
        <v>2</v>
      </c>
      <c r="I2627" s="1">
        <v>6140.51</v>
      </c>
      <c r="J2627" t="s">
        <v>17</v>
      </c>
      <c r="K2627" t="s">
        <v>18</v>
      </c>
      <c r="L2627" t="str" cm="1">
        <f t="array" ref="L2627">_xlfn.IFS(B2627&lt;30,"18-29",B2627&lt;45,"30-44",B2627&lt;60,"45-59",B2627&lt;75,"60-74",B2627&lt;=90,"75-90")</f>
        <v>75-90</v>
      </c>
      <c r="M2627" t="str">
        <f>IF(Table1[[#This Row],[length_of_stay_days]]&gt;7,"Yes","No")</f>
        <v>No</v>
      </c>
    </row>
    <row r="2628" spans="1:13" x14ac:dyDescent="0.3">
      <c r="A2628" t="s">
        <v>3027</v>
      </c>
      <c r="B2628">
        <v>40</v>
      </c>
      <c r="C2628" t="s">
        <v>12</v>
      </c>
      <c r="D2628" t="s">
        <v>28</v>
      </c>
      <c r="E2628" t="s">
        <v>28</v>
      </c>
      <c r="F2628" t="s">
        <v>1248</v>
      </c>
      <c r="G2628" t="s">
        <v>293</v>
      </c>
      <c r="H2628">
        <v>7</v>
      </c>
      <c r="I2628" s="1">
        <v>8049.72</v>
      </c>
      <c r="J2628" t="s">
        <v>17</v>
      </c>
      <c r="K2628" t="s">
        <v>18</v>
      </c>
      <c r="L2628" t="str" cm="1">
        <f t="array" ref="L2628">_xlfn.IFS(B2628&lt;30,"18-29",B2628&lt;45,"30-44",B2628&lt;60,"45-59",B2628&lt;75,"60-74",B2628&lt;=90,"75-90")</f>
        <v>30-44</v>
      </c>
      <c r="M2628" t="str">
        <f>IF(Table1[[#This Row],[length_of_stay_days]]&gt;7,"Yes","No")</f>
        <v>No</v>
      </c>
    </row>
    <row r="2629" spans="1:13" x14ac:dyDescent="0.3">
      <c r="A2629" t="s">
        <v>3028</v>
      </c>
      <c r="B2629">
        <v>71</v>
      </c>
      <c r="C2629" t="s">
        <v>12</v>
      </c>
      <c r="D2629" t="s">
        <v>32</v>
      </c>
      <c r="E2629" t="s">
        <v>28</v>
      </c>
      <c r="F2629" t="s">
        <v>140</v>
      </c>
      <c r="G2629" t="s">
        <v>388</v>
      </c>
      <c r="H2629">
        <v>6</v>
      </c>
      <c r="I2629" s="1">
        <v>11441.84</v>
      </c>
      <c r="J2629" t="s">
        <v>17</v>
      </c>
      <c r="K2629" t="s">
        <v>18</v>
      </c>
      <c r="L2629" t="str" cm="1">
        <f t="array" ref="L2629">_xlfn.IFS(B2629&lt;30,"18-29",B2629&lt;45,"30-44",B2629&lt;60,"45-59",B2629&lt;75,"60-74",B2629&lt;=90,"75-90")</f>
        <v>60-74</v>
      </c>
      <c r="M2629" t="str">
        <f>IF(Table1[[#This Row],[length_of_stay_days]]&gt;7,"Yes","No")</f>
        <v>No</v>
      </c>
    </row>
    <row r="2630" spans="1:13" x14ac:dyDescent="0.3">
      <c r="A2630" t="s">
        <v>3029</v>
      </c>
      <c r="B2630">
        <v>18</v>
      </c>
      <c r="C2630" t="s">
        <v>12</v>
      </c>
      <c r="D2630" t="s">
        <v>13</v>
      </c>
      <c r="E2630" t="s">
        <v>28</v>
      </c>
      <c r="F2630" t="s">
        <v>1054</v>
      </c>
      <c r="G2630" t="s">
        <v>596</v>
      </c>
      <c r="H2630">
        <v>3</v>
      </c>
      <c r="I2630" s="1">
        <v>4996.88</v>
      </c>
      <c r="J2630" t="s">
        <v>17</v>
      </c>
      <c r="K2630" t="s">
        <v>18</v>
      </c>
      <c r="L2630" t="str" cm="1">
        <f t="array" ref="L2630">_xlfn.IFS(B2630&lt;30,"18-29",B2630&lt;45,"30-44",B2630&lt;60,"45-59",B2630&lt;75,"60-74",B2630&lt;=90,"75-90")</f>
        <v>18-29</v>
      </c>
      <c r="M2630" t="str">
        <f>IF(Table1[[#This Row],[length_of_stay_days]]&gt;7,"Yes","No")</f>
        <v>No</v>
      </c>
    </row>
    <row r="2631" spans="1:13" x14ac:dyDescent="0.3">
      <c r="A2631" t="s">
        <v>3030</v>
      </c>
      <c r="B2631">
        <v>54</v>
      </c>
      <c r="C2631" t="s">
        <v>20</v>
      </c>
      <c r="D2631" t="s">
        <v>55</v>
      </c>
      <c r="E2631" t="s">
        <v>28</v>
      </c>
      <c r="F2631" t="s">
        <v>975</v>
      </c>
      <c r="G2631" t="s">
        <v>562</v>
      </c>
      <c r="H2631">
        <v>3</v>
      </c>
      <c r="I2631" s="1">
        <v>8619.08</v>
      </c>
      <c r="J2631" t="s">
        <v>49</v>
      </c>
      <c r="K2631" t="s">
        <v>18</v>
      </c>
      <c r="L2631" t="str" cm="1">
        <f t="array" ref="L2631">_xlfn.IFS(B2631&lt;30,"18-29",B2631&lt;45,"30-44",B2631&lt;60,"45-59",B2631&lt;75,"60-74",B2631&lt;=90,"75-90")</f>
        <v>45-59</v>
      </c>
      <c r="M2631" t="str">
        <f>IF(Table1[[#This Row],[length_of_stay_days]]&gt;7,"Yes","No")</f>
        <v>No</v>
      </c>
    </row>
    <row r="2632" spans="1:13" x14ac:dyDescent="0.3">
      <c r="A2632" t="s">
        <v>3031</v>
      </c>
      <c r="B2632">
        <v>34</v>
      </c>
      <c r="C2632" t="s">
        <v>12</v>
      </c>
      <c r="D2632" t="s">
        <v>46</v>
      </c>
      <c r="E2632" t="s">
        <v>28</v>
      </c>
      <c r="F2632" t="s">
        <v>171</v>
      </c>
      <c r="G2632" t="s">
        <v>395</v>
      </c>
      <c r="H2632">
        <v>5</v>
      </c>
      <c r="I2632" s="1">
        <v>12392.86</v>
      </c>
      <c r="J2632" t="s">
        <v>17</v>
      </c>
      <c r="K2632" t="s">
        <v>18</v>
      </c>
      <c r="L2632" t="str" cm="1">
        <f t="array" ref="L2632">_xlfn.IFS(B2632&lt;30,"18-29",B2632&lt;45,"30-44",B2632&lt;60,"45-59",B2632&lt;75,"60-74",B2632&lt;=90,"75-90")</f>
        <v>30-44</v>
      </c>
      <c r="M2632" t="str">
        <f>IF(Table1[[#This Row],[length_of_stay_days]]&gt;7,"Yes","No")</f>
        <v>No</v>
      </c>
    </row>
    <row r="2633" spans="1:13" x14ac:dyDescent="0.3">
      <c r="A2633" t="s">
        <v>3032</v>
      </c>
      <c r="B2633">
        <v>41</v>
      </c>
      <c r="C2633" t="s">
        <v>12</v>
      </c>
      <c r="D2633" t="s">
        <v>28</v>
      </c>
      <c r="E2633" t="s">
        <v>28</v>
      </c>
      <c r="F2633" t="s">
        <v>179</v>
      </c>
      <c r="G2633" t="s">
        <v>413</v>
      </c>
      <c r="H2633">
        <v>4</v>
      </c>
      <c r="I2633" s="1">
        <v>2519.94</v>
      </c>
      <c r="J2633" t="s">
        <v>17</v>
      </c>
      <c r="K2633" t="s">
        <v>18</v>
      </c>
      <c r="L2633" t="str" cm="1">
        <f t="array" ref="L2633">_xlfn.IFS(B2633&lt;30,"18-29",B2633&lt;45,"30-44",B2633&lt;60,"45-59",B2633&lt;75,"60-74",B2633&lt;=90,"75-90")</f>
        <v>30-44</v>
      </c>
      <c r="M2633" t="str">
        <f>IF(Table1[[#This Row],[length_of_stay_days]]&gt;7,"Yes","No")</f>
        <v>No</v>
      </c>
    </row>
    <row r="2634" spans="1:13" x14ac:dyDescent="0.3">
      <c r="A2634" t="s">
        <v>3033</v>
      </c>
      <c r="B2634">
        <v>54</v>
      </c>
      <c r="C2634" t="s">
        <v>12</v>
      </c>
      <c r="D2634" t="s">
        <v>13</v>
      </c>
      <c r="E2634" t="s">
        <v>21</v>
      </c>
      <c r="F2634" t="s">
        <v>363</v>
      </c>
      <c r="G2634" t="s">
        <v>364</v>
      </c>
      <c r="H2634">
        <v>5</v>
      </c>
      <c r="I2634" s="1">
        <v>7021.67</v>
      </c>
      <c r="J2634" t="s">
        <v>49</v>
      </c>
      <c r="K2634" t="s">
        <v>18</v>
      </c>
      <c r="L2634" t="str" cm="1">
        <f t="array" ref="L2634">_xlfn.IFS(B2634&lt;30,"18-29",B2634&lt;45,"30-44",B2634&lt;60,"45-59",B2634&lt;75,"60-74",B2634&lt;=90,"75-90")</f>
        <v>45-59</v>
      </c>
      <c r="M2634" t="str">
        <f>IF(Table1[[#This Row],[length_of_stay_days]]&gt;7,"Yes","No")</f>
        <v>No</v>
      </c>
    </row>
    <row r="2635" spans="1:13" x14ac:dyDescent="0.3">
      <c r="A2635" t="s">
        <v>3034</v>
      </c>
      <c r="B2635">
        <v>27</v>
      </c>
      <c r="C2635" t="s">
        <v>20</v>
      </c>
      <c r="D2635" t="s">
        <v>13</v>
      </c>
      <c r="E2635" t="s">
        <v>14</v>
      </c>
      <c r="F2635" t="s">
        <v>148</v>
      </c>
      <c r="G2635" t="s">
        <v>149</v>
      </c>
      <c r="H2635">
        <v>7</v>
      </c>
      <c r="I2635" s="1">
        <v>11313.26</v>
      </c>
      <c r="J2635" t="s">
        <v>49</v>
      </c>
      <c r="K2635" t="s">
        <v>18</v>
      </c>
      <c r="L2635" t="str" cm="1">
        <f t="array" ref="L2635">_xlfn.IFS(B2635&lt;30,"18-29",B2635&lt;45,"30-44",B2635&lt;60,"45-59",B2635&lt;75,"60-74",B2635&lt;=90,"75-90")</f>
        <v>18-29</v>
      </c>
      <c r="M2635" t="str">
        <f>IF(Table1[[#This Row],[length_of_stay_days]]&gt;7,"Yes","No")</f>
        <v>No</v>
      </c>
    </row>
    <row r="2636" spans="1:13" x14ac:dyDescent="0.3">
      <c r="A2636" t="s">
        <v>3035</v>
      </c>
      <c r="B2636">
        <v>86</v>
      </c>
      <c r="C2636" t="s">
        <v>20</v>
      </c>
      <c r="D2636" t="s">
        <v>51</v>
      </c>
      <c r="E2636" t="s">
        <v>14</v>
      </c>
      <c r="F2636" t="s">
        <v>143</v>
      </c>
      <c r="G2636" t="s">
        <v>879</v>
      </c>
      <c r="H2636">
        <v>7</v>
      </c>
      <c r="I2636" s="1">
        <v>11573.91</v>
      </c>
      <c r="J2636" t="s">
        <v>49</v>
      </c>
      <c r="K2636" t="s">
        <v>18</v>
      </c>
      <c r="L2636" t="str" cm="1">
        <f t="array" ref="L2636">_xlfn.IFS(B2636&lt;30,"18-29",B2636&lt;45,"30-44",B2636&lt;60,"45-59",B2636&lt;75,"60-74",B2636&lt;=90,"75-90")</f>
        <v>75-90</v>
      </c>
      <c r="M2636" t="str">
        <f>IF(Table1[[#This Row],[length_of_stay_days]]&gt;7,"Yes","No")</f>
        <v>No</v>
      </c>
    </row>
    <row r="2637" spans="1:13" x14ac:dyDescent="0.3">
      <c r="A2637" t="s">
        <v>3036</v>
      </c>
      <c r="B2637">
        <v>23</v>
      </c>
      <c r="C2637" t="s">
        <v>12</v>
      </c>
      <c r="D2637" t="s">
        <v>28</v>
      </c>
      <c r="E2637" t="s">
        <v>14</v>
      </c>
      <c r="F2637" t="s">
        <v>62</v>
      </c>
      <c r="G2637" t="s">
        <v>471</v>
      </c>
      <c r="H2637">
        <v>3</v>
      </c>
      <c r="I2637" s="1">
        <v>3143.32</v>
      </c>
      <c r="J2637" t="s">
        <v>17</v>
      </c>
      <c r="K2637" t="s">
        <v>18</v>
      </c>
      <c r="L2637" t="str" cm="1">
        <f t="array" ref="L2637">_xlfn.IFS(B2637&lt;30,"18-29",B2637&lt;45,"30-44",B2637&lt;60,"45-59",B2637&lt;75,"60-74",B2637&lt;=90,"75-90")</f>
        <v>18-29</v>
      </c>
      <c r="M2637" t="str">
        <f>IF(Table1[[#This Row],[length_of_stay_days]]&gt;7,"Yes","No")</f>
        <v>No</v>
      </c>
    </row>
    <row r="2638" spans="1:13" x14ac:dyDescent="0.3">
      <c r="A2638" t="s">
        <v>3037</v>
      </c>
      <c r="B2638">
        <v>68</v>
      </c>
      <c r="C2638" t="s">
        <v>20</v>
      </c>
      <c r="D2638" t="s">
        <v>28</v>
      </c>
      <c r="E2638" t="s">
        <v>14</v>
      </c>
      <c r="F2638" t="s">
        <v>372</v>
      </c>
      <c r="G2638" t="s">
        <v>410</v>
      </c>
      <c r="H2638">
        <v>3</v>
      </c>
      <c r="I2638" s="1">
        <v>6725.79</v>
      </c>
      <c r="J2638" t="s">
        <v>17</v>
      </c>
      <c r="K2638" t="s">
        <v>18</v>
      </c>
      <c r="L2638" t="str" cm="1">
        <f t="array" ref="L2638">_xlfn.IFS(B2638&lt;30,"18-29",B2638&lt;45,"30-44",B2638&lt;60,"45-59",B2638&lt;75,"60-74",B2638&lt;=90,"75-90")</f>
        <v>60-74</v>
      </c>
      <c r="M2638" t="str">
        <f>IF(Table1[[#This Row],[length_of_stay_days]]&gt;7,"Yes","No")</f>
        <v>No</v>
      </c>
    </row>
    <row r="2639" spans="1:13" x14ac:dyDescent="0.3">
      <c r="A2639" t="s">
        <v>3038</v>
      </c>
      <c r="B2639">
        <v>74</v>
      </c>
      <c r="C2639" t="s">
        <v>12</v>
      </c>
      <c r="D2639" t="s">
        <v>55</v>
      </c>
      <c r="E2639" t="s">
        <v>21</v>
      </c>
      <c r="F2639" t="s">
        <v>325</v>
      </c>
      <c r="G2639" t="s">
        <v>841</v>
      </c>
      <c r="H2639">
        <v>10</v>
      </c>
      <c r="I2639" s="1">
        <v>13291.91</v>
      </c>
      <c r="J2639" t="s">
        <v>17</v>
      </c>
      <c r="K2639" t="s">
        <v>223</v>
      </c>
      <c r="L2639" t="str" cm="1">
        <f t="array" ref="L2639">_xlfn.IFS(B2639&lt;30,"18-29",B2639&lt;45,"30-44",B2639&lt;60,"45-59",B2639&lt;75,"60-74",B2639&lt;=90,"75-90")</f>
        <v>60-74</v>
      </c>
      <c r="M2639" t="str">
        <f>IF(Table1[[#This Row],[length_of_stay_days]]&gt;7,"Yes","No")</f>
        <v>Yes</v>
      </c>
    </row>
    <row r="2640" spans="1:13" x14ac:dyDescent="0.3">
      <c r="A2640" t="s">
        <v>3039</v>
      </c>
      <c r="B2640">
        <v>48</v>
      </c>
      <c r="C2640" t="s">
        <v>70</v>
      </c>
      <c r="D2640" t="s">
        <v>13</v>
      </c>
      <c r="E2640" t="s">
        <v>28</v>
      </c>
      <c r="F2640" t="s">
        <v>112</v>
      </c>
      <c r="G2640" t="s">
        <v>171</v>
      </c>
      <c r="H2640">
        <v>1</v>
      </c>
      <c r="I2640" s="1">
        <v>3606.85</v>
      </c>
      <c r="J2640" t="s">
        <v>17</v>
      </c>
      <c r="K2640" t="s">
        <v>18</v>
      </c>
      <c r="L2640" t="str" cm="1">
        <f t="array" ref="L2640">_xlfn.IFS(B2640&lt;30,"18-29",B2640&lt;45,"30-44",B2640&lt;60,"45-59",B2640&lt;75,"60-74",B2640&lt;=90,"75-90")</f>
        <v>45-59</v>
      </c>
      <c r="M2640" t="str">
        <f>IF(Table1[[#This Row],[length_of_stay_days]]&gt;7,"Yes","No")</f>
        <v>No</v>
      </c>
    </row>
    <row r="2641" spans="1:13" x14ac:dyDescent="0.3">
      <c r="A2641" t="s">
        <v>3040</v>
      </c>
      <c r="B2641">
        <v>32</v>
      </c>
      <c r="C2641" t="s">
        <v>12</v>
      </c>
      <c r="D2641" t="s">
        <v>13</v>
      </c>
      <c r="E2641" t="s">
        <v>14</v>
      </c>
      <c r="F2641" t="s">
        <v>37</v>
      </c>
      <c r="G2641" t="s">
        <v>554</v>
      </c>
      <c r="H2641">
        <v>2</v>
      </c>
      <c r="I2641" s="1">
        <v>3895.07</v>
      </c>
      <c r="J2641" t="s">
        <v>49</v>
      </c>
      <c r="K2641" t="s">
        <v>18</v>
      </c>
      <c r="L2641" t="str" cm="1">
        <f t="array" ref="L2641">_xlfn.IFS(B2641&lt;30,"18-29",B2641&lt;45,"30-44",B2641&lt;60,"45-59",B2641&lt;75,"60-74",B2641&lt;=90,"75-90")</f>
        <v>30-44</v>
      </c>
      <c r="M2641" t="str">
        <f>IF(Table1[[#This Row],[length_of_stay_days]]&gt;7,"Yes","No")</f>
        <v>No</v>
      </c>
    </row>
    <row r="2642" spans="1:13" x14ac:dyDescent="0.3">
      <c r="A2642" t="s">
        <v>3041</v>
      </c>
      <c r="B2642">
        <v>89</v>
      </c>
      <c r="C2642" t="s">
        <v>20</v>
      </c>
      <c r="D2642" t="s">
        <v>51</v>
      </c>
      <c r="E2642" t="s">
        <v>14</v>
      </c>
      <c r="F2642" t="s">
        <v>1181</v>
      </c>
      <c r="G2642" t="s">
        <v>428</v>
      </c>
      <c r="H2642">
        <v>6</v>
      </c>
      <c r="I2642" s="1">
        <v>11959.88</v>
      </c>
      <c r="J2642" t="s">
        <v>17</v>
      </c>
      <c r="K2642" t="s">
        <v>18</v>
      </c>
      <c r="L2642" t="str" cm="1">
        <f t="array" ref="L2642">_xlfn.IFS(B2642&lt;30,"18-29",B2642&lt;45,"30-44",B2642&lt;60,"45-59",B2642&lt;75,"60-74",B2642&lt;=90,"75-90")</f>
        <v>75-90</v>
      </c>
      <c r="M2642" t="str">
        <f>IF(Table1[[#This Row],[length_of_stay_days]]&gt;7,"Yes","No")</f>
        <v>No</v>
      </c>
    </row>
    <row r="2643" spans="1:13" x14ac:dyDescent="0.3">
      <c r="A2643" t="s">
        <v>3042</v>
      </c>
      <c r="B2643">
        <v>76</v>
      </c>
      <c r="C2643" t="s">
        <v>12</v>
      </c>
      <c r="D2643" t="s">
        <v>28</v>
      </c>
      <c r="E2643" t="s">
        <v>28</v>
      </c>
      <c r="F2643" t="s">
        <v>520</v>
      </c>
      <c r="G2643" t="s">
        <v>469</v>
      </c>
      <c r="H2643">
        <v>5</v>
      </c>
      <c r="I2643" s="1">
        <v>5371.6</v>
      </c>
      <c r="J2643" t="s">
        <v>17</v>
      </c>
      <c r="K2643" t="s">
        <v>18</v>
      </c>
      <c r="L2643" t="str" cm="1">
        <f t="array" ref="L2643">_xlfn.IFS(B2643&lt;30,"18-29",B2643&lt;45,"30-44",B2643&lt;60,"45-59",B2643&lt;75,"60-74",B2643&lt;=90,"75-90")</f>
        <v>75-90</v>
      </c>
      <c r="M2643" t="str">
        <f>IF(Table1[[#This Row],[length_of_stay_days]]&gt;7,"Yes","No")</f>
        <v>No</v>
      </c>
    </row>
    <row r="2644" spans="1:13" x14ac:dyDescent="0.3">
      <c r="A2644" t="s">
        <v>3043</v>
      </c>
      <c r="B2644">
        <v>61</v>
      </c>
      <c r="C2644" t="s">
        <v>20</v>
      </c>
      <c r="D2644" t="s">
        <v>28</v>
      </c>
      <c r="E2644" t="s">
        <v>28</v>
      </c>
      <c r="F2644" t="s">
        <v>235</v>
      </c>
      <c r="G2644" t="s">
        <v>646</v>
      </c>
      <c r="H2644">
        <v>6</v>
      </c>
      <c r="I2644" s="1">
        <v>6822.54</v>
      </c>
      <c r="J2644" t="s">
        <v>17</v>
      </c>
      <c r="K2644" t="s">
        <v>18</v>
      </c>
      <c r="L2644" t="str" cm="1">
        <f t="array" ref="L2644">_xlfn.IFS(B2644&lt;30,"18-29",B2644&lt;45,"30-44",B2644&lt;60,"45-59",B2644&lt;75,"60-74",B2644&lt;=90,"75-90")</f>
        <v>60-74</v>
      </c>
      <c r="M2644" t="str">
        <f>IF(Table1[[#This Row],[length_of_stay_days]]&gt;7,"Yes","No")</f>
        <v>No</v>
      </c>
    </row>
    <row r="2645" spans="1:13" x14ac:dyDescent="0.3">
      <c r="A2645" t="s">
        <v>3044</v>
      </c>
      <c r="B2645">
        <v>44</v>
      </c>
      <c r="C2645" t="s">
        <v>12</v>
      </c>
      <c r="D2645" t="s">
        <v>55</v>
      </c>
      <c r="E2645" t="s">
        <v>28</v>
      </c>
      <c r="F2645" t="s">
        <v>184</v>
      </c>
      <c r="G2645" t="s">
        <v>149</v>
      </c>
      <c r="H2645">
        <v>5</v>
      </c>
      <c r="I2645" s="1">
        <v>10266.780000000001</v>
      </c>
      <c r="J2645" t="s">
        <v>17</v>
      </c>
      <c r="K2645" t="s">
        <v>18</v>
      </c>
      <c r="L2645" t="str" cm="1">
        <f t="array" ref="L2645">_xlfn.IFS(B2645&lt;30,"18-29",B2645&lt;45,"30-44",B2645&lt;60,"45-59",B2645&lt;75,"60-74",B2645&lt;=90,"75-90")</f>
        <v>30-44</v>
      </c>
      <c r="M2645" t="str">
        <f>IF(Table1[[#This Row],[length_of_stay_days]]&gt;7,"Yes","No")</f>
        <v>No</v>
      </c>
    </row>
    <row r="2646" spans="1:13" x14ac:dyDescent="0.3">
      <c r="A2646" t="s">
        <v>3045</v>
      </c>
      <c r="B2646">
        <v>71</v>
      </c>
      <c r="C2646" t="s">
        <v>12</v>
      </c>
      <c r="D2646" t="s">
        <v>13</v>
      </c>
      <c r="E2646" t="s">
        <v>28</v>
      </c>
      <c r="F2646" t="s">
        <v>410</v>
      </c>
      <c r="G2646" t="s">
        <v>489</v>
      </c>
      <c r="H2646">
        <v>6</v>
      </c>
      <c r="I2646" s="1">
        <v>4097.05</v>
      </c>
      <c r="J2646" t="s">
        <v>17</v>
      </c>
      <c r="K2646" t="s">
        <v>18</v>
      </c>
      <c r="L2646" t="str" cm="1">
        <f t="array" ref="L2646">_xlfn.IFS(B2646&lt;30,"18-29",B2646&lt;45,"30-44",B2646&lt;60,"45-59",B2646&lt;75,"60-74",B2646&lt;=90,"75-90")</f>
        <v>60-74</v>
      </c>
      <c r="M2646" t="str">
        <f>IF(Table1[[#This Row],[length_of_stay_days]]&gt;7,"Yes","No")</f>
        <v>No</v>
      </c>
    </row>
    <row r="2647" spans="1:13" x14ac:dyDescent="0.3">
      <c r="A2647" t="s">
        <v>3046</v>
      </c>
      <c r="B2647">
        <v>64</v>
      </c>
      <c r="C2647" t="s">
        <v>12</v>
      </c>
      <c r="D2647" t="s">
        <v>51</v>
      </c>
      <c r="E2647" t="s">
        <v>21</v>
      </c>
      <c r="F2647" t="s">
        <v>449</v>
      </c>
      <c r="G2647" t="s">
        <v>295</v>
      </c>
      <c r="H2647">
        <v>4</v>
      </c>
      <c r="I2647" s="1">
        <v>9330.67</v>
      </c>
      <c r="J2647" t="s">
        <v>17</v>
      </c>
      <c r="K2647" t="s">
        <v>18</v>
      </c>
      <c r="L2647" t="str" cm="1">
        <f t="array" ref="L2647">_xlfn.IFS(B2647&lt;30,"18-29",B2647&lt;45,"30-44",B2647&lt;60,"45-59",B2647&lt;75,"60-74",B2647&lt;=90,"75-90")</f>
        <v>60-74</v>
      </c>
      <c r="M2647" t="str">
        <f>IF(Table1[[#This Row],[length_of_stay_days]]&gt;7,"Yes","No")</f>
        <v>No</v>
      </c>
    </row>
    <row r="2648" spans="1:13" x14ac:dyDescent="0.3">
      <c r="A2648" t="s">
        <v>3047</v>
      </c>
      <c r="B2648">
        <v>26</v>
      </c>
      <c r="C2648" t="s">
        <v>12</v>
      </c>
      <c r="D2648" t="s">
        <v>55</v>
      </c>
      <c r="E2648" t="s">
        <v>28</v>
      </c>
      <c r="F2648" t="s">
        <v>37</v>
      </c>
      <c r="G2648" t="s">
        <v>547</v>
      </c>
      <c r="H2648">
        <v>6</v>
      </c>
      <c r="I2648" s="1">
        <v>8656.26</v>
      </c>
      <c r="J2648" t="s">
        <v>17</v>
      </c>
      <c r="K2648" t="s">
        <v>18</v>
      </c>
      <c r="L2648" t="str" cm="1">
        <f t="array" ref="L2648">_xlfn.IFS(B2648&lt;30,"18-29",B2648&lt;45,"30-44",B2648&lt;60,"45-59",B2648&lt;75,"60-74",B2648&lt;=90,"75-90")</f>
        <v>18-29</v>
      </c>
      <c r="M2648" t="str">
        <f>IF(Table1[[#This Row],[length_of_stay_days]]&gt;7,"Yes","No")</f>
        <v>No</v>
      </c>
    </row>
    <row r="2649" spans="1:13" x14ac:dyDescent="0.3">
      <c r="A2649" t="s">
        <v>3048</v>
      </c>
      <c r="B2649">
        <v>45</v>
      </c>
      <c r="C2649" t="s">
        <v>12</v>
      </c>
      <c r="D2649" t="s">
        <v>55</v>
      </c>
      <c r="E2649" t="s">
        <v>28</v>
      </c>
      <c r="F2649" t="s">
        <v>299</v>
      </c>
      <c r="G2649" t="s">
        <v>633</v>
      </c>
      <c r="H2649">
        <v>6</v>
      </c>
      <c r="I2649" s="1">
        <v>10793.56</v>
      </c>
      <c r="J2649" t="s">
        <v>17</v>
      </c>
      <c r="K2649" t="s">
        <v>18</v>
      </c>
      <c r="L2649" t="str" cm="1">
        <f t="array" ref="L2649">_xlfn.IFS(B2649&lt;30,"18-29",B2649&lt;45,"30-44",B2649&lt;60,"45-59",B2649&lt;75,"60-74",B2649&lt;=90,"75-90")</f>
        <v>45-59</v>
      </c>
      <c r="M2649" t="str">
        <f>IF(Table1[[#This Row],[length_of_stay_days]]&gt;7,"Yes","No")</f>
        <v>No</v>
      </c>
    </row>
    <row r="2650" spans="1:13" x14ac:dyDescent="0.3">
      <c r="A2650" t="s">
        <v>3049</v>
      </c>
      <c r="B2650">
        <v>88</v>
      </c>
      <c r="C2650" t="s">
        <v>20</v>
      </c>
      <c r="D2650" t="s">
        <v>32</v>
      </c>
      <c r="E2650" t="s">
        <v>28</v>
      </c>
      <c r="F2650" t="s">
        <v>283</v>
      </c>
      <c r="G2650" t="s">
        <v>827</v>
      </c>
      <c r="H2650">
        <v>10</v>
      </c>
      <c r="I2650" s="1">
        <v>12388.61</v>
      </c>
      <c r="J2650" t="s">
        <v>17</v>
      </c>
      <c r="K2650" t="s">
        <v>18</v>
      </c>
      <c r="L2650" t="str" cm="1">
        <f t="array" ref="L2650">_xlfn.IFS(B2650&lt;30,"18-29",B2650&lt;45,"30-44",B2650&lt;60,"45-59",B2650&lt;75,"60-74",B2650&lt;=90,"75-90")</f>
        <v>75-90</v>
      </c>
      <c r="M2650" t="str">
        <f>IF(Table1[[#This Row],[length_of_stay_days]]&gt;7,"Yes","No")</f>
        <v>Yes</v>
      </c>
    </row>
    <row r="2651" spans="1:13" x14ac:dyDescent="0.3">
      <c r="A2651" t="s">
        <v>3050</v>
      </c>
      <c r="B2651">
        <v>59</v>
      </c>
      <c r="C2651" t="s">
        <v>12</v>
      </c>
      <c r="D2651" t="s">
        <v>32</v>
      </c>
      <c r="E2651" t="s">
        <v>28</v>
      </c>
      <c r="F2651" t="s">
        <v>549</v>
      </c>
      <c r="G2651" t="s">
        <v>137</v>
      </c>
      <c r="H2651">
        <v>7</v>
      </c>
      <c r="I2651" s="1">
        <v>13124.19</v>
      </c>
      <c r="J2651" t="s">
        <v>17</v>
      </c>
      <c r="K2651" t="s">
        <v>18</v>
      </c>
      <c r="L2651" t="str" cm="1">
        <f t="array" ref="L2651">_xlfn.IFS(B2651&lt;30,"18-29",B2651&lt;45,"30-44",B2651&lt;60,"45-59",B2651&lt;75,"60-74",B2651&lt;=90,"75-90")</f>
        <v>45-59</v>
      </c>
      <c r="M2651" t="str">
        <f>IF(Table1[[#This Row],[length_of_stay_days]]&gt;7,"Yes","No")</f>
        <v>No</v>
      </c>
    </row>
    <row r="2652" spans="1:13" x14ac:dyDescent="0.3">
      <c r="A2652" t="s">
        <v>3051</v>
      </c>
      <c r="B2652">
        <v>69</v>
      </c>
      <c r="C2652" t="s">
        <v>12</v>
      </c>
      <c r="D2652" t="s">
        <v>28</v>
      </c>
      <c r="E2652" t="s">
        <v>21</v>
      </c>
      <c r="F2652" t="s">
        <v>264</v>
      </c>
      <c r="G2652" t="s">
        <v>898</v>
      </c>
      <c r="H2652">
        <v>4</v>
      </c>
      <c r="I2652" s="1">
        <v>5736.03</v>
      </c>
      <c r="J2652" t="s">
        <v>17</v>
      </c>
      <c r="K2652" t="s">
        <v>223</v>
      </c>
      <c r="L2652" t="str" cm="1">
        <f t="array" ref="L2652">_xlfn.IFS(B2652&lt;30,"18-29",B2652&lt;45,"30-44",B2652&lt;60,"45-59",B2652&lt;75,"60-74",B2652&lt;=90,"75-90")</f>
        <v>60-74</v>
      </c>
      <c r="M2652" t="str">
        <f>IF(Table1[[#This Row],[length_of_stay_days]]&gt;7,"Yes","No")</f>
        <v>No</v>
      </c>
    </row>
    <row r="2653" spans="1:13" x14ac:dyDescent="0.3">
      <c r="A2653" t="s">
        <v>3052</v>
      </c>
      <c r="B2653">
        <v>41</v>
      </c>
      <c r="C2653" t="s">
        <v>12</v>
      </c>
      <c r="D2653" t="s">
        <v>28</v>
      </c>
      <c r="E2653" t="s">
        <v>28</v>
      </c>
      <c r="F2653" t="s">
        <v>292</v>
      </c>
      <c r="G2653" t="s">
        <v>496</v>
      </c>
      <c r="H2653">
        <v>4</v>
      </c>
      <c r="I2653" s="1">
        <v>6532.76</v>
      </c>
      <c r="J2653" t="s">
        <v>17</v>
      </c>
      <c r="K2653" t="s">
        <v>18</v>
      </c>
      <c r="L2653" t="str" cm="1">
        <f t="array" ref="L2653">_xlfn.IFS(B2653&lt;30,"18-29",B2653&lt;45,"30-44",B2653&lt;60,"45-59",B2653&lt;75,"60-74",B2653&lt;=90,"75-90")</f>
        <v>30-44</v>
      </c>
      <c r="M2653" t="str">
        <f>IF(Table1[[#This Row],[length_of_stay_days]]&gt;7,"Yes","No")</f>
        <v>No</v>
      </c>
    </row>
    <row r="2654" spans="1:13" x14ac:dyDescent="0.3">
      <c r="A2654" t="s">
        <v>3053</v>
      </c>
      <c r="B2654">
        <v>37</v>
      </c>
      <c r="C2654" t="s">
        <v>20</v>
      </c>
      <c r="D2654" t="s">
        <v>51</v>
      </c>
      <c r="E2654" t="s">
        <v>21</v>
      </c>
      <c r="F2654" t="s">
        <v>724</v>
      </c>
      <c r="G2654" t="s">
        <v>317</v>
      </c>
      <c r="H2654">
        <v>6</v>
      </c>
      <c r="I2654" s="1">
        <v>12445.76</v>
      </c>
      <c r="J2654" t="s">
        <v>17</v>
      </c>
      <c r="K2654" t="s">
        <v>18</v>
      </c>
      <c r="L2654" t="str" cm="1">
        <f t="array" ref="L2654">_xlfn.IFS(B2654&lt;30,"18-29",B2654&lt;45,"30-44",B2654&lt;60,"45-59",B2654&lt;75,"60-74",B2654&lt;=90,"75-90")</f>
        <v>30-44</v>
      </c>
      <c r="M2654" t="str">
        <f>IF(Table1[[#This Row],[length_of_stay_days]]&gt;7,"Yes","No")</f>
        <v>No</v>
      </c>
    </row>
    <row r="2655" spans="1:13" x14ac:dyDescent="0.3">
      <c r="A2655" t="s">
        <v>3054</v>
      </c>
      <c r="B2655">
        <v>69</v>
      </c>
      <c r="C2655" t="s">
        <v>20</v>
      </c>
      <c r="D2655" t="s">
        <v>28</v>
      </c>
      <c r="E2655" t="s">
        <v>21</v>
      </c>
      <c r="F2655" t="s">
        <v>212</v>
      </c>
      <c r="G2655" t="s">
        <v>425</v>
      </c>
      <c r="H2655">
        <v>6</v>
      </c>
      <c r="I2655" s="1">
        <v>6238.12</v>
      </c>
      <c r="J2655" t="s">
        <v>17</v>
      </c>
      <c r="K2655" t="s">
        <v>18</v>
      </c>
      <c r="L2655" t="str" cm="1">
        <f t="array" ref="L2655">_xlfn.IFS(B2655&lt;30,"18-29",B2655&lt;45,"30-44",B2655&lt;60,"45-59",B2655&lt;75,"60-74",B2655&lt;=90,"75-90")</f>
        <v>60-74</v>
      </c>
      <c r="M2655" t="str">
        <f>IF(Table1[[#This Row],[length_of_stay_days]]&gt;7,"Yes","No")</f>
        <v>No</v>
      </c>
    </row>
    <row r="2656" spans="1:13" x14ac:dyDescent="0.3">
      <c r="A2656" t="s">
        <v>3055</v>
      </c>
      <c r="B2656">
        <v>74</v>
      </c>
      <c r="C2656" t="s">
        <v>12</v>
      </c>
      <c r="D2656" t="s">
        <v>46</v>
      </c>
      <c r="E2656" t="s">
        <v>14</v>
      </c>
      <c r="F2656" t="s">
        <v>301</v>
      </c>
      <c r="G2656" t="s">
        <v>95</v>
      </c>
      <c r="H2656">
        <v>8</v>
      </c>
      <c r="I2656" s="1">
        <v>15020.33</v>
      </c>
      <c r="J2656" t="s">
        <v>17</v>
      </c>
      <c r="K2656" t="s">
        <v>18</v>
      </c>
      <c r="L2656" t="str" cm="1">
        <f t="array" ref="L2656">_xlfn.IFS(B2656&lt;30,"18-29",B2656&lt;45,"30-44",B2656&lt;60,"45-59",B2656&lt;75,"60-74",B2656&lt;=90,"75-90")</f>
        <v>60-74</v>
      </c>
      <c r="M2656" t="str">
        <f>IF(Table1[[#This Row],[length_of_stay_days]]&gt;7,"Yes","No")</f>
        <v>Yes</v>
      </c>
    </row>
    <row r="2657" spans="1:13" x14ac:dyDescent="0.3">
      <c r="A2657" t="s">
        <v>3056</v>
      </c>
      <c r="B2657">
        <v>49</v>
      </c>
      <c r="C2657" t="s">
        <v>12</v>
      </c>
      <c r="D2657" t="s">
        <v>55</v>
      </c>
      <c r="E2657" t="s">
        <v>14</v>
      </c>
      <c r="F2657" t="s">
        <v>186</v>
      </c>
      <c r="G2657" t="s">
        <v>591</v>
      </c>
      <c r="H2657">
        <v>6</v>
      </c>
      <c r="I2657" s="1">
        <v>8924.27</v>
      </c>
      <c r="J2657" t="s">
        <v>17</v>
      </c>
      <c r="K2657" t="s">
        <v>18</v>
      </c>
      <c r="L2657" t="str" cm="1">
        <f t="array" ref="L2657">_xlfn.IFS(B2657&lt;30,"18-29",B2657&lt;45,"30-44",B2657&lt;60,"45-59",B2657&lt;75,"60-74",B2657&lt;=90,"75-90")</f>
        <v>45-59</v>
      </c>
      <c r="M2657" t="str">
        <f>IF(Table1[[#This Row],[length_of_stay_days]]&gt;7,"Yes","No")</f>
        <v>No</v>
      </c>
    </row>
    <row r="2658" spans="1:13" x14ac:dyDescent="0.3">
      <c r="A2658" t="s">
        <v>3057</v>
      </c>
      <c r="B2658">
        <v>47</v>
      </c>
      <c r="C2658" t="s">
        <v>12</v>
      </c>
      <c r="D2658" t="s">
        <v>28</v>
      </c>
      <c r="E2658" t="s">
        <v>14</v>
      </c>
      <c r="F2658" t="s">
        <v>701</v>
      </c>
      <c r="G2658" t="s">
        <v>319</v>
      </c>
      <c r="H2658">
        <v>4</v>
      </c>
      <c r="I2658" s="1">
        <v>4834.5</v>
      </c>
      <c r="J2658" t="s">
        <v>49</v>
      </c>
      <c r="K2658" t="s">
        <v>18</v>
      </c>
      <c r="L2658" t="str" cm="1">
        <f t="array" ref="L2658">_xlfn.IFS(B2658&lt;30,"18-29",B2658&lt;45,"30-44",B2658&lt;60,"45-59",B2658&lt;75,"60-74",B2658&lt;=90,"75-90")</f>
        <v>45-59</v>
      </c>
      <c r="M2658" t="str">
        <f>IF(Table1[[#This Row],[length_of_stay_days]]&gt;7,"Yes","No")</f>
        <v>No</v>
      </c>
    </row>
    <row r="2659" spans="1:13" x14ac:dyDescent="0.3">
      <c r="A2659" t="s">
        <v>3058</v>
      </c>
      <c r="B2659">
        <v>24</v>
      </c>
      <c r="C2659" t="s">
        <v>12</v>
      </c>
      <c r="D2659" t="s">
        <v>28</v>
      </c>
      <c r="E2659" t="s">
        <v>28</v>
      </c>
      <c r="F2659" t="s">
        <v>367</v>
      </c>
      <c r="G2659" t="s">
        <v>774</v>
      </c>
      <c r="H2659">
        <v>3</v>
      </c>
      <c r="I2659" s="1">
        <v>4834.93</v>
      </c>
      <c r="J2659" t="s">
        <v>17</v>
      </c>
      <c r="K2659" t="s">
        <v>18</v>
      </c>
      <c r="L2659" t="str" cm="1">
        <f t="array" ref="L2659">_xlfn.IFS(B2659&lt;30,"18-29",B2659&lt;45,"30-44",B2659&lt;60,"45-59",B2659&lt;75,"60-74",B2659&lt;=90,"75-90")</f>
        <v>18-29</v>
      </c>
      <c r="M2659" t="str">
        <f>IF(Table1[[#This Row],[length_of_stay_days]]&gt;7,"Yes","No")</f>
        <v>No</v>
      </c>
    </row>
    <row r="2660" spans="1:13" x14ac:dyDescent="0.3">
      <c r="A2660" t="s">
        <v>3059</v>
      </c>
      <c r="B2660">
        <v>81</v>
      </c>
      <c r="C2660" t="s">
        <v>12</v>
      </c>
      <c r="D2660" t="s">
        <v>28</v>
      </c>
      <c r="E2660" t="s">
        <v>21</v>
      </c>
      <c r="F2660" t="s">
        <v>350</v>
      </c>
      <c r="G2660" t="s">
        <v>26</v>
      </c>
      <c r="H2660">
        <v>5</v>
      </c>
      <c r="I2660" s="1">
        <v>5007.08</v>
      </c>
      <c r="J2660" t="s">
        <v>49</v>
      </c>
      <c r="K2660" t="s">
        <v>18</v>
      </c>
      <c r="L2660" t="str" cm="1">
        <f t="array" ref="L2660">_xlfn.IFS(B2660&lt;30,"18-29",B2660&lt;45,"30-44",B2660&lt;60,"45-59",B2660&lt;75,"60-74",B2660&lt;=90,"75-90")</f>
        <v>75-90</v>
      </c>
      <c r="M2660" t="str">
        <f>IF(Table1[[#This Row],[length_of_stay_days]]&gt;7,"Yes","No")</f>
        <v>No</v>
      </c>
    </row>
    <row r="2661" spans="1:13" x14ac:dyDescent="0.3">
      <c r="A2661" t="s">
        <v>3060</v>
      </c>
      <c r="B2661">
        <v>36</v>
      </c>
      <c r="C2661" t="s">
        <v>12</v>
      </c>
      <c r="D2661" t="s">
        <v>46</v>
      </c>
      <c r="E2661" t="s">
        <v>28</v>
      </c>
      <c r="F2661" t="s">
        <v>80</v>
      </c>
      <c r="G2661" t="s">
        <v>166</v>
      </c>
      <c r="H2661">
        <v>3</v>
      </c>
      <c r="I2661" s="1">
        <v>6929.26</v>
      </c>
      <c r="J2661" t="s">
        <v>17</v>
      </c>
      <c r="K2661" t="s">
        <v>18</v>
      </c>
      <c r="L2661" t="str" cm="1">
        <f t="array" ref="L2661">_xlfn.IFS(B2661&lt;30,"18-29",B2661&lt;45,"30-44",B2661&lt;60,"45-59",B2661&lt;75,"60-74",B2661&lt;=90,"75-90")</f>
        <v>30-44</v>
      </c>
      <c r="M2661" t="str">
        <f>IF(Table1[[#This Row],[length_of_stay_days]]&gt;7,"Yes","No")</f>
        <v>No</v>
      </c>
    </row>
    <row r="2662" spans="1:13" x14ac:dyDescent="0.3">
      <c r="A2662" t="s">
        <v>3061</v>
      </c>
      <c r="B2662">
        <v>90</v>
      </c>
      <c r="C2662" t="s">
        <v>20</v>
      </c>
      <c r="D2662" t="s">
        <v>28</v>
      </c>
      <c r="E2662" t="s">
        <v>28</v>
      </c>
      <c r="F2662" t="s">
        <v>348</v>
      </c>
      <c r="G2662" t="s">
        <v>173</v>
      </c>
      <c r="H2662">
        <v>11</v>
      </c>
      <c r="I2662" s="1">
        <v>10467.93</v>
      </c>
      <c r="J2662" t="s">
        <v>17</v>
      </c>
      <c r="K2662" t="s">
        <v>18</v>
      </c>
      <c r="L2662" t="str" cm="1">
        <f t="array" ref="L2662">_xlfn.IFS(B2662&lt;30,"18-29",B2662&lt;45,"30-44",B2662&lt;60,"45-59",B2662&lt;75,"60-74",B2662&lt;=90,"75-90")</f>
        <v>75-90</v>
      </c>
      <c r="M2662" t="str">
        <f>IF(Table1[[#This Row],[length_of_stay_days]]&gt;7,"Yes","No")</f>
        <v>Yes</v>
      </c>
    </row>
    <row r="2663" spans="1:13" x14ac:dyDescent="0.3">
      <c r="A2663" t="s">
        <v>3062</v>
      </c>
      <c r="B2663">
        <v>22</v>
      </c>
      <c r="C2663" t="s">
        <v>20</v>
      </c>
      <c r="D2663" t="s">
        <v>13</v>
      </c>
      <c r="E2663" t="s">
        <v>14</v>
      </c>
      <c r="F2663" t="s">
        <v>155</v>
      </c>
      <c r="G2663" t="s">
        <v>471</v>
      </c>
      <c r="H2663">
        <v>8</v>
      </c>
      <c r="I2663" s="1">
        <v>12312.11</v>
      </c>
      <c r="J2663" t="s">
        <v>17</v>
      </c>
      <c r="K2663" t="s">
        <v>18</v>
      </c>
      <c r="L2663" t="str" cm="1">
        <f t="array" ref="L2663">_xlfn.IFS(B2663&lt;30,"18-29",B2663&lt;45,"30-44",B2663&lt;60,"45-59",B2663&lt;75,"60-74",B2663&lt;=90,"75-90")</f>
        <v>18-29</v>
      </c>
      <c r="M2663" t="str">
        <f>IF(Table1[[#This Row],[length_of_stay_days]]&gt;7,"Yes","No")</f>
        <v>Yes</v>
      </c>
    </row>
    <row r="2664" spans="1:13" x14ac:dyDescent="0.3">
      <c r="A2664" t="s">
        <v>3063</v>
      </c>
      <c r="B2664">
        <v>75</v>
      </c>
      <c r="C2664" t="s">
        <v>12</v>
      </c>
      <c r="D2664" t="s">
        <v>55</v>
      </c>
      <c r="E2664" t="s">
        <v>28</v>
      </c>
      <c r="F2664" t="s">
        <v>98</v>
      </c>
      <c r="G2664" t="s">
        <v>581</v>
      </c>
      <c r="H2664">
        <v>8</v>
      </c>
      <c r="I2664" s="1">
        <v>12511.29</v>
      </c>
      <c r="J2664" t="s">
        <v>17</v>
      </c>
      <c r="K2664" t="s">
        <v>18</v>
      </c>
      <c r="L2664" t="str" cm="1">
        <f t="array" ref="L2664">_xlfn.IFS(B2664&lt;30,"18-29",B2664&lt;45,"30-44",B2664&lt;60,"45-59",B2664&lt;75,"60-74",B2664&lt;=90,"75-90")</f>
        <v>75-90</v>
      </c>
      <c r="M2664" t="str">
        <f>IF(Table1[[#This Row],[length_of_stay_days]]&gt;7,"Yes","No")</f>
        <v>Yes</v>
      </c>
    </row>
    <row r="2665" spans="1:13" x14ac:dyDescent="0.3">
      <c r="A2665" t="s">
        <v>3064</v>
      </c>
      <c r="B2665">
        <v>28</v>
      </c>
      <c r="C2665" t="s">
        <v>20</v>
      </c>
      <c r="D2665" t="s">
        <v>13</v>
      </c>
      <c r="E2665" t="s">
        <v>21</v>
      </c>
      <c r="F2665" t="s">
        <v>228</v>
      </c>
      <c r="G2665" t="s">
        <v>516</v>
      </c>
      <c r="H2665">
        <v>5</v>
      </c>
      <c r="I2665" s="1">
        <v>7321.41</v>
      </c>
      <c r="J2665" t="s">
        <v>17</v>
      </c>
      <c r="K2665" t="s">
        <v>18</v>
      </c>
      <c r="L2665" t="str" cm="1">
        <f t="array" ref="L2665">_xlfn.IFS(B2665&lt;30,"18-29",B2665&lt;45,"30-44",B2665&lt;60,"45-59",B2665&lt;75,"60-74",B2665&lt;=90,"75-90")</f>
        <v>18-29</v>
      </c>
      <c r="M2665" t="str">
        <f>IF(Table1[[#This Row],[length_of_stay_days]]&gt;7,"Yes","No")</f>
        <v>No</v>
      </c>
    </row>
    <row r="2666" spans="1:13" x14ac:dyDescent="0.3">
      <c r="A2666" t="s">
        <v>3065</v>
      </c>
      <c r="B2666">
        <v>89</v>
      </c>
      <c r="C2666" t="s">
        <v>12</v>
      </c>
      <c r="D2666" t="s">
        <v>46</v>
      </c>
      <c r="E2666" t="s">
        <v>14</v>
      </c>
      <c r="F2666" t="s">
        <v>454</v>
      </c>
      <c r="G2666" t="s">
        <v>558</v>
      </c>
      <c r="H2666">
        <v>6</v>
      </c>
      <c r="I2666" s="1">
        <v>12040.17</v>
      </c>
      <c r="J2666" t="s">
        <v>17</v>
      </c>
      <c r="K2666" t="s">
        <v>18</v>
      </c>
      <c r="L2666" t="str" cm="1">
        <f t="array" ref="L2666">_xlfn.IFS(B2666&lt;30,"18-29",B2666&lt;45,"30-44",B2666&lt;60,"45-59",B2666&lt;75,"60-74",B2666&lt;=90,"75-90")</f>
        <v>75-90</v>
      </c>
      <c r="M2666" t="str">
        <f>IF(Table1[[#This Row],[length_of_stay_days]]&gt;7,"Yes","No")</f>
        <v>No</v>
      </c>
    </row>
    <row r="2667" spans="1:13" x14ac:dyDescent="0.3">
      <c r="A2667" t="s">
        <v>3066</v>
      </c>
      <c r="B2667">
        <v>62</v>
      </c>
      <c r="C2667" t="s">
        <v>20</v>
      </c>
      <c r="D2667" t="s">
        <v>13</v>
      </c>
      <c r="E2667" t="s">
        <v>28</v>
      </c>
      <c r="F2667" t="s">
        <v>846</v>
      </c>
      <c r="G2667" t="s">
        <v>422</v>
      </c>
      <c r="H2667">
        <v>5</v>
      </c>
      <c r="I2667" s="1">
        <v>7760.46</v>
      </c>
      <c r="J2667" t="s">
        <v>17</v>
      </c>
      <c r="K2667" t="s">
        <v>18</v>
      </c>
      <c r="L2667" t="str" cm="1">
        <f t="array" ref="L2667">_xlfn.IFS(B2667&lt;30,"18-29",B2667&lt;45,"30-44",B2667&lt;60,"45-59",B2667&lt;75,"60-74",B2667&lt;=90,"75-90")</f>
        <v>60-74</v>
      </c>
      <c r="M2667" t="str">
        <f>IF(Table1[[#This Row],[length_of_stay_days]]&gt;7,"Yes","No")</f>
        <v>No</v>
      </c>
    </row>
    <row r="2668" spans="1:13" x14ac:dyDescent="0.3">
      <c r="A2668" t="s">
        <v>3067</v>
      </c>
      <c r="B2668">
        <v>39</v>
      </c>
      <c r="C2668" t="s">
        <v>20</v>
      </c>
      <c r="D2668" t="s">
        <v>13</v>
      </c>
      <c r="E2668" t="s">
        <v>14</v>
      </c>
      <c r="F2668" t="s">
        <v>1229</v>
      </c>
      <c r="G2668" t="s">
        <v>158</v>
      </c>
      <c r="H2668">
        <v>3</v>
      </c>
      <c r="I2668" s="1">
        <v>5543.75</v>
      </c>
      <c r="J2668" t="s">
        <v>49</v>
      </c>
      <c r="K2668" t="s">
        <v>18</v>
      </c>
      <c r="L2668" t="str" cm="1">
        <f t="array" ref="L2668">_xlfn.IFS(B2668&lt;30,"18-29",B2668&lt;45,"30-44",B2668&lt;60,"45-59",B2668&lt;75,"60-74",B2668&lt;=90,"75-90")</f>
        <v>30-44</v>
      </c>
      <c r="M2668" t="str">
        <f>IF(Table1[[#This Row],[length_of_stay_days]]&gt;7,"Yes","No")</f>
        <v>No</v>
      </c>
    </row>
    <row r="2669" spans="1:13" x14ac:dyDescent="0.3">
      <c r="A2669" t="s">
        <v>3068</v>
      </c>
      <c r="B2669">
        <v>20</v>
      </c>
      <c r="C2669" t="s">
        <v>20</v>
      </c>
      <c r="D2669" t="s">
        <v>32</v>
      </c>
      <c r="E2669" t="s">
        <v>14</v>
      </c>
      <c r="F2669" t="s">
        <v>493</v>
      </c>
      <c r="G2669" t="s">
        <v>616</v>
      </c>
      <c r="H2669">
        <v>5</v>
      </c>
      <c r="I2669" s="1">
        <v>12584.75</v>
      </c>
      <c r="J2669" t="s">
        <v>17</v>
      </c>
      <c r="K2669" t="s">
        <v>18</v>
      </c>
      <c r="L2669" t="str" cm="1">
        <f t="array" ref="L2669">_xlfn.IFS(B2669&lt;30,"18-29",B2669&lt;45,"30-44",B2669&lt;60,"45-59",B2669&lt;75,"60-74",B2669&lt;=90,"75-90")</f>
        <v>18-29</v>
      </c>
      <c r="M2669" t="str">
        <f>IF(Table1[[#This Row],[length_of_stay_days]]&gt;7,"Yes","No")</f>
        <v>No</v>
      </c>
    </row>
    <row r="2670" spans="1:13" x14ac:dyDescent="0.3">
      <c r="A2670" t="s">
        <v>3069</v>
      </c>
      <c r="B2670">
        <v>55</v>
      </c>
      <c r="C2670" t="s">
        <v>20</v>
      </c>
      <c r="D2670" t="s">
        <v>28</v>
      </c>
      <c r="E2670" t="s">
        <v>28</v>
      </c>
      <c r="F2670" t="s">
        <v>225</v>
      </c>
      <c r="G2670" t="s">
        <v>143</v>
      </c>
      <c r="H2670">
        <v>7</v>
      </c>
      <c r="I2670" s="1">
        <v>5212.0600000000004</v>
      </c>
      <c r="J2670" t="s">
        <v>17</v>
      </c>
      <c r="K2670" t="s">
        <v>18</v>
      </c>
      <c r="L2670" t="str" cm="1">
        <f t="array" ref="L2670">_xlfn.IFS(B2670&lt;30,"18-29",B2670&lt;45,"30-44",B2670&lt;60,"45-59",B2670&lt;75,"60-74",B2670&lt;=90,"75-90")</f>
        <v>45-59</v>
      </c>
      <c r="M2670" t="str">
        <f>IF(Table1[[#This Row],[length_of_stay_days]]&gt;7,"Yes","No")</f>
        <v>No</v>
      </c>
    </row>
    <row r="2671" spans="1:13" x14ac:dyDescent="0.3">
      <c r="A2671" t="s">
        <v>3070</v>
      </c>
      <c r="B2671">
        <v>65</v>
      </c>
      <c r="C2671" t="s">
        <v>12</v>
      </c>
      <c r="D2671" t="s">
        <v>32</v>
      </c>
      <c r="E2671" t="s">
        <v>28</v>
      </c>
      <c r="F2671" t="s">
        <v>783</v>
      </c>
      <c r="G2671" t="s">
        <v>255</v>
      </c>
      <c r="H2671">
        <v>6</v>
      </c>
      <c r="I2671" s="1">
        <v>7337.32</v>
      </c>
      <c r="J2671" t="s">
        <v>17</v>
      </c>
      <c r="K2671" t="s">
        <v>18</v>
      </c>
      <c r="L2671" t="str" cm="1">
        <f t="array" ref="L2671">_xlfn.IFS(B2671&lt;30,"18-29",B2671&lt;45,"30-44",B2671&lt;60,"45-59",B2671&lt;75,"60-74",B2671&lt;=90,"75-90")</f>
        <v>60-74</v>
      </c>
      <c r="M2671" t="str">
        <f>IF(Table1[[#This Row],[length_of_stay_days]]&gt;7,"Yes","No")</f>
        <v>No</v>
      </c>
    </row>
    <row r="2672" spans="1:13" x14ac:dyDescent="0.3">
      <c r="A2672" t="s">
        <v>3071</v>
      </c>
      <c r="B2672">
        <v>46</v>
      </c>
      <c r="C2672" t="s">
        <v>20</v>
      </c>
      <c r="D2672" t="s">
        <v>13</v>
      </c>
      <c r="E2672" t="s">
        <v>14</v>
      </c>
      <c r="F2672" t="s">
        <v>352</v>
      </c>
      <c r="G2672" t="s">
        <v>536</v>
      </c>
      <c r="H2672">
        <v>4</v>
      </c>
      <c r="I2672" s="1">
        <v>7866.28</v>
      </c>
      <c r="J2672" t="s">
        <v>49</v>
      </c>
      <c r="K2672" t="s">
        <v>18</v>
      </c>
      <c r="L2672" t="str" cm="1">
        <f t="array" ref="L2672">_xlfn.IFS(B2672&lt;30,"18-29",B2672&lt;45,"30-44",B2672&lt;60,"45-59",B2672&lt;75,"60-74",B2672&lt;=90,"75-90")</f>
        <v>45-59</v>
      </c>
      <c r="M2672" t="str">
        <f>IF(Table1[[#This Row],[length_of_stay_days]]&gt;7,"Yes","No")</f>
        <v>No</v>
      </c>
    </row>
    <row r="2673" spans="1:13" x14ac:dyDescent="0.3">
      <c r="A2673" t="s">
        <v>3072</v>
      </c>
      <c r="B2673">
        <v>23</v>
      </c>
      <c r="C2673" t="s">
        <v>20</v>
      </c>
      <c r="D2673" t="s">
        <v>46</v>
      </c>
      <c r="E2673" t="s">
        <v>21</v>
      </c>
      <c r="F2673" t="s">
        <v>762</v>
      </c>
      <c r="G2673" t="s">
        <v>174</v>
      </c>
      <c r="H2673">
        <v>8</v>
      </c>
      <c r="I2673" s="1">
        <v>13465.69</v>
      </c>
      <c r="J2673" t="s">
        <v>17</v>
      </c>
      <c r="K2673" t="s">
        <v>18</v>
      </c>
      <c r="L2673" t="str" cm="1">
        <f t="array" ref="L2673">_xlfn.IFS(B2673&lt;30,"18-29",B2673&lt;45,"30-44",B2673&lt;60,"45-59",B2673&lt;75,"60-74",B2673&lt;=90,"75-90")</f>
        <v>18-29</v>
      </c>
      <c r="M2673" t="str">
        <f>IF(Table1[[#This Row],[length_of_stay_days]]&gt;7,"Yes","No")</f>
        <v>Yes</v>
      </c>
    </row>
    <row r="2674" spans="1:13" x14ac:dyDescent="0.3">
      <c r="A2674" t="s">
        <v>3073</v>
      </c>
      <c r="B2674">
        <v>18</v>
      </c>
      <c r="C2674" t="s">
        <v>20</v>
      </c>
      <c r="D2674" t="s">
        <v>13</v>
      </c>
      <c r="E2674" t="s">
        <v>28</v>
      </c>
      <c r="F2674" t="s">
        <v>86</v>
      </c>
      <c r="G2674" t="s">
        <v>186</v>
      </c>
      <c r="H2674">
        <v>4</v>
      </c>
      <c r="I2674" s="1">
        <v>8346.58</v>
      </c>
      <c r="J2674" t="s">
        <v>17</v>
      </c>
      <c r="K2674" t="s">
        <v>18</v>
      </c>
      <c r="L2674" t="str" cm="1">
        <f t="array" ref="L2674">_xlfn.IFS(B2674&lt;30,"18-29",B2674&lt;45,"30-44",B2674&lt;60,"45-59",B2674&lt;75,"60-74",B2674&lt;=90,"75-90")</f>
        <v>18-29</v>
      </c>
      <c r="M2674" t="str">
        <f>IF(Table1[[#This Row],[length_of_stay_days]]&gt;7,"Yes","No")</f>
        <v>No</v>
      </c>
    </row>
    <row r="2675" spans="1:13" x14ac:dyDescent="0.3">
      <c r="A2675" t="s">
        <v>3074</v>
      </c>
      <c r="B2675">
        <v>58</v>
      </c>
      <c r="C2675" t="s">
        <v>20</v>
      </c>
      <c r="D2675" t="s">
        <v>32</v>
      </c>
      <c r="E2675" t="s">
        <v>14</v>
      </c>
      <c r="F2675" t="s">
        <v>1054</v>
      </c>
      <c r="G2675" t="s">
        <v>454</v>
      </c>
      <c r="H2675">
        <v>5</v>
      </c>
      <c r="I2675" s="1">
        <v>10842.07</v>
      </c>
      <c r="J2675" t="s">
        <v>17</v>
      </c>
      <c r="K2675" t="s">
        <v>18</v>
      </c>
      <c r="L2675" t="str" cm="1">
        <f t="array" ref="L2675">_xlfn.IFS(B2675&lt;30,"18-29",B2675&lt;45,"30-44",B2675&lt;60,"45-59",B2675&lt;75,"60-74",B2675&lt;=90,"75-90")</f>
        <v>45-59</v>
      </c>
      <c r="M2675" t="str">
        <f>IF(Table1[[#This Row],[length_of_stay_days]]&gt;7,"Yes","No")</f>
        <v>No</v>
      </c>
    </row>
    <row r="2676" spans="1:13" x14ac:dyDescent="0.3">
      <c r="A2676" t="s">
        <v>3075</v>
      </c>
      <c r="B2676">
        <v>84</v>
      </c>
      <c r="C2676" t="s">
        <v>20</v>
      </c>
      <c r="D2676" t="s">
        <v>55</v>
      </c>
      <c r="E2676" t="s">
        <v>28</v>
      </c>
      <c r="F2676" t="s">
        <v>190</v>
      </c>
      <c r="G2676" t="s">
        <v>341</v>
      </c>
      <c r="H2676">
        <v>5</v>
      </c>
      <c r="I2676" s="1">
        <v>7588.74</v>
      </c>
      <c r="J2676" t="s">
        <v>49</v>
      </c>
      <c r="K2676" t="s">
        <v>18</v>
      </c>
      <c r="L2676" t="str" cm="1">
        <f t="array" ref="L2676">_xlfn.IFS(B2676&lt;30,"18-29",B2676&lt;45,"30-44",B2676&lt;60,"45-59",B2676&lt;75,"60-74",B2676&lt;=90,"75-90")</f>
        <v>75-90</v>
      </c>
      <c r="M2676" t="str">
        <f>IF(Table1[[#This Row],[length_of_stay_days]]&gt;7,"Yes","No")</f>
        <v>No</v>
      </c>
    </row>
    <row r="2677" spans="1:13" x14ac:dyDescent="0.3">
      <c r="A2677" t="s">
        <v>3076</v>
      </c>
      <c r="B2677">
        <v>62</v>
      </c>
      <c r="C2677" t="s">
        <v>20</v>
      </c>
      <c r="D2677" t="s">
        <v>55</v>
      </c>
      <c r="E2677" t="s">
        <v>28</v>
      </c>
      <c r="F2677" t="s">
        <v>322</v>
      </c>
      <c r="G2677" t="s">
        <v>135</v>
      </c>
      <c r="H2677">
        <v>7</v>
      </c>
      <c r="I2677" s="1">
        <v>11336.72</v>
      </c>
      <c r="J2677" t="s">
        <v>17</v>
      </c>
      <c r="K2677" t="s">
        <v>18</v>
      </c>
      <c r="L2677" t="str" cm="1">
        <f t="array" ref="L2677">_xlfn.IFS(B2677&lt;30,"18-29",B2677&lt;45,"30-44",B2677&lt;60,"45-59",B2677&lt;75,"60-74",B2677&lt;=90,"75-90")</f>
        <v>60-74</v>
      </c>
      <c r="M2677" t="str">
        <f>IF(Table1[[#This Row],[length_of_stay_days]]&gt;7,"Yes","No")</f>
        <v>No</v>
      </c>
    </row>
    <row r="2678" spans="1:13" x14ac:dyDescent="0.3">
      <c r="A2678" t="s">
        <v>3077</v>
      </c>
      <c r="B2678">
        <v>26</v>
      </c>
      <c r="C2678" t="s">
        <v>20</v>
      </c>
      <c r="D2678" t="s">
        <v>13</v>
      </c>
      <c r="E2678" t="s">
        <v>14</v>
      </c>
      <c r="F2678" t="s">
        <v>200</v>
      </c>
      <c r="G2678" t="s">
        <v>443</v>
      </c>
      <c r="H2678">
        <v>4</v>
      </c>
      <c r="I2678" s="1">
        <v>7198.07</v>
      </c>
      <c r="J2678" t="s">
        <v>49</v>
      </c>
      <c r="K2678" t="s">
        <v>18</v>
      </c>
      <c r="L2678" t="str" cm="1">
        <f t="array" ref="L2678">_xlfn.IFS(B2678&lt;30,"18-29",B2678&lt;45,"30-44",B2678&lt;60,"45-59",B2678&lt;75,"60-74",B2678&lt;=90,"75-90")</f>
        <v>18-29</v>
      </c>
      <c r="M2678" t="str">
        <f>IF(Table1[[#This Row],[length_of_stay_days]]&gt;7,"Yes","No")</f>
        <v>No</v>
      </c>
    </row>
    <row r="2679" spans="1:13" x14ac:dyDescent="0.3">
      <c r="A2679" t="s">
        <v>3078</v>
      </c>
      <c r="B2679">
        <v>25</v>
      </c>
      <c r="C2679" t="s">
        <v>12</v>
      </c>
      <c r="D2679" t="s">
        <v>13</v>
      </c>
      <c r="E2679" t="s">
        <v>28</v>
      </c>
      <c r="F2679" t="s">
        <v>689</v>
      </c>
      <c r="G2679" t="s">
        <v>264</v>
      </c>
      <c r="H2679">
        <v>6</v>
      </c>
      <c r="I2679" s="1">
        <v>6146.24</v>
      </c>
      <c r="J2679" t="s">
        <v>17</v>
      </c>
      <c r="K2679" t="s">
        <v>18</v>
      </c>
      <c r="L2679" t="str" cm="1">
        <f t="array" ref="L2679">_xlfn.IFS(B2679&lt;30,"18-29",B2679&lt;45,"30-44",B2679&lt;60,"45-59",B2679&lt;75,"60-74",B2679&lt;=90,"75-90")</f>
        <v>18-29</v>
      </c>
      <c r="M2679" t="str">
        <f>IF(Table1[[#This Row],[length_of_stay_days]]&gt;7,"Yes","No")</f>
        <v>No</v>
      </c>
    </row>
    <row r="2680" spans="1:13" x14ac:dyDescent="0.3">
      <c r="A2680" t="s">
        <v>3079</v>
      </c>
      <c r="B2680">
        <v>75</v>
      </c>
      <c r="C2680" t="s">
        <v>12</v>
      </c>
      <c r="D2680" t="s">
        <v>46</v>
      </c>
      <c r="E2680" t="s">
        <v>21</v>
      </c>
      <c r="F2680" t="s">
        <v>774</v>
      </c>
      <c r="G2680" t="s">
        <v>381</v>
      </c>
      <c r="H2680">
        <v>6</v>
      </c>
      <c r="I2680" s="1">
        <v>13058.61</v>
      </c>
      <c r="J2680" t="s">
        <v>17</v>
      </c>
      <c r="K2680" t="s">
        <v>44</v>
      </c>
      <c r="L2680" t="str" cm="1">
        <f t="array" ref="L2680">_xlfn.IFS(B2680&lt;30,"18-29",B2680&lt;45,"30-44",B2680&lt;60,"45-59",B2680&lt;75,"60-74",B2680&lt;=90,"75-90")</f>
        <v>75-90</v>
      </c>
      <c r="M2680" t="str">
        <f>IF(Table1[[#This Row],[length_of_stay_days]]&gt;7,"Yes","No")</f>
        <v>No</v>
      </c>
    </row>
    <row r="2681" spans="1:13" x14ac:dyDescent="0.3">
      <c r="A2681" t="s">
        <v>3080</v>
      </c>
      <c r="B2681">
        <v>20</v>
      </c>
      <c r="C2681" t="s">
        <v>12</v>
      </c>
      <c r="D2681" t="s">
        <v>28</v>
      </c>
      <c r="E2681" t="s">
        <v>14</v>
      </c>
      <c r="F2681" t="s">
        <v>92</v>
      </c>
      <c r="G2681" t="s">
        <v>727</v>
      </c>
      <c r="H2681">
        <v>1</v>
      </c>
      <c r="I2681" s="1">
        <v>3702.73</v>
      </c>
      <c r="J2681" t="s">
        <v>49</v>
      </c>
      <c r="K2681" t="s">
        <v>18</v>
      </c>
      <c r="L2681" t="str" cm="1">
        <f t="array" ref="L2681">_xlfn.IFS(B2681&lt;30,"18-29",B2681&lt;45,"30-44",B2681&lt;60,"45-59",B2681&lt;75,"60-74",B2681&lt;=90,"75-90")</f>
        <v>18-29</v>
      </c>
      <c r="M2681" t="str">
        <f>IF(Table1[[#This Row],[length_of_stay_days]]&gt;7,"Yes","No")</f>
        <v>No</v>
      </c>
    </row>
    <row r="2682" spans="1:13" x14ac:dyDescent="0.3">
      <c r="A2682" t="s">
        <v>3081</v>
      </c>
      <c r="B2682">
        <v>90</v>
      </c>
      <c r="C2682" t="s">
        <v>12</v>
      </c>
      <c r="D2682" t="s">
        <v>51</v>
      </c>
      <c r="E2682" t="s">
        <v>28</v>
      </c>
      <c r="F2682" t="s">
        <v>132</v>
      </c>
      <c r="G2682" t="s">
        <v>263</v>
      </c>
      <c r="H2682">
        <v>5</v>
      </c>
      <c r="I2682" s="1">
        <v>10200.41</v>
      </c>
      <c r="J2682" t="s">
        <v>49</v>
      </c>
      <c r="K2682" t="s">
        <v>18</v>
      </c>
      <c r="L2682" t="str" cm="1">
        <f t="array" ref="L2682">_xlfn.IFS(B2682&lt;30,"18-29",B2682&lt;45,"30-44",B2682&lt;60,"45-59",B2682&lt;75,"60-74",B2682&lt;=90,"75-90")</f>
        <v>75-90</v>
      </c>
      <c r="M2682" t="str">
        <f>IF(Table1[[#This Row],[length_of_stay_days]]&gt;7,"Yes","No")</f>
        <v>No</v>
      </c>
    </row>
    <row r="2683" spans="1:13" x14ac:dyDescent="0.3">
      <c r="A2683" t="s">
        <v>3082</v>
      </c>
      <c r="B2683">
        <v>59</v>
      </c>
      <c r="C2683" t="s">
        <v>20</v>
      </c>
      <c r="D2683" t="s">
        <v>32</v>
      </c>
      <c r="E2683" t="s">
        <v>28</v>
      </c>
      <c r="F2683" t="s">
        <v>348</v>
      </c>
      <c r="G2683" t="s">
        <v>493</v>
      </c>
      <c r="H2683">
        <v>7</v>
      </c>
      <c r="I2683" s="1">
        <v>12277.76</v>
      </c>
      <c r="J2683" t="s">
        <v>17</v>
      </c>
      <c r="K2683" t="s">
        <v>18</v>
      </c>
      <c r="L2683" t="str" cm="1">
        <f t="array" ref="L2683">_xlfn.IFS(B2683&lt;30,"18-29",B2683&lt;45,"30-44",B2683&lt;60,"45-59",B2683&lt;75,"60-74",B2683&lt;=90,"75-90")</f>
        <v>45-59</v>
      </c>
      <c r="M2683" t="str">
        <f>IF(Table1[[#This Row],[length_of_stay_days]]&gt;7,"Yes","No")</f>
        <v>No</v>
      </c>
    </row>
    <row r="2684" spans="1:13" x14ac:dyDescent="0.3">
      <c r="A2684" t="s">
        <v>3083</v>
      </c>
      <c r="B2684">
        <v>79</v>
      </c>
      <c r="C2684" t="s">
        <v>12</v>
      </c>
      <c r="D2684" t="s">
        <v>32</v>
      </c>
      <c r="E2684" t="s">
        <v>28</v>
      </c>
      <c r="F2684" t="s">
        <v>941</v>
      </c>
      <c r="G2684" t="s">
        <v>683</v>
      </c>
      <c r="H2684">
        <v>4</v>
      </c>
      <c r="I2684" s="1">
        <v>9887.18</v>
      </c>
      <c r="J2684" t="s">
        <v>17</v>
      </c>
      <c r="K2684" t="s">
        <v>18</v>
      </c>
      <c r="L2684" t="str" cm="1">
        <f t="array" ref="L2684">_xlfn.IFS(B2684&lt;30,"18-29",B2684&lt;45,"30-44",B2684&lt;60,"45-59",B2684&lt;75,"60-74",B2684&lt;=90,"75-90")</f>
        <v>75-90</v>
      </c>
      <c r="M2684" t="str">
        <f>IF(Table1[[#This Row],[length_of_stay_days]]&gt;7,"Yes","No")</f>
        <v>No</v>
      </c>
    </row>
    <row r="2685" spans="1:13" x14ac:dyDescent="0.3">
      <c r="A2685" t="s">
        <v>3084</v>
      </c>
      <c r="B2685">
        <v>27</v>
      </c>
      <c r="C2685" t="s">
        <v>20</v>
      </c>
      <c r="D2685" t="s">
        <v>51</v>
      </c>
      <c r="E2685" t="s">
        <v>14</v>
      </c>
      <c r="F2685" t="s">
        <v>39</v>
      </c>
      <c r="G2685" t="s">
        <v>40</v>
      </c>
      <c r="H2685">
        <v>3</v>
      </c>
      <c r="I2685" s="1">
        <v>9096.5499999999993</v>
      </c>
      <c r="J2685" t="s">
        <v>49</v>
      </c>
      <c r="K2685" t="s">
        <v>18</v>
      </c>
      <c r="L2685" t="str" cm="1">
        <f t="array" ref="L2685">_xlfn.IFS(B2685&lt;30,"18-29",B2685&lt;45,"30-44",B2685&lt;60,"45-59",B2685&lt;75,"60-74",B2685&lt;=90,"75-90")</f>
        <v>18-29</v>
      </c>
      <c r="M2685" t="str">
        <f>IF(Table1[[#This Row],[length_of_stay_days]]&gt;7,"Yes","No")</f>
        <v>No</v>
      </c>
    </row>
    <row r="2686" spans="1:13" x14ac:dyDescent="0.3">
      <c r="A2686" t="s">
        <v>3085</v>
      </c>
      <c r="B2686">
        <v>55</v>
      </c>
      <c r="C2686" t="s">
        <v>20</v>
      </c>
      <c r="D2686" t="s">
        <v>13</v>
      </c>
      <c r="E2686" t="s">
        <v>21</v>
      </c>
      <c r="F2686" t="s">
        <v>451</v>
      </c>
      <c r="G2686" t="s">
        <v>186</v>
      </c>
      <c r="H2686">
        <v>6</v>
      </c>
      <c r="I2686" s="1">
        <v>10254.86</v>
      </c>
      <c r="J2686" t="s">
        <v>17</v>
      </c>
      <c r="K2686" t="s">
        <v>18</v>
      </c>
      <c r="L2686" t="str" cm="1">
        <f t="array" ref="L2686">_xlfn.IFS(B2686&lt;30,"18-29",B2686&lt;45,"30-44",B2686&lt;60,"45-59",B2686&lt;75,"60-74",B2686&lt;=90,"75-90")</f>
        <v>45-59</v>
      </c>
      <c r="M2686" t="str">
        <f>IF(Table1[[#This Row],[length_of_stay_days]]&gt;7,"Yes","No")</f>
        <v>No</v>
      </c>
    </row>
    <row r="2687" spans="1:13" x14ac:dyDescent="0.3">
      <c r="A2687" t="s">
        <v>3086</v>
      </c>
      <c r="B2687">
        <v>42</v>
      </c>
      <c r="C2687" t="s">
        <v>12</v>
      </c>
      <c r="D2687" t="s">
        <v>32</v>
      </c>
      <c r="E2687" t="s">
        <v>28</v>
      </c>
      <c r="F2687" t="s">
        <v>158</v>
      </c>
      <c r="G2687" t="s">
        <v>194</v>
      </c>
      <c r="H2687">
        <v>6</v>
      </c>
      <c r="I2687" s="1">
        <v>11320.01</v>
      </c>
      <c r="J2687" t="s">
        <v>17</v>
      </c>
      <c r="K2687" t="s">
        <v>18</v>
      </c>
      <c r="L2687" t="str" cm="1">
        <f t="array" ref="L2687">_xlfn.IFS(B2687&lt;30,"18-29",B2687&lt;45,"30-44",B2687&lt;60,"45-59",B2687&lt;75,"60-74",B2687&lt;=90,"75-90")</f>
        <v>30-44</v>
      </c>
      <c r="M2687" t="str">
        <f>IF(Table1[[#This Row],[length_of_stay_days]]&gt;7,"Yes","No")</f>
        <v>No</v>
      </c>
    </row>
    <row r="2688" spans="1:13" x14ac:dyDescent="0.3">
      <c r="A2688" t="s">
        <v>3087</v>
      </c>
      <c r="B2688">
        <v>68</v>
      </c>
      <c r="C2688" t="s">
        <v>12</v>
      </c>
      <c r="D2688" t="s">
        <v>32</v>
      </c>
      <c r="E2688" t="s">
        <v>21</v>
      </c>
      <c r="F2688" t="s">
        <v>360</v>
      </c>
      <c r="G2688" t="s">
        <v>364</v>
      </c>
      <c r="H2688">
        <v>6</v>
      </c>
      <c r="I2688" s="1">
        <v>11295.36</v>
      </c>
      <c r="J2688" t="s">
        <v>17</v>
      </c>
      <c r="K2688" t="s">
        <v>18</v>
      </c>
      <c r="L2688" t="str" cm="1">
        <f t="array" ref="L2688">_xlfn.IFS(B2688&lt;30,"18-29",B2688&lt;45,"30-44",B2688&lt;60,"45-59",B2688&lt;75,"60-74",B2688&lt;=90,"75-90")</f>
        <v>60-74</v>
      </c>
      <c r="M2688" t="str">
        <f>IF(Table1[[#This Row],[length_of_stay_days]]&gt;7,"Yes","No")</f>
        <v>No</v>
      </c>
    </row>
    <row r="2689" spans="1:13" x14ac:dyDescent="0.3">
      <c r="A2689" t="s">
        <v>3088</v>
      </c>
      <c r="B2689">
        <v>50</v>
      </c>
      <c r="C2689" t="s">
        <v>20</v>
      </c>
      <c r="D2689" t="s">
        <v>28</v>
      </c>
      <c r="E2689" t="s">
        <v>21</v>
      </c>
      <c r="F2689" t="s">
        <v>42</v>
      </c>
      <c r="G2689" t="s">
        <v>543</v>
      </c>
      <c r="H2689">
        <v>3</v>
      </c>
      <c r="I2689" s="1">
        <v>3976.27</v>
      </c>
      <c r="J2689" t="s">
        <v>49</v>
      </c>
      <c r="K2689" t="s">
        <v>18</v>
      </c>
      <c r="L2689" t="str" cm="1">
        <f t="array" ref="L2689">_xlfn.IFS(B2689&lt;30,"18-29",B2689&lt;45,"30-44",B2689&lt;60,"45-59",B2689&lt;75,"60-74",B2689&lt;=90,"75-90")</f>
        <v>45-59</v>
      </c>
      <c r="M2689" t="str">
        <f>IF(Table1[[#This Row],[length_of_stay_days]]&gt;7,"Yes","No")</f>
        <v>No</v>
      </c>
    </row>
    <row r="2690" spans="1:13" x14ac:dyDescent="0.3">
      <c r="A2690" t="s">
        <v>3089</v>
      </c>
      <c r="B2690">
        <v>63</v>
      </c>
      <c r="C2690" t="s">
        <v>20</v>
      </c>
      <c r="D2690" t="s">
        <v>51</v>
      </c>
      <c r="E2690" t="s">
        <v>14</v>
      </c>
      <c r="F2690" t="s">
        <v>712</v>
      </c>
      <c r="G2690" t="s">
        <v>154</v>
      </c>
      <c r="H2690">
        <v>5</v>
      </c>
      <c r="I2690" s="1">
        <v>8226.1299999999992</v>
      </c>
      <c r="J2690" t="s">
        <v>17</v>
      </c>
      <c r="K2690" t="s">
        <v>18</v>
      </c>
      <c r="L2690" t="str" cm="1">
        <f t="array" ref="L2690">_xlfn.IFS(B2690&lt;30,"18-29",B2690&lt;45,"30-44",B2690&lt;60,"45-59",B2690&lt;75,"60-74",B2690&lt;=90,"75-90")</f>
        <v>60-74</v>
      </c>
      <c r="M2690" t="str">
        <f>IF(Table1[[#This Row],[length_of_stay_days]]&gt;7,"Yes","No")</f>
        <v>No</v>
      </c>
    </row>
    <row r="2691" spans="1:13" x14ac:dyDescent="0.3">
      <c r="A2691" t="s">
        <v>3090</v>
      </c>
      <c r="B2691">
        <v>34</v>
      </c>
      <c r="C2691" t="s">
        <v>12</v>
      </c>
      <c r="D2691" t="s">
        <v>13</v>
      </c>
      <c r="E2691" t="s">
        <v>28</v>
      </c>
      <c r="F2691" t="s">
        <v>471</v>
      </c>
      <c r="G2691" t="s">
        <v>314</v>
      </c>
      <c r="H2691">
        <v>3</v>
      </c>
      <c r="I2691" s="1">
        <v>3623.09</v>
      </c>
      <c r="J2691" t="s">
        <v>17</v>
      </c>
      <c r="K2691" t="s">
        <v>18</v>
      </c>
      <c r="L2691" t="str" cm="1">
        <f t="array" ref="L2691">_xlfn.IFS(B2691&lt;30,"18-29",B2691&lt;45,"30-44",B2691&lt;60,"45-59",B2691&lt;75,"60-74",B2691&lt;=90,"75-90")</f>
        <v>30-44</v>
      </c>
      <c r="M2691" t="str">
        <f>IF(Table1[[#This Row],[length_of_stay_days]]&gt;7,"Yes","No")</f>
        <v>No</v>
      </c>
    </row>
    <row r="2692" spans="1:13" x14ac:dyDescent="0.3">
      <c r="A2692" t="s">
        <v>3091</v>
      </c>
      <c r="B2692">
        <v>41</v>
      </c>
      <c r="C2692" t="s">
        <v>20</v>
      </c>
      <c r="D2692" t="s">
        <v>55</v>
      </c>
      <c r="E2692" t="s">
        <v>14</v>
      </c>
      <c r="F2692" t="s">
        <v>56</v>
      </c>
      <c r="G2692" t="s">
        <v>616</v>
      </c>
      <c r="H2692">
        <v>6</v>
      </c>
      <c r="I2692" s="1">
        <v>11328.58</v>
      </c>
      <c r="J2692" t="s">
        <v>49</v>
      </c>
      <c r="K2692" t="s">
        <v>18</v>
      </c>
      <c r="L2692" t="str" cm="1">
        <f t="array" ref="L2692">_xlfn.IFS(B2692&lt;30,"18-29",B2692&lt;45,"30-44",B2692&lt;60,"45-59",B2692&lt;75,"60-74",B2692&lt;=90,"75-90")</f>
        <v>30-44</v>
      </c>
      <c r="M2692" t="str">
        <f>IF(Table1[[#This Row],[length_of_stay_days]]&gt;7,"Yes","No")</f>
        <v>No</v>
      </c>
    </row>
    <row r="2693" spans="1:13" x14ac:dyDescent="0.3">
      <c r="A2693" t="s">
        <v>3092</v>
      </c>
      <c r="B2693">
        <v>68</v>
      </c>
      <c r="C2693" t="s">
        <v>12</v>
      </c>
      <c r="D2693" t="s">
        <v>28</v>
      </c>
      <c r="E2693" t="s">
        <v>14</v>
      </c>
      <c r="F2693" t="s">
        <v>361</v>
      </c>
      <c r="G2693" t="s">
        <v>730</v>
      </c>
      <c r="H2693">
        <v>5</v>
      </c>
      <c r="I2693" s="1">
        <v>5959.24</v>
      </c>
      <c r="J2693" t="s">
        <v>17</v>
      </c>
      <c r="K2693" t="s">
        <v>18</v>
      </c>
      <c r="L2693" t="str" cm="1">
        <f t="array" ref="L2693">_xlfn.IFS(B2693&lt;30,"18-29",B2693&lt;45,"30-44",B2693&lt;60,"45-59",B2693&lt;75,"60-74",B2693&lt;=90,"75-90")</f>
        <v>60-74</v>
      </c>
      <c r="M2693" t="str">
        <f>IF(Table1[[#This Row],[length_of_stay_days]]&gt;7,"Yes","No")</f>
        <v>No</v>
      </c>
    </row>
    <row r="2694" spans="1:13" x14ac:dyDescent="0.3">
      <c r="A2694" t="s">
        <v>3093</v>
      </c>
      <c r="B2694">
        <v>61</v>
      </c>
      <c r="C2694" t="s">
        <v>20</v>
      </c>
      <c r="D2694" t="s">
        <v>55</v>
      </c>
      <c r="E2694" t="s">
        <v>28</v>
      </c>
      <c r="F2694" t="s">
        <v>34</v>
      </c>
      <c r="G2694" t="s">
        <v>179</v>
      </c>
      <c r="H2694">
        <v>11</v>
      </c>
      <c r="I2694" s="1">
        <v>13406.05</v>
      </c>
      <c r="J2694" t="s">
        <v>17</v>
      </c>
      <c r="K2694" t="s">
        <v>18</v>
      </c>
      <c r="L2694" t="str" cm="1">
        <f t="array" ref="L2694">_xlfn.IFS(B2694&lt;30,"18-29",B2694&lt;45,"30-44",B2694&lt;60,"45-59",B2694&lt;75,"60-74",B2694&lt;=90,"75-90")</f>
        <v>60-74</v>
      </c>
      <c r="M2694" t="str">
        <f>IF(Table1[[#This Row],[length_of_stay_days]]&gt;7,"Yes","No")</f>
        <v>Yes</v>
      </c>
    </row>
    <row r="2695" spans="1:13" x14ac:dyDescent="0.3">
      <c r="A2695" t="s">
        <v>3094</v>
      </c>
      <c r="B2695">
        <v>77</v>
      </c>
      <c r="C2695" t="s">
        <v>70</v>
      </c>
      <c r="D2695" t="s">
        <v>32</v>
      </c>
      <c r="E2695" t="s">
        <v>28</v>
      </c>
      <c r="F2695" t="s">
        <v>386</v>
      </c>
      <c r="G2695" t="s">
        <v>358</v>
      </c>
      <c r="H2695">
        <v>7</v>
      </c>
      <c r="I2695" s="1">
        <v>13728.94</v>
      </c>
      <c r="J2695" t="s">
        <v>49</v>
      </c>
      <c r="K2695" t="s">
        <v>18</v>
      </c>
      <c r="L2695" t="str" cm="1">
        <f t="array" ref="L2695">_xlfn.IFS(B2695&lt;30,"18-29",B2695&lt;45,"30-44",B2695&lt;60,"45-59",B2695&lt;75,"60-74",B2695&lt;=90,"75-90")</f>
        <v>75-90</v>
      </c>
      <c r="M2695" t="str">
        <f>IF(Table1[[#This Row],[length_of_stay_days]]&gt;7,"Yes","No")</f>
        <v>No</v>
      </c>
    </row>
    <row r="2696" spans="1:13" x14ac:dyDescent="0.3">
      <c r="A2696" t="s">
        <v>3095</v>
      </c>
      <c r="B2696">
        <v>32</v>
      </c>
      <c r="C2696" t="s">
        <v>20</v>
      </c>
      <c r="D2696" t="s">
        <v>13</v>
      </c>
      <c r="E2696" t="s">
        <v>28</v>
      </c>
      <c r="F2696" t="s">
        <v>114</v>
      </c>
      <c r="G2696" t="s">
        <v>344</v>
      </c>
      <c r="H2696">
        <v>4</v>
      </c>
      <c r="I2696" s="1">
        <v>8061.39</v>
      </c>
      <c r="J2696" t="s">
        <v>17</v>
      </c>
      <c r="K2696" t="s">
        <v>18</v>
      </c>
      <c r="L2696" t="str" cm="1">
        <f t="array" ref="L2696">_xlfn.IFS(B2696&lt;30,"18-29",B2696&lt;45,"30-44",B2696&lt;60,"45-59",B2696&lt;75,"60-74",B2696&lt;=90,"75-90")</f>
        <v>30-44</v>
      </c>
      <c r="M2696" t="str">
        <f>IF(Table1[[#This Row],[length_of_stay_days]]&gt;7,"Yes","No")</f>
        <v>No</v>
      </c>
    </row>
    <row r="2697" spans="1:13" x14ac:dyDescent="0.3">
      <c r="A2697" t="s">
        <v>3096</v>
      </c>
      <c r="B2697">
        <v>90</v>
      </c>
      <c r="C2697" t="s">
        <v>12</v>
      </c>
      <c r="D2697" t="s">
        <v>13</v>
      </c>
      <c r="E2697" t="s">
        <v>14</v>
      </c>
      <c r="F2697" t="s">
        <v>77</v>
      </c>
      <c r="G2697" t="s">
        <v>157</v>
      </c>
      <c r="H2697">
        <v>4</v>
      </c>
      <c r="I2697" s="1">
        <v>8095.05</v>
      </c>
      <c r="J2697" t="s">
        <v>17</v>
      </c>
      <c r="K2697" t="s">
        <v>18</v>
      </c>
      <c r="L2697" t="str" cm="1">
        <f t="array" ref="L2697">_xlfn.IFS(B2697&lt;30,"18-29",B2697&lt;45,"30-44",B2697&lt;60,"45-59",B2697&lt;75,"60-74",B2697&lt;=90,"75-90")</f>
        <v>75-90</v>
      </c>
      <c r="M2697" t="str">
        <f>IF(Table1[[#This Row],[length_of_stay_days]]&gt;7,"Yes","No")</f>
        <v>No</v>
      </c>
    </row>
    <row r="2698" spans="1:13" x14ac:dyDescent="0.3">
      <c r="A2698" t="s">
        <v>3097</v>
      </c>
      <c r="B2698">
        <v>76</v>
      </c>
      <c r="C2698" t="s">
        <v>12</v>
      </c>
      <c r="D2698" t="s">
        <v>46</v>
      </c>
      <c r="E2698" t="s">
        <v>28</v>
      </c>
      <c r="F2698" t="s">
        <v>898</v>
      </c>
      <c r="G2698" t="s">
        <v>491</v>
      </c>
      <c r="H2698">
        <v>7</v>
      </c>
      <c r="I2698" s="1">
        <v>12921.79</v>
      </c>
      <c r="J2698" t="s">
        <v>49</v>
      </c>
      <c r="K2698" t="s">
        <v>18</v>
      </c>
      <c r="L2698" t="str" cm="1">
        <f t="array" ref="L2698">_xlfn.IFS(B2698&lt;30,"18-29",B2698&lt;45,"30-44",B2698&lt;60,"45-59",B2698&lt;75,"60-74",B2698&lt;=90,"75-90")</f>
        <v>75-90</v>
      </c>
      <c r="M2698" t="str">
        <f>IF(Table1[[#This Row],[length_of_stay_days]]&gt;7,"Yes","No")</f>
        <v>No</v>
      </c>
    </row>
    <row r="2699" spans="1:13" x14ac:dyDescent="0.3">
      <c r="A2699" t="s">
        <v>3098</v>
      </c>
      <c r="B2699">
        <v>45</v>
      </c>
      <c r="C2699" t="s">
        <v>20</v>
      </c>
      <c r="D2699" t="s">
        <v>28</v>
      </c>
      <c r="E2699" t="s">
        <v>14</v>
      </c>
      <c r="F2699" t="s">
        <v>376</v>
      </c>
      <c r="G2699" t="s">
        <v>226</v>
      </c>
      <c r="H2699">
        <v>2</v>
      </c>
      <c r="I2699" s="1">
        <v>4504.67</v>
      </c>
      <c r="J2699" t="s">
        <v>17</v>
      </c>
      <c r="K2699" t="s">
        <v>18</v>
      </c>
      <c r="L2699" t="str" cm="1">
        <f t="array" ref="L2699">_xlfn.IFS(B2699&lt;30,"18-29",B2699&lt;45,"30-44",B2699&lt;60,"45-59",B2699&lt;75,"60-74",B2699&lt;=90,"75-90")</f>
        <v>45-59</v>
      </c>
      <c r="M2699" t="str">
        <f>IF(Table1[[#This Row],[length_of_stay_days]]&gt;7,"Yes","No")</f>
        <v>No</v>
      </c>
    </row>
    <row r="2700" spans="1:13" x14ac:dyDescent="0.3">
      <c r="A2700" t="s">
        <v>3099</v>
      </c>
      <c r="B2700">
        <v>83</v>
      </c>
      <c r="C2700" t="s">
        <v>20</v>
      </c>
      <c r="D2700" t="s">
        <v>28</v>
      </c>
      <c r="E2700" t="s">
        <v>28</v>
      </c>
      <c r="F2700" t="s">
        <v>778</v>
      </c>
      <c r="G2700" t="s">
        <v>252</v>
      </c>
      <c r="H2700">
        <v>4</v>
      </c>
      <c r="I2700" s="1">
        <v>5906.21</v>
      </c>
      <c r="J2700" t="s">
        <v>49</v>
      </c>
      <c r="K2700" t="s">
        <v>18</v>
      </c>
      <c r="L2700" t="str" cm="1">
        <f t="array" ref="L2700">_xlfn.IFS(B2700&lt;30,"18-29",B2700&lt;45,"30-44",B2700&lt;60,"45-59",B2700&lt;75,"60-74",B2700&lt;=90,"75-90")</f>
        <v>75-90</v>
      </c>
      <c r="M2700" t="str">
        <f>IF(Table1[[#This Row],[length_of_stay_days]]&gt;7,"Yes","No")</f>
        <v>No</v>
      </c>
    </row>
    <row r="2701" spans="1:13" x14ac:dyDescent="0.3">
      <c r="A2701" t="s">
        <v>3100</v>
      </c>
      <c r="B2701">
        <v>73</v>
      </c>
      <c r="C2701" t="s">
        <v>12</v>
      </c>
      <c r="D2701" t="s">
        <v>32</v>
      </c>
      <c r="E2701" t="s">
        <v>28</v>
      </c>
      <c r="F2701" t="s">
        <v>118</v>
      </c>
      <c r="G2701" t="s">
        <v>246</v>
      </c>
      <c r="H2701">
        <v>11</v>
      </c>
      <c r="I2701" s="1">
        <v>13856.45</v>
      </c>
      <c r="J2701" t="s">
        <v>17</v>
      </c>
      <c r="K2701" t="s">
        <v>18</v>
      </c>
      <c r="L2701" t="str" cm="1">
        <f t="array" ref="L2701">_xlfn.IFS(B2701&lt;30,"18-29",B2701&lt;45,"30-44",B2701&lt;60,"45-59",B2701&lt;75,"60-74",B2701&lt;=90,"75-90")</f>
        <v>60-74</v>
      </c>
      <c r="M2701" t="str">
        <f>IF(Table1[[#This Row],[length_of_stay_days]]&gt;7,"Yes","No")</f>
        <v>Yes</v>
      </c>
    </row>
    <row r="2702" spans="1:13" x14ac:dyDescent="0.3">
      <c r="A2702" t="s">
        <v>3101</v>
      </c>
      <c r="B2702">
        <v>45</v>
      </c>
      <c r="C2702" t="s">
        <v>20</v>
      </c>
      <c r="D2702" t="s">
        <v>13</v>
      </c>
      <c r="E2702" t="s">
        <v>28</v>
      </c>
      <c r="F2702" t="s">
        <v>730</v>
      </c>
      <c r="H2702">
        <v>4</v>
      </c>
      <c r="I2702" s="1">
        <v>7679.94</v>
      </c>
      <c r="J2702" t="s">
        <v>17</v>
      </c>
      <c r="K2702" t="s">
        <v>18</v>
      </c>
      <c r="L2702" t="str" cm="1">
        <f t="array" ref="L2702">_xlfn.IFS(B2702&lt;30,"18-29",B2702&lt;45,"30-44",B2702&lt;60,"45-59",B2702&lt;75,"60-74",B2702&lt;=90,"75-90")</f>
        <v>45-59</v>
      </c>
      <c r="M2702" t="str">
        <f>IF(Table1[[#This Row],[length_of_stay_days]]&gt;7,"Yes","No")</f>
        <v>No</v>
      </c>
    </row>
    <row r="2703" spans="1:13" x14ac:dyDescent="0.3">
      <c r="A2703" t="s">
        <v>3102</v>
      </c>
      <c r="B2703">
        <v>50</v>
      </c>
      <c r="C2703" t="s">
        <v>12</v>
      </c>
      <c r="D2703" t="s">
        <v>13</v>
      </c>
      <c r="E2703" t="s">
        <v>14</v>
      </c>
      <c r="F2703" t="s">
        <v>852</v>
      </c>
      <c r="G2703" t="s">
        <v>29</v>
      </c>
      <c r="H2703">
        <v>4</v>
      </c>
      <c r="I2703" s="1">
        <v>7294.93</v>
      </c>
      <c r="J2703" t="s">
        <v>17</v>
      </c>
      <c r="K2703" t="s">
        <v>18</v>
      </c>
      <c r="L2703" t="str" cm="1">
        <f t="array" ref="L2703">_xlfn.IFS(B2703&lt;30,"18-29",B2703&lt;45,"30-44",B2703&lt;60,"45-59",B2703&lt;75,"60-74",B2703&lt;=90,"75-90")</f>
        <v>45-59</v>
      </c>
      <c r="M2703" t="str">
        <f>IF(Table1[[#This Row],[length_of_stay_days]]&gt;7,"Yes","No")</f>
        <v>No</v>
      </c>
    </row>
    <row r="2704" spans="1:13" x14ac:dyDescent="0.3">
      <c r="A2704" t="s">
        <v>3103</v>
      </c>
      <c r="B2704">
        <v>57</v>
      </c>
      <c r="C2704" t="s">
        <v>20</v>
      </c>
      <c r="D2704" t="s">
        <v>13</v>
      </c>
      <c r="E2704" t="s">
        <v>28</v>
      </c>
      <c r="F2704" t="s">
        <v>217</v>
      </c>
      <c r="G2704" t="s">
        <v>105</v>
      </c>
      <c r="H2704">
        <v>4</v>
      </c>
      <c r="I2704" s="1">
        <v>5420.06</v>
      </c>
      <c r="J2704" t="s">
        <v>17</v>
      </c>
      <c r="K2704" t="s">
        <v>44</v>
      </c>
      <c r="L2704" t="str" cm="1">
        <f t="array" ref="L2704">_xlfn.IFS(B2704&lt;30,"18-29",B2704&lt;45,"30-44",B2704&lt;60,"45-59",B2704&lt;75,"60-74",B2704&lt;=90,"75-90")</f>
        <v>45-59</v>
      </c>
      <c r="M2704" t="str">
        <f>IF(Table1[[#This Row],[length_of_stay_days]]&gt;7,"Yes","No")</f>
        <v>No</v>
      </c>
    </row>
    <row r="2705" spans="1:13" x14ac:dyDescent="0.3">
      <c r="A2705" t="s">
        <v>3104</v>
      </c>
      <c r="B2705">
        <v>69</v>
      </c>
      <c r="C2705" t="s">
        <v>12</v>
      </c>
      <c r="D2705" t="s">
        <v>51</v>
      </c>
      <c r="E2705" t="s">
        <v>28</v>
      </c>
      <c r="F2705" t="s">
        <v>43</v>
      </c>
      <c r="G2705" t="s">
        <v>234</v>
      </c>
      <c r="H2705">
        <v>7</v>
      </c>
      <c r="I2705" s="1">
        <v>14409.09</v>
      </c>
      <c r="J2705" t="s">
        <v>49</v>
      </c>
      <c r="K2705" t="s">
        <v>18</v>
      </c>
      <c r="L2705" t="str" cm="1">
        <f t="array" ref="L2705">_xlfn.IFS(B2705&lt;30,"18-29",B2705&lt;45,"30-44",B2705&lt;60,"45-59",B2705&lt;75,"60-74",B2705&lt;=90,"75-90")</f>
        <v>60-74</v>
      </c>
      <c r="M2705" t="str">
        <f>IF(Table1[[#This Row],[length_of_stay_days]]&gt;7,"Yes","No")</f>
        <v>No</v>
      </c>
    </row>
    <row r="2706" spans="1:13" x14ac:dyDescent="0.3">
      <c r="A2706" t="s">
        <v>3105</v>
      </c>
      <c r="B2706">
        <v>39</v>
      </c>
      <c r="C2706" t="s">
        <v>12</v>
      </c>
      <c r="D2706" t="s">
        <v>46</v>
      </c>
      <c r="E2706" t="s">
        <v>21</v>
      </c>
      <c r="F2706" t="s">
        <v>456</v>
      </c>
      <c r="G2706" t="s">
        <v>787</v>
      </c>
      <c r="H2706">
        <v>5</v>
      </c>
      <c r="I2706" s="1">
        <v>11652.59</v>
      </c>
      <c r="J2706" t="s">
        <v>17</v>
      </c>
      <c r="K2706" t="s">
        <v>44</v>
      </c>
      <c r="L2706" t="str" cm="1">
        <f t="array" ref="L2706">_xlfn.IFS(B2706&lt;30,"18-29",B2706&lt;45,"30-44",B2706&lt;60,"45-59",B2706&lt;75,"60-74",B2706&lt;=90,"75-90")</f>
        <v>30-44</v>
      </c>
      <c r="M2706" t="str">
        <f>IF(Table1[[#This Row],[length_of_stay_days]]&gt;7,"Yes","No")</f>
        <v>No</v>
      </c>
    </row>
    <row r="2707" spans="1:13" x14ac:dyDescent="0.3">
      <c r="A2707" t="s">
        <v>3106</v>
      </c>
      <c r="B2707">
        <v>27</v>
      </c>
      <c r="C2707" t="s">
        <v>20</v>
      </c>
      <c r="D2707" t="s">
        <v>28</v>
      </c>
      <c r="E2707" t="s">
        <v>21</v>
      </c>
      <c r="F2707" t="s">
        <v>405</v>
      </c>
      <c r="G2707" t="s">
        <v>367</v>
      </c>
      <c r="H2707">
        <v>5</v>
      </c>
      <c r="I2707" s="1">
        <v>5109.3599999999997</v>
      </c>
      <c r="J2707" t="s">
        <v>17</v>
      </c>
      <c r="K2707" t="s">
        <v>18</v>
      </c>
      <c r="L2707" t="str" cm="1">
        <f t="array" ref="L2707">_xlfn.IFS(B2707&lt;30,"18-29",B2707&lt;45,"30-44",B2707&lt;60,"45-59",B2707&lt;75,"60-74",B2707&lt;=90,"75-90")</f>
        <v>18-29</v>
      </c>
      <c r="M2707" t="str">
        <f>IF(Table1[[#This Row],[length_of_stay_days]]&gt;7,"Yes","No")</f>
        <v>No</v>
      </c>
    </row>
    <row r="2708" spans="1:13" x14ac:dyDescent="0.3">
      <c r="A2708" t="s">
        <v>3107</v>
      </c>
      <c r="B2708">
        <v>48</v>
      </c>
      <c r="C2708" t="s">
        <v>12</v>
      </c>
      <c r="D2708" t="s">
        <v>32</v>
      </c>
      <c r="E2708" t="s">
        <v>14</v>
      </c>
      <c r="F2708" t="s">
        <v>111</v>
      </c>
      <c r="G2708" t="s">
        <v>261</v>
      </c>
      <c r="H2708">
        <v>5</v>
      </c>
      <c r="I2708" s="1">
        <v>11083.63</v>
      </c>
      <c r="J2708" t="s">
        <v>17</v>
      </c>
      <c r="K2708" t="s">
        <v>18</v>
      </c>
      <c r="L2708" t="str" cm="1">
        <f t="array" ref="L2708">_xlfn.IFS(B2708&lt;30,"18-29",B2708&lt;45,"30-44",B2708&lt;60,"45-59",B2708&lt;75,"60-74",B2708&lt;=90,"75-90")</f>
        <v>45-59</v>
      </c>
      <c r="M2708" t="str">
        <f>IF(Table1[[#This Row],[length_of_stay_days]]&gt;7,"Yes","No")</f>
        <v>No</v>
      </c>
    </row>
    <row r="2709" spans="1:13" x14ac:dyDescent="0.3">
      <c r="A2709" t="s">
        <v>3108</v>
      </c>
      <c r="B2709">
        <v>20</v>
      </c>
      <c r="C2709" t="s">
        <v>12</v>
      </c>
      <c r="D2709" t="s">
        <v>13</v>
      </c>
      <c r="E2709" t="s">
        <v>21</v>
      </c>
      <c r="F2709" t="s">
        <v>355</v>
      </c>
      <c r="G2709" t="s">
        <v>574</v>
      </c>
      <c r="H2709">
        <v>4</v>
      </c>
      <c r="I2709" s="1">
        <v>4740.45</v>
      </c>
      <c r="J2709" t="s">
        <v>17</v>
      </c>
      <c r="K2709" t="s">
        <v>18</v>
      </c>
      <c r="L2709" t="str" cm="1">
        <f t="array" ref="L2709">_xlfn.IFS(B2709&lt;30,"18-29",B2709&lt;45,"30-44",B2709&lt;60,"45-59",B2709&lt;75,"60-74",B2709&lt;=90,"75-90")</f>
        <v>18-29</v>
      </c>
      <c r="M2709" t="str">
        <f>IF(Table1[[#This Row],[length_of_stay_days]]&gt;7,"Yes","No")</f>
        <v>No</v>
      </c>
    </row>
    <row r="2710" spans="1:13" x14ac:dyDescent="0.3">
      <c r="A2710" t="s">
        <v>3109</v>
      </c>
      <c r="B2710">
        <v>23</v>
      </c>
      <c r="C2710" t="s">
        <v>20</v>
      </c>
      <c r="D2710" t="s">
        <v>55</v>
      </c>
      <c r="E2710" t="s">
        <v>28</v>
      </c>
      <c r="F2710" t="s">
        <v>216</v>
      </c>
      <c r="G2710" t="s">
        <v>689</v>
      </c>
      <c r="H2710">
        <v>7</v>
      </c>
      <c r="I2710" s="1">
        <v>8716.61</v>
      </c>
      <c r="J2710" t="s">
        <v>17</v>
      </c>
      <c r="K2710" t="s">
        <v>18</v>
      </c>
      <c r="L2710" t="str" cm="1">
        <f t="array" ref="L2710">_xlfn.IFS(B2710&lt;30,"18-29",B2710&lt;45,"30-44",B2710&lt;60,"45-59",B2710&lt;75,"60-74",B2710&lt;=90,"75-90")</f>
        <v>18-29</v>
      </c>
      <c r="M2710" t="str">
        <f>IF(Table1[[#This Row],[length_of_stay_days]]&gt;7,"Yes","No")</f>
        <v>No</v>
      </c>
    </row>
    <row r="2711" spans="1:13" x14ac:dyDescent="0.3">
      <c r="A2711" t="s">
        <v>3110</v>
      </c>
      <c r="B2711">
        <v>50</v>
      </c>
      <c r="C2711" t="s">
        <v>20</v>
      </c>
      <c r="D2711" t="s">
        <v>32</v>
      </c>
      <c r="E2711" t="s">
        <v>14</v>
      </c>
      <c r="F2711" t="s">
        <v>116</v>
      </c>
      <c r="G2711" t="s">
        <v>579</v>
      </c>
      <c r="H2711">
        <v>6</v>
      </c>
      <c r="I2711" s="1">
        <v>9896.31</v>
      </c>
      <c r="J2711" t="s">
        <v>17</v>
      </c>
      <c r="K2711" t="s">
        <v>18</v>
      </c>
      <c r="L2711" t="str" cm="1">
        <f t="array" ref="L2711">_xlfn.IFS(B2711&lt;30,"18-29",B2711&lt;45,"30-44",B2711&lt;60,"45-59",B2711&lt;75,"60-74",B2711&lt;=90,"75-90")</f>
        <v>45-59</v>
      </c>
      <c r="M2711" t="str">
        <f>IF(Table1[[#This Row],[length_of_stay_days]]&gt;7,"Yes","No")</f>
        <v>No</v>
      </c>
    </row>
    <row r="2712" spans="1:13" x14ac:dyDescent="0.3">
      <c r="A2712" t="s">
        <v>3111</v>
      </c>
      <c r="B2712">
        <v>42</v>
      </c>
      <c r="C2712" t="s">
        <v>20</v>
      </c>
      <c r="D2712" t="s">
        <v>32</v>
      </c>
      <c r="E2712" t="s">
        <v>28</v>
      </c>
      <c r="F2712" t="s">
        <v>648</v>
      </c>
      <c r="G2712" t="s">
        <v>584</v>
      </c>
      <c r="H2712">
        <v>5</v>
      </c>
      <c r="I2712" s="1">
        <v>9208.92</v>
      </c>
      <c r="J2712" t="s">
        <v>17</v>
      </c>
      <c r="K2712" t="s">
        <v>18</v>
      </c>
      <c r="L2712" t="str" cm="1">
        <f t="array" ref="L2712">_xlfn.IFS(B2712&lt;30,"18-29",B2712&lt;45,"30-44",B2712&lt;60,"45-59",B2712&lt;75,"60-74",B2712&lt;=90,"75-90")</f>
        <v>30-44</v>
      </c>
      <c r="M2712" t="str">
        <f>IF(Table1[[#This Row],[length_of_stay_days]]&gt;7,"Yes","No")</f>
        <v>No</v>
      </c>
    </row>
    <row r="2713" spans="1:13" x14ac:dyDescent="0.3">
      <c r="A2713" t="s">
        <v>3112</v>
      </c>
      <c r="B2713">
        <v>27</v>
      </c>
      <c r="C2713" t="s">
        <v>12</v>
      </c>
      <c r="D2713" t="s">
        <v>46</v>
      </c>
      <c r="E2713" t="s">
        <v>28</v>
      </c>
      <c r="F2713" t="s">
        <v>86</v>
      </c>
      <c r="G2713" t="s">
        <v>783</v>
      </c>
      <c r="H2713">
        <v>5</v>
      </c>
      <c r="I2713" s="1">
        <v>11206.68</v>
      </c>
      <c r="J2713" t="s">
        <v>17</v>
      </c>
      <c r="K2713" t="s">
        <v>18</v>
      </c>
      <c r="L2713" t="str" cm="1">
        <f t="array" ref="L2713">_xlfn.IFS(B2713&lt;30,"18-29",B2713&lt;45,"30-44",B2713&lt;60,"45-59",B2713&lt;75,"60-74",B2713&lt;=90,"75-90")</f>
        <v>18-29</v>
      </c>
      <c r="M2713" t="str">
        <f>IF(Table1[[#This Row],[length_of_stay_days]]&gt;7,"Yes","No")</f>
        <v>No</v>
      </c>
    </row>
    <row r="2714" spans="1:13" x14ac:dyDescent="0.3">
      <c r="A2714" t="s">
        <v>3113</v>
      </c>
      <c r="B2714">
        <v>90</v>
      </c>
      <c r="C2714" t="s">
        <v>20</v>
      </c>
      <c r="D2714" t="s">
        <v>55</v>
      </c>
      <c r="E2714" t="s">
        <v>28</v>
      </c>
      <c r="F2714" t="s">
        <v>742</v>
      </c>
      <c r="G2714" t="s">
        <v>246</v>
      </c>
      <c r="H2714">
        <v>6</v>
      </c>
      <c r="I2714" s="1">
        <v>11232.32</v>
      </c>
      <c r="J2714" t="s">
        <v>17</v>
      </c>
      <c r="K2714" t="s">
        <v>18</v>
      </c>
      <c r="L2714" t="str" cm="1">
        <f t="array" ref="L2714">_xlfn.IFS(B2714&lt;30,"18-29",B2714&lt;45,"30-44",B2714&lt;60,"45-59",B2714&lt;75,"60-74",B2714&lt;=90,"75-90")</f>
        <v>75-90</v>
      </c>
      <c r="M2714" t="str">
        <f>IF(Table1[[#This Row],[length_of_stay_days]]&gt;7,"Yes","No")</f>
        <v>No</v>
      </c>
    </row>
    <row r="2715" spans="1:13" x14ac:dyDescent="0.3">
      <c r="A2715" t="s">
        <v>3114</v>
      </c>
      <c r="B2715">
        <v>72</v>
      </c>
      <c r="C2715" t="s">
        <v>20</v>
      </c>
      <c r="D2715" t="s">
        <v>51</v>
      </c>
      <c r="E2715" t="s">
        <v>21</v>
      </c>
      <c r="F2715" t="s">
        <v>829</v>
      </c>
      <c r="G2715" t="s">
        <v>30</v>
      </c>
      <c r="H2715">
        <v>14</v>
      </c>
      <c r="I2715" s="1">
        <v>16345.38</v>
      </c>
      <c r="J2715" t="s">
        <v>17</v>
      </c>
      <c r="K2715" t="s">
        <v>18</v>
      </c>
      <c r="L2715" t="str" cm="1">
        <f t="array" ref="L2715">_xlfn.IFS(B2715&lt;30,"18-29",B2715&lt;45,"30-44",B2715&lt;60,"45-59",B2715&lt;75,"60-74",B2715&lt;=90,"75-90")</f>
        <v>60-74</v>
      </c>
      <c r="M2715" t="str">
        <f>IF(Table1[[#This Row],[length_of_stay_days]]&gt;7,"Yes","No")</f>
        <v>Yes</v>
      </c>
    </row>
    <row r="2716" spans="1:13" x14ac:dyDescent="0.3">
      <c r="A2716" t="s">
        <v>3115</v>
      </c>
      <c r="B2716">
        <v>79</v>
      </c>
      <c r="C2716" t="s">
        <v>20</v>
      </c>
      <c r="D2716" t="s">
        <v>46</v>
      </c>
      <c r="E2716" t="s">
        <v>28</v>
      </c>
      <c r="F2716" t="s">
        <v>26</v>
      </c>
      <c r="G2716" t="s">
        <v>266</v>
      </c>
      <c r="H2716">
        <v>10</v>
      </c>
      <c r="I2716" s="1">
        <v>15745.14</v>
      </c>
      <c r="J2716" t="s">
        <v>17</v>
      </c>
      <c r="K2716" t="s">
        <v>18</v>
      </c>
      <c r="L2716" t="str" cm="1">
        <f t="array" ref="L2716">_xlfn.IFS(B2716&lt;30,"18-29",B2716&lt;45,"30-44",B2716&lt;60,"45-59",B2716&lt;75,"60-74",B2716&lt;=90,"75-90")</f>
        <v>75-90</v>
      </c>
      <c r="M2716" t="str">
        <f>IF(Table1[[#This Row],[length_of_stay_days]]&gt;7,"Yes","No")</f>
        <v>Yes</v>
      </c>
    </row>
    <row r="2717" spans="1:13" x14ac:dyDescent="0.3">
      <c r="A2717" t="s">
        <v>3116</v>
      </c>
      <c r="B2717">
        <v>40</v>
      </c>
      <c r="C2717" t="s">
        <v>20</v>
      </c>
      <c r="D2717" t="s">
        <v>32</v>
      </c>
      <c r="E2717" t="s">
        <v>14</v>
      </c>
      <c r="F2717" t="s">
        <v>319</v>
      </c>
      <c r="G2717" t="s">
        <v>648</v>
      </c>
      <c r="H2717">
        <v>6</v>
      </c>
      <c r="I2717" s="1">
        <v>9829.65</v>
      </c>
      <c r="J2717" t="s">
        <v>17</v>
      </c>
      <c r="K2717" t="s">
        <v>18</v>
      </c>
      <c r="L2717" t="str" cm="1">
        <f t="array" ref="L2717">_xlfn.IFS(B2717&lt;30,"18-29",B2717&lt;45,"30-44",B2717&lt;60,"45-59",B2717&lt;75,"60-74",B2717&lt;=90,"75-90")</f>
        <v>30-44</v>
      </c>
      <c r="M2717" t="str">
        <f>IF(Table1[[#This Row],[length_of_stay_days]]&gt;7,"Yes","No")</f>
        <v>No</v>
      </c>
    </row>
    <row r="2718" spans="1:13" x14ac:dyDescent="0.3">
      <c r="A2718" t="s">
        <v>3117</v>
      </c>
      <c r="B2718">
        <v>24</v>
      </c>
      <c r="C2718" t="s">
        <v>20</v>
      </c>
      <c r="D2718" t="s">
        <v>46</v>
      </c>
      <c r="E2718" t="s">
        <v>28</v>
      </c>
      <c r="F2718" t="s">
        <v>625</v>
      </c>
      <c r="G2718" t="s">
        <v>386</v>
      </c>
      <c r="H2718">
        <v>7</v>
      </c>
      <c r="I2718" s="1">
        <v>11960.72</v>
      </c>
      <c r="J2718" t="s">
        <v>17</v>
      </c>
      <c r="K2718" t="s">
        <v>18</v>
      </c>
      <c r="L2718" t="str" cm="1">
        <f t="array" ref="L2718">_xlfn.IFS(B2718&lt;30,"18-29",B2718&lt;45,"30-44",B2718&lt;60,"45-59",B2718&lt;75,"60-74",B2718&lt;=90,"75-90")</f>
        <v>18-29</v>
      </c>
      <c r="M2718" t="str">
        <f>IF(Table1[[#This Row],[length_of_stay_days]]&gt;7,"Yes","No")</f>
        <v>No</v>
      </c>
    </row>
    <row r="2719" spans="1:13" x14ac:dyDescent="0.3">
      <c r="A2719" t="s">
        <v>3118</v>
      </c>
      <c r="B2719">
        <v>52</v>
      </c>
      <c r="C2719" t="s">
        <v>20</v>
      </c>
      <c r="D2719" t="s">
        <v>55</v>
      </c>
      <c r="E2719" t="s">
        <v>28</v>
      </c>
      <c r="F2719" t="s">
        <v>174</v>
      </c>
      <c r="G2719" t="s">
        <v>298</v>
      </c>
      <c r="H2719">
        <v>6</v>
      </c>
      <c r="I2719" s="1">
        <v>8697.44</v>
      </c>
      <c r="J2719" t="s">
        <v>49</v>
      </c>
      <c r="K2719" t="s">
        <v>18</v>
      </c>
      <c r="L2719" t="str" cm="1">
        <f t="array" ref="L2719">_xlfn.IFS(B2719&lt;30,"18-29",B2719&lt;45,"30-44",B2719&lt;60,"45-59",B2719&lt;75,"60-74",B2719&lt;=90,"75-90")</f>
        <v>45-59</v>
      </c>
      <c r="M2719" t="str">
        <f>IF(Table1[[#This Row],[length_of_stay_days]]&gt;7,"Yes","No")</f>
        <v>No</v>
      </c>
    </row>
    <row r="2720" spans="1:13" x14ac:dyDescent="0.3">
      <c r="A2720" t="s">
        <v>3119</v>
      </c>
      <c r="B2720">
        <v>82</v>
      </c>
      <c r="C2720" t="s">
        <v>20</v>
      </c>
      <c r="D2720" t="s">
        <v>55</v>
      </c>
      <c r="E2720" t="s">
        <v>28</v>
      </c>
      <c r="F2720" t="s">
        <v>163</v>
      </c>
      <c r="G2720" t="s">
        <v>298</v>
      </c>
      <c r="H2720">
        <v>7</v>
      </c>
      <c r="I2720" s="1">
        <v>9589.9</v>
      </c>
      <c r="J2720" t="s">
        <v>17</v>
      </c>
      <c r="K2720" t="s">
        <v>18</v>
      </c>
      <c r="L2720" t="str" cm="1">
        <f t="array" ref="L2720">_xlfn.IFS(B2720&lt;30,"18-29",B2720&lt;45,"30-44",B2720&lt;60,"45-59",B2720&lt;75,"60-74",B2720&lt;=90,"75-90")</f>
        <v>75-90</v>
      </c>
      <c r="M2720" t="str">
        <f>IF(Table1[[#This Row],[length_of_stay_days]]&gt;7,"Yes","No")</f>
        <v>No</v>
      </c>
    </row>
    <row r="2721" spans="1:13" x14ac:dyDescent="0.3">
      <c r="A2721" t="s">
        <v>3120</v>
      </c>
      <c r="B2721">
        <v>68</v>
      </c>
      <c r="C2721" t="s">
        <v>20</v>
      </c>
      <c r="D2721" t="s">
        <v>51</v>
      </c>
      <c r="E2721" t="s">
        <v>28</v>
      </c>
      <c r="F2721" t="s">
        <v>298</v>
      </c>
      <c r="G2721" t="s">
        <v>23</v>
      </c>
      <c r="H2721">
        <v>7</v>
      </c>
      <c r="I2721" s="1">
        <v>13978</v>
      </c>
      <c r="J2721" t="s">
        <v>49</v>
      </c>
      <c r="K2721" t="s">
        <v>18</v>
      </c>
      <c r="L2721" t="str" cm="1">
        <f t="array" ref="L2721">_xlfn.IFS(B2721&lt;30,"18-29",B2721&lt;45,"30-44",B2721&lt;60,"45-59",B2721&lt;75,"60-74",B2721&lt;=90,"75-90")</f>
        <v>60-74</v>
      </c>
      <c r="M2721" t="str">
        <f>IF(Table1[[#This Row],[length_of_stay_days]]&gt;7,"Yes","No")</f>
        <v>No</v>
      </c>
    </row>
    <row r="2722" spans="1:13" x14ac:dyDescent="0.3">
      <c r="A2722" t="s">
        <v>3121</v>
      </c>
      <c r="B2722">
        <v>82</v>
      </c>
      <c r="C2722" t="s">
        <v>20</v>
      </c>
      <c r="D2722" t="s">
        <v>51</v>
      </c>
      <c r="E2722" t="s">
        <v>28</v>
      </c>
      <c r="F2722" t="s">
        <v>613</v>
      </c>
      <c r="G2722" t="s">
        <v>65</v>
      </c>
      <c r="H2722">
        <v>6</v>
      </c>
      <c r="I2722" s="1">
        <v>11372.16</v>
      </c>
      <c r="J2722" t="s">
        <v>49</v>
      </c>
      <c r="K2722" t="s">
        <v>18</v>
      </c>
      <c r="L2722" t="str" cm="1">
        <f t="array" ref="L2722">_xlfn.IFS(B2722&lt;30,"18-29",B2722&lt;45,"30-44",B2722&lt;60,"45-59",B2722&lt;75,"60-74",B2722&lt;=90,"75-90")</f>
        <v>75-90</v>
      </c>
      <c r="M2722" t="str">
        <f>IF(Table1[[#This Row],[length_of_stay_days]]&gt;7,"Yes","No")</f>
        <v>No</v>
      </c>
    </row>
    <row r="2723" spans="1:13" x14ac:dyDescent="0.3">
      <c r="A2723" t="s">
        <v>3122</v>
      </c>
      <c r="B2723">
        <v>47</v>
      </c>
      <c r="C2723" t="s">
        <v>12</v>
      </c>
      <c r="D2723" t="s">
        <v>32</v>
      </c>
      <c r="E2723" t="s">
        <v>28</v>
      </c>
      <c r="F2723" t="s">
        <v>646</v>
      </c>
      <c r="G2723" t="s">
        <v>168</v>
      </c>
      <c r="H2723">
        <v>7</v>
      </c>
      <c r="I2723" s="1">
        <v>11349.96</v>
      </c>
      <c r="J2723" t="s">
        <v>17</v>
      </c>
      <c r="K2723" t="s">
        <v>18</v>
      </c>
      <c r="L2723" t="str" cm="1">
        <f t="array" ref="L2723">_xlfn.IFS(B2723&lt;30,"18-29",B2723&lt;45,"30-44",B2723&lt;60,"45-59",B2723&lt;75,"60-74",B2723&lt;=90,"75-90")</f>
        <v>45-59</v>
      </c>
      <c r="M2723" t="str">
        <f>IF(Table1[[#This Row],[length_of_stay_days]]&gt;7,"Yes","No")</f>
        <v>No</v>
      </c>
    </row>
    <row r="2724" spans="1:13" x14ac:dyDescent="0.3">
      <c r="A2724" t="s">
        <v>3123</v>
      </c>
      <c r="B2724">
        <v>87</v>
      </c>
      <c r="C2724" t="s">
        <v>70</v>
      </c>
      <c r="D2724" t="s">
        <v>55</v>
      </c>
      <c r="E2724" t="s">
        <v>14</v>
      </c>
      <c r="F2724" t="s">
        <v>895</v>
      </c>
      <c r="G2724" t="s">
        <v>270</v>
      </c>
      <c r="H2724">
        <v>5</v>
      </c>
      <c r="I2724" s="1">
        <v>9111.0499999999993</v>
      </c>
      <c r="J2724" t="s">
        <v>17</v>
      </c>
      <c r="K2724" t="s">
        <v>18</v>
      </c>
      <c r="L2724" t="str" cm="1">
        <f t="array" ref="L2724">_xlfn.IFS(B2724&lt;30,"18-29",B2724&lt;45,"30-44",B2724&lt;60,"45-59",B2724&lt;75,"60-74",B2724&lt;=90,"75-90")</f>
        <v>75-90</v>
      </c>
      <c r="M2724" t="str">
        <f>IF(Table1[[#This Row],[length_of_stay_days]]&gt;7,"Yes","No")</f>
        <v>No</v>
      </c>
    </row>
    <row r="2725" spans="1:13" x14ac:dyDescent="0.3">
      <c r="A2725" t="s">
        <v>3124</v>
      </c>
      <c r="B2725">
        <v>84</v>
      </c>
      <c r="C2725" t="s">
        <v>12</v>
      </c>
      <c r="D2725" t="s">
        <v>46</v>
      </c>
      <c r="E2725" t="s">
        <v>28</v>
      </c>
      <c r="F2725" t="s">
        <v>189</v>
      </c>
      <c r="G2725" t="s">
        <v>341</v>
      </c>
      <c r="H2725">
        <v>11</v>
      </c>
      <c r="I2725" s="1">
        <v>17175.990000000002</v>
      </c>
      <c r="J2725" t="s">
        <v>49</v>
      </c>
      <c r="K2725" t="s">
        <v>18</v>
      </c>
      <c r="L2725" t="str" cm="1">
        <f t="array" ref="L2725">_xlfn.IFS(B2725&lt;30,"18-29",B2725&lt;45,"30-44",B2725&lt;60,"45-59",B2725&lt;75,"60-74",B2725&lt;=90,"75-90")</f>
        <v>75-90</v>
      </c>
      <c r="M2725" t="str">
        <f>IF(Table1[[#This Row],[length_of_stay_days]]&gt;7,"Yes","No")</f>
        <v>Yes</v>
      </c>
    </row>
    <row r="2726" spans="1:13" x14ac:dyDescent="0.3">
      <c r="A2726" t="s">
        <v>3125</v>
      </c>
      <c r="B2726">
        <v>83</v>
      </c>
      <c r="C2726" t="s">
        <v>12</v>
      </c>
      <c r="D2726" t="s">
        <v>13</v>
      </c>
      <c r="E2726" t="s">
        <v>14</v>
      </c>
      <c r="F2726" t="s">
        <v>234</v>
      </c>
      <c r="G2726" t="s">
        <v>410</v>
      </c>
      <c r="H2726">
        <v>7</v>
      </c>
      <c r="I2726" s="1">
        <v>11205.75</v>
      </c>
      <c r="J2726" t="s">
        <v>17</v>
      </c>
      <c r="K2726" t="s">
        <v>18</v>
      </c>
      <c r="L2726" t="str" cm="1">
        <f t="array" ref="L2726">_xlfn.IFS(B2726&lt;30,"18-29",B2726&lt;45,"30-44",B2726&lt;60,"45-59",B2726&lt;75,"60-74",B2726&lt;=90,"75-90")</f>
        <v>75-90</v>
      </c>
      <c r="M2726" t="str">
        <f>IF(Table1[[#This Row],[length_of_stay_days]]&gt;7,"Yes","No")</f>
        <v>No</v>
      </c>
    </row>
    <row r="2727" spans="1:13" x14ac:dyDescent="0.3">
      <c r="A2727" t="s">
        <v>3126</v>
      </c>
      <c r="B2727">
        <v>28</v>
      </c>
      <c r="C2727" t="s">
        <v>20</v>
      </c>
      <c r="D2727" t="s">
        <v>55</v>
      </c>
      <c r="E2727" t="s">
        <v>28</v>
      </c>
      <c r="F2727" t="s">
        <v>767</v>
      </c>
      <c r="G2727" t="s">
        <v>451</v>
      </c>
      <c r="H2727">
        <v>8</v>
      </c>
      <c r="I2727" s="1">
        <v>11272.76</v>
      </c>
      <c r="J2727" t="s">
        <v>17</v>
      </c>
      <c r="K2727" t="s">
        <v>18</v>
      </c>
      <c r="L2727" t="str" cm="1">
        <f t="array" ref="L2727">_xlfn.IFS(B2727&lt;30,"18-29",B2727&lt;45,"30-44",B2727&lt;60,"45-59",B2727&lt;75,"60-74",B2727&lt;=90,"75-90")</f>
        <v>18-29</v>
      </c>
      <c r="M2727" t="str">
        <f>IF(Table1[[#This Row],[length_of_stay_days]]&gt;7,"Yes","No")</f>
        <v>Yes</v>
      </c>
    </row>
    <row r="2728" spans="1:13" x14ac:dyDescent="0.3">
      <c r="A2728" t="s">
        <v>3127</v>
      </c>
      <c r="B2728">
        <v>42</v>
      </c>
      <c r="C2728" t="s">
        <v>12</v>
      </c>
      <c r="D2728" t="s">
        <v>28</v>
      </c>
      <c r="E2728" t="s">
        <v>28</v>
      </c>
      <c r="F2728" t="s">
        <v>52</v>
      </c>
      <c r="G2728" t="s">
        <v>346</v>
      </c>
      <c r="H2728">
        <v>6</v>
      </c>
      <c r="I2728" s="1">
        <v>6201.64</v>
      </c>
      <c r="J2728" t="s">
        <v>17</v>
      </c>
      <c r="K2728" t="s">
        <v>18</v>
      </c>
      <c r="L2728" t="str" cm="1">
        <f t="array" ref="L2728">_xlfn.IFS(B2728&lt;30,"18-29",B2728&lt;45,"30-44",B2728&lt;60,"45-59",B2728&lt;75,"60-74",B2728&lt;=90,"75-90")</f>
        <v>30-44</v>
      </c>
      <c r="M2728" t="str">
        <f>IF(Table1[[#This Row],[length_of_stay_days]]&gt;7,"Yes","No")</f>
        <v>No</v>
      </c>
    </row>
    <row r="2729" spans="1:13" x14ac:dyDescent="0.3">
      <c r="A2729" t="s">
        <v>3128</v>
      </c>
      <c r="B2729">
        <v>65</v>
      </c>
      <c r="C2729" t="s">
        <v>20</v>
      </c>
      <c r="D2729" t="s">
        <v>46</v>
      </c>
      <c r="E2729" t="s">
        <v>28</v>
      </c>
      <c r="F2729" t="s">
        <v>462</v>
      </c>
      <c r="G2729" t="s">
        <v>506</v>
      </c>
      <c r="H2729">
        <v>7</v>
      </c>
      <c r="I2729" s="1">
        <v>13668.08</v>
      </c>
      <c r="J2729" t="s">
        <v>49</v>
      </c>
      <c r="K2729" t="s">
        <v>18</v>
      </c>
      <c r="L2729" t="str" cm="1">
        <f t="array" ref="L2729">_xlfn.IFS(B2729&lt;30,"18-29",B2729&lt;45,"30-44",B2729&lt;60,"45-59",B2729&lt;75,"60-74",B2729&lt;=90,"75-90")</f>
        <v>60-74</v>
      </c>
      <c r="M2729" t="str">
        <f>IF(Table1[[#This Row],[length_of_stay_days]]&gt;7,"Yes","No")</f>
        <v>No</v>
      </c>
    </row>
    <row r="2730" spans="1:13" x14ac:dyDescent="0.3">
      <c r="A2730" t="s">
        <v>3129</v>
      </c>
      <c r="B2730">
        <v>22</v>
      </c>
      <c r="C2730" t="s">
        <v>20</v>
      </c>
      <c r="D2730" t="s">
        <v>13</v>
      </c>
      <c r="E2730" t="s">
        <v>14</v>
      </c>
      <c r="F2730" t="s">
        <v>408</v>
      </c>
      <c r="G2730" t="s">
        <v>198</v>
      </c>
      <c r="H2730">
        <v>3</v>
      </c>
      <c r="I2730" s="1">
        <v>5024.4799999999996</v>
      </c>
      <c r="J2730" t="s">
        <v>17</v>
      </c>
      <c r="K2730" t="s">
        <v>18</v>
      </c>
      <c r="L2730" t="str" cm="1">
        <f t="array" ref="L2730">_xlfn.IFS(B2730&lt;30,"18-29",B2730&lt;45,"30-44",B2730&lt;60,"45-59",B2730&lt;75,"60-74",B2730&lt;=90,"75-90")</f>
        <v>18-29</v>
      </c>
      <c r="M2730" t="str">
        <f>IF(Table1[[#This Row],[length_of_stay_days]]&gt;7,"Yes","No")</f>
        <v>No</v>
      </c>
    </row>
    <row r="2731" spans="1:13" x14ac:dyDescent="0.3">
      <c r="A2731" t="s">
        <v>3130</v>
      </c>
      <c r="B2731">
        <v>42</v>
      </c>
      <c r="C2731" t="s">
        <v>20</v>
      </c>
      <c r="D2731" t="s">
        <v>13</v>
      </c>
      <c r="E2731" t="s">
        <v>28</v>
      </c>
      <c r="F2731" t="s">
        <v>280</v>
      </c>
      <c r="G2731" t="s">
        <v>831</v>
      </c>
      <c r="H2731">
        <v>9</v>
      </c>
      <c r="I2731" s="1">
        <v>9901.57</v>
      </c>
      <c r="J2731" t="s">
        <v>17</v>
      </c>
      <c r="K2731" t="s">
        <v>18</v>
      </c>
      <c r="L2731" t="str" cm="1">
        <f t="array" ref="L2731">_xlfn.IFS(B2731&lt;30,"18-29",B2731&lt;45,"30-44",B2731&lt;60,"45-59",B2731&lt;75,"60-74",B2731&lt;=90,"75-90")</f>
        <v>30-44</v>
      </c>
      <c r="M2731" t="str">
        <f>IF(Table1[[#This Row],[length_of_stay_days]]&gt;7,"Yes","No")</f>
        <v>Yes</v>
      </c>
    </row>
    <row r="2732" spans="1:13" x14ac:dyDescent="0.3">
      <c r="A2732" t="s">
        <v>3131</v>
      </c>
      <c r="B2732">
        <v>37</v>
      </c>
      <c r="C2732" t="s">
        <v>20</v>
      </c>
      <c r="D2732" t="s">
        <v>46</v>
      </c>
      <c r="E2732" t="s">
        <v>21</v>
      </c>
      <c r="F2732" t="s">
        <v>430</v>
      </c>
      <c r="G2732" t="s">
        <v>574</v>
      </c>
      <c r="H2732">
        <v>12</v>
      </c>
      <c r="I2732" s="1">
        <v>15738.25</v>
      </c>
      <c r="J2732" t="s">
        <v>17</v>
      </c>
      <c r="K2732" t="s">
        <v>18</v>
      </c>
      <c r="L2732" t="str" cm="1">
        <f t="array" ref="L2732">_xlfn.IFS(B2732&lt;30,"18-29",B2732&lt;45,"30-44",B2732&lt;60,"45-59",B2732&lt;75,"60-74",B2732&lt;=90,"75-90")</f>
        <v>30-44</v>
      </c>
      <c r="M2732" t="str">
        <f>IF(Table1[[#This Row],[length_of_stay_days]]&gt;7,"Yes","No")</f>
        <v>Yes</v>
      </c>
    </row>
    <row r="2733" spans="1:13" x14ac:dyDescent="0.3">
      <c r="A2733" t="s">
        <v>3132</v>
      </c>
      <c r="B2733">
        <v>69</v>
      </c>
      <c r="C2733" t="s">
        <v>12</v>
      </c>
      <c r="D2733" t="s">
        <v>55</v>
      </c>
      <c r="E2733" t="s">
        <v>14</v>
      </c>
      <c r="F2733" t="s">
        <v>563</v>
      </c>
      <c r="G2733" t="s">
        <v>282</v>
      </c>
      <c r="H2733">
        <v>5</v>
      </c>
      <c r="I2733" s="1">
        <v>10414.620000000001</v>
      </c>
      <c r="J2733" t="s">
        <v>17</v>
      </c>
      <c r="K2733" t="s">
        <v>18</v>
      </c>
      <c r="L2733" t="str" cm="1">
        <f t="array" ref="L2733">_xlfn.IFS(B2733&lt;30,"18-29",B2733&lt;45,"30-44",B2733&lt;60,"45-59",B2733&lt;75,"60-74",B2733&lt;=90,"75-90")</f>
        <v>60-74</v>
      </c>
      <c r="M2733" t="str">
        <f>IF(Table1[[#This Row],[length_of_stay_days]]&gt;7,"Yes","No")</f>
        <v>No</v>
      </c>
    </row>
    <row r="2734" spans="1:13" x14ac:dyDescent="0.3">
      <c r="A2734" t="s">
        <v>3133</v>
      </c>
      <c r="B2734">
        <v>54</v>
      </c>
      <c r="C2734" t="s">
        <v>20</v>
      </c>
      <c r="D2734" t="s">
        <v>51</v>
      </c>
      <c r="E2734" t="s">
        <v>21</v>
      </c>
      <c r="F2734" t="s">
        <v>762</v>
      </c>
      <c r="G2734" t="s">
        <v>617</v>
      </c>
      <c r="H2734">
        <v>5</v>
      </c>
      <c r="I2734" s="1">
        <v>12277.34</v>
      </c>
      <c r="J2734" t="s">
        <v>17</v>
      </c>
      <c r="K2734" t="s">
        <v>18</v>
      </c>
      <c r="L2734" t="str" cm="1">
        <f t="array" ref="L2734">_xlfn.IFS(B2734&lt;30,"18-29",B2734&lt;45,"30-44",B2734&lt;60,"45-59",B2734&lt;75,"60-74",B2734&lt;=90,"75-90")</f>
        <v>45-59</v>
      </c>
      <c r="M2734" t="str">
        <f>IF(Table1[[#This Row],[length_of_stay_days]]&gt;7,"Yes","No")</f>
        <v>No</v>
      </c>
    </row>
    <row r="2735" spans="1:13" x14ac:dyDescent="0.3">
      <c r="A2735" t="s">
        <v>3134</v>
      </c>
      <c r="B2735">
        <v>80</v>
      </c>
      <c r="C2735" t="s">
        <v>12</v>
      </c>
      <c r="D2735" t="s">
        <v>51</v>
      </c>
      <c r="E2735" t="s">
        <v>28</v>
      </c>
      <c r="F2735" t="s">
        <v>588</v>
      </c>
      <c r="G2735" t="s">
        <v>474</v>
      </c>
      <c r="H2735">
        <v>10</v>
      </c>
      <c r="I2735" s="1">
        <v>16227.67</v>
      </c>
      <c r="J2735" t="s">
        <v>17</v>
      </c>
      <c r="K2735" t="s">
        <v>18</v>
      </c>
      <c r="L2735" t="str" cm="1">
        <f t="array" ref="L2735">_xlfn.IFS(B2735&lt;30,"18-29",B2735&lt;45,"30-44",B2735&lt;60,"45-59",B2735&lt;75,"60-74",B2735&lt;=90,"75-90")</f>
        <v>75-90</v>
      </c>
      <c r="M2735" t="str">
        <f>IF(Table1[[#This Row],[length_of_stay_days]]&gt;7,"Yes","No")</f>
        <v>Yes</v>
      </c>
    </row>
    <row r="2736" spans="1:13" x14ac:dyDescent="0.3">
      <c r="A2736" t="s">
        <v>3135</v>
      </c>
      <c r="B2736">
        <v>55</v>
      </c>
      <c r="C2736" t="s">
        <v>12</v>
      </c>
      <c r="D2736" t="s">
        <v>51</v>
      </c>
      <c r="E2736" t="s">
        <v>14</v>
      </c>
      <c r="F2736" t="s">
        <v>157</v>
      </c>
      <c r="G2736" t="s">
        <v>1229</v>
      </c>
      <c r="H2736">
        <v>3</v>
      </c>
      <c r="I2736" s="1">
        <v>9174.7800000000007</v>
      </c>
      <c r="J2736" t="s">
        <v>17</v>
      </c>
      <c r="K2736" t="s">
        <v>18</v>
      </c>
      <c r="L2736" t="str" cm="1">
        <f t="array" ref="L2736">_xlfn.IFS(B2736&lt;30,"18-29",B2736&lt;45,"30-44",B2736&lt;60,"45-59",B2736&lt;75,"60-74",B2736&lt;=90,"75-90")</f>
        <v>45-59</v>
      </c>
      <c r="M2736" t="str">
        <f>IF(Table1[[#This Row],[length_of_stay_days]]&gt;7,"Yes","No")</f>
        <v>No</v>
      </c>
    </row>
    <row r="2737" spans="1:13" x14ac:dyDescent="0.3">
      <c r="A2737" t="s">
        <v>3136</v>
      </c>
      <c r="B2737">
        <v>54</v>
      </c>
      <c r="C2737" t="s">
        <v>12</v>
      </c>
      <c r="D2737" t="s">
        <v>28</v>
      </c>
      <c r="E2737" t="s">
        <v>28</v>
      </c>
      <c r="F2737" t="s">
        <v>520</v>
      </c>
      <c r="G2737" t="s">
        <v>821</v>
      </c>
      <c r="H2737">
        <v>2</v>
      </c>
      <c r="I2737" s="1">
        <v>4618.91</v>
      </c>
      <c r="J2737" t="s">
        <v>49</v>
      </c>
      <c r="K2737" t="s">
        <v>18</v>
      </c>
      <c r="L2737" t="str" cm="1">
        <f t="array" ref="L2737">_xlfn.IFS(B2737&lt;30,"18-29",B2737&lt;45,"30-44",B2737&lt;60,"45-59",B2737&lt;75,"60-74",B2737&lt;=90,"75-90")</f>
        <v>45-59</v>
      </c>
      <c r="M2737" t="str">
        <f>IF(Table1[[#This Row],[length_of_stay_days]]&gt;7,"Yes","No")</f>
        <v>No</v>
      </c>
    </row>
    <row r="2738" spans="1:13" x14ac:dyDescent="0.3">
      <c r="A2738" t="s">
        <v>3137</v>
      </c>
      <c r="B2738">
        <v>40</v>
      </c>
      <c r="C2738" t="s">
        <v>20</v>
      </c>
      <c r="D2738" t="s">
        <v>13</v>
      </c>
      <c r="E2738" t="s">
        <v>28</v>
      </c>
      <c r="F2738" t="s">
        <v>106</v>
      </c>
      <c r="G2738" t="s">
        <v>177</v>
      </c>
      <c r="H2738">
        <v>4</v>
      </c>
      <c r="I2738" s="1">
        <v>5285.12</v>
      </c>
      <c r="J2738" t="s">
        <v>17</v>
      </c>
      <c r="K2738" t="s">
        <v>18</v>
      </c>
      <c r="L2738" t="str" cm="1">
        <f t="array" ref="L2738">_xlfn.IFS(B2738&lt;30,"18-29",B2738&lt;45,"30-44",B2738&lt;60,"45-59",B2738&lt;75,"60-74",B2738&lt;=90,"75-90")</f>
        <v>30-44</v>
      </c>
      <c r="M2738" t="str">
        <f>IF(Table1[[#This Row],[length_of_stay_days]]&gt;7,"Yes","No")</f>
        <v>No</v>
      </c>
    </row>
    <row r="2739" spans="1:13" x14ac:dyDescent="0.3">
      <c r="A2739" t="s">
        <v>3138</v>
      </c>
      <c r="B2739">
        <v>64</v>
      </c>
      <c r="C2739" t="s">
        <v>12</v>
      </c>
      <c r="D2739" t="s">
        <v>51</v>
      </c>
      <c r="E2739" t="s">
        <v>28</v>
      </c>
      <c r="F2739" t="s">
        <v>255</v>
      </c>
      <c r="G2739" t="s">
        <v>286</v>
      </c>
      <c r="H2739">
        <v>6</v>
      </c>
      <c r="I2739" s="1">
        <v>10414.34</v>
      </c>
      <c r="J2739" t="s">
        <v>17</v>
      </c>
      <c r="K2739" t="s">
        <v>18</v>
      </c>
      <c r="L2739" t="str" cm="1">
        <f t="array" ref="L2739">_xlfn.IFS(B2739&lt;30,"18-29",B2739&lt;45,"30-44",B2739&lt;60,"45-59",B2739&lt;75,"60-74",B2739&lt;=90,"75-90")</f>
        <v>60-74</v>
      </c>
      <c r="M2739" t="str">
        <f>IF(Table1[[#This Row],[length_of_stay_days]]&gt;7,"Yes","No")</f>
        <v>No</v>
      </c>
    </row>
    <row r="2740" spans="1:13" x14ac:dyDescent="0.3">
      <c r="A2740" t="s">
        <v>3139</v>
      </c>
      <c r="B2740">
        <v>18</v>
      </c>
      <c r="C2740" t="s">
        <v>20</v>
      </c>
      <c r="D2740" t="s">
        <v>32</v>
      </c>
      <c r="E2740" t="s">
        <v>14</v>
      </c>
      <c r="F2740" t="s">
        <v>493</v>
      </c>
      <c r="G2740" t="s">
        <v>762</v>
      </c>
      <c r="H2740">
        <v>3</v>
      </c>
      <c r="I2740" s="1">
        <v>10234.280000000001</v>
      </c>
      <c r="J2740" t="s">
        <v>17</v>
      </c>
      <c r="K2740" t="s">
        <v>18</v>
      </c>
      <c r="L2740" t="str" cm="1">
        <f t="array" ref="L2740">_xlfn.IFS(B2740&lt;30,"18-29",B2740&lt;45,"30-44",B2740&lt;60,"45-59",B2740&lt;75,"60-74",B2740&lt;=90,"75-90")</f>
        <v>18-29</v>
      </c>
      <c r="M2740" t="str">
        <f>IF(Table1[[#This Row],[length_of_stay_days]]&gt;7,"Yes","No")</f>
        <v>No</v>
      </c>
    </row>
    <row r="2741" spans="1:13" x14ac:dyDescent="0.3">
      <c r="A2741" t="s">
        <v>3140</v>
      </c>
      <c r="B2741">
        <v>61</v>
      </c>
      <c r="C2741" t="s">
        <v>70</v>
      </c>
      <c r="D2741" t="s">
        <v>13</v>
      </c>
      <c r="E2741" t="s">
        <v>28</v>
      </c>
      <c r="F2741" t="s">
        <v>245</v>
      </c>
      <c r="G2741" t="s">
        <v>119</v>
      </c>
      <c r="H2741">
        <v>4</v>
      </c>
      <c r="I2741" s="1">
        <v>3650.01</v>
      </c>
      <c r="J2741" t="s">
        <v>17</v>
      </c>
      <c r="K2741" t="s">
        <v>18</v>
      </c>
      <c r="L2741" t="str" cm="1">
        <f t="array" ref="L2741">_xlfn.IFS(B2741&lt;30,"18-29",B2741&lt;45,"30-44",B2741&lt;60,"45-59",B2741&lt;75,"60-74",B2741&lt;=90,"75-90")</f>
        <v>60-74</v>
      </c>
      <c r="M2741" t="str">
        <f>IF(Table1[[#This Row],[length_of_stay_days]]&gt;7,"Yes","No")</f>
        <v>No</v>
      </c>
    </row>
    <row r="2742" spans="1:13" x14ac:dyDescent="0.3">
      <c r="A2742" t="s">
        <v>3141</v>
      </c>
      <c r="B2742">
        <v>76</v>
      </c>
      <c r="C2742" t="s">
        <v>20</v>
      </c>
      <c r="D2742" t="s">
        <v>28</v>
      </c>
      <c r="E2742" t="s">
        <v>14</v>
      </c>
      <c r="F2742" t="s">
        <v>491</v>
      </c>
      <c r="G2742" t="s">
        <v>261</v>
      </c>
      <c r="H2742">
        <v>4</v>
      </c>
      <c r="I2742" s="1">
        <v>5677.33</v>
      </c>
      <c r="J2742" t="s">
        <v>17</v>
      </c>
      <c r="K2742" t="s">
        <v>18</v>
      </c>
      <c r="L2742" t="str" cm="1">
        <f t="array" ref="L2742">_xlfn.IFS(B2742&lt;30,"18-29",B2742&lt;45,"30-44",B2742&lt;60,"45-59",B2742&lt;75,"60-74",B2742&lt;=90,"75-90")</f>
        <v>75-90</v>
      </c>
      <c r="M2742" t="str">
        <f>IF(Table1[[#This Row],[length_of_stay_days]]&gt;7,"Yes","No")</f>
        <v>No</v>
      </c>
    </row>
    <row r="2743" spans="1:13" x14ac:dyDescent="0.3">
      <c r="A2743" t="s">
        <v>3142</v>
      </c>
      <c r="B2743">
        <v>84</v>
      </c>
      <c r="C2743" t="s">
        <v>12</v>
      </c>
      <c r="D2743" t="s">
        <v>28</v>
      </c>
      <c r="E2743" t="s">
        <v>14</v>
      </c>
      <c r="F2743" t="s">
        <v>77</v>
      </c>
      <c r="G2743" t="s">
        <v>78</v>
      </c>
      <c r="H2743">
        <v>6</v>
      </c>
      <c r="I2743" s="1">
        <v>9432.32</v>
      </c>
      <c r="J2743" t="s">
        <v>49</v>
      </c>
      <c r="K2743" t="s">
        <v>18</v>
      </c>
      <c r="L2743" t="str" cm="1">
        <f t="array" ref="L2743">_xlfn.IFS(B2743&lt;30,"18-29",B2743&lt;45,"30-44",B2743&lt;60,"45-59",B2743&lt;75,"60-74",B2743&lt;=90,"75-90")</f>
        <v>75-90</v>
      </c>
      <c r="M2743" t="str">
        <f>IF(Table1[[#This Row],[length_of_stay_days]]&gt;7,"Yes","No")</f>
        <v>No</v>
      </c>
    </row>
    <row r="2744" spans="1:13" x14ac:dyDescent="0.3">
      <c r="A2744" t="s">
        <v>3143</v>
      </c>
      <c r="B2744">
        <v>50</v>
      </c>
      <c r="C2744" t="s">
        <v>20</v>
      </c>
      <c r="D2744" t="s">
        <v>28</v>
      </c>
      <c r="E2744" t="s">
        <v>14</v>
      </c>
      <c r="F2744" t="s">
        <v>471</v>
      </c>
      <c r="G2744" t="s">
        <v>543</v>
      </c>
      <c r="H2744">
        <v>1</v>
      </c>
      <c r="I2744" s="1">
        <v>4173.2</v>
      </c>
      <c r="J2744" t="s">
        <v>17</v>
      </c>
      <c r="K2744" t="s">
        <v>18</v>
      </c>
      <c r="L2744" t="str" cm="1">
        <f t="array" ref="L2744">_xlfn.IFS(B2744&lt;30,"18-29",B2744&lt;45,"30-44",B2744&lt;60,"45-59",B2744&lt;75,"60-74",B2744&lt;=90,"75-90")</f>
        <v>45-59</v>
      </c>
      <c r="M2744" t="str">
        <f>IF(Table1[[#This Row],[length_of_stay_days]]&gt;7,"Yes","No")</f>
        <v>No</v>
      </c>
    </row>
    <row r="2745" spans="1:13" x14ac:dyDescent="0.3">
      <c r="A2745" t="s">
        <v>3144</v>
      </c>
      <c r="B2745">
        <v>49</v>
      </c>
      <c r="C2745" t="s">
        <v>12</v>
      </c>
      <c r="D2745" t="s">
        <v>46</v>
      </c>
      <c r="E2745" t="s">
        <v>14</v>
      </c>
      <c r="F2745" t="s">
        <v>186</v>
      </c>
      <c r="G2745" t="s">
        <v>350</v>
      </c>
      <c r="H2745">
        <v>3</v>
      </c>
      <c r="I2745" s="1">
        <v>12259.18</v>
      </c>
      <c r="J2745" t="s">
        <v>17</v>
      </c>
      <c r="K2745" t="s">
        <v>18</v>
      </c>
      <c r="L2745" t="str" cm="1">
        <f t="array" ref="L2745">_xlfn.IFS(B2745&lt;30,"18-29",B2745&lt;45,"30-44",B2745&lt;60,"45-59",B2745&lt;75,"60-74",B2745&lt;=90,"75-90")</f>
        <v>45-59</v>
      </c>
      <c r="M2745" t="str">
        <f>IF(Table1[[#This Row],[length_of_stay_days]]&gt;7,"Yes","No")</f>
        <v>No</v>
      </c>
    </row>
    <row r="2746" spans="1:13" x14ac:dyDescent="0.3">
      <c r="A2746" t="s">
        <v>3145</v>
      </c>
      <c r="B2746">
        <v>50</v>
      </c>
      <c r="C2746" t="s">
        <v>12</v>
      </c>
      <c r="D2746" t="s">
        <v>55</v>
      </c>
      <c r="E2746" t="s">
        <v>28</v>
      </c>
      <c r="F2746" t="s">
        <v>663</v>
      </c>
      <c r="G2746" t="s">
        <v>58</v>
      </c>
      <c r="H2746">
        <v>5</v>
      </c>
      <c r="I2746" s="1">
        <v>9232.0400000000009</v>
      </c>
      <c r="J2746" t="s">
        <v>17</v>
      </c>
      <c r="K2746" t="s">
        <v>18</v>
      </c>
      <c r="L2746" t="str" cm="1">
        <f t="array" ref="L2746">_xlfn.IFS(B2746&lt;30,"18-29",B2746&lt;45,"30-44",B2746&lt;60,"45-59",B2746&lt;75,"60-74",B2746&lt;=90,"75-90")</f>
        <v>45-59</v>
      </c>
      <c r="M2746" t="str">
        <f>IF(Table1[[#This Row],[length_of_stay_days]]&gt;7,"Yes","No")</f>
        <v>No</v>
      </c>
    </row>
    <row r="2747" spans="1:13" x14ac:dyDescent="0.3">
      <c r="A2747" t="s">
        <v>3146</v>
      </c>
      <c r="B2747">
        <v>23</v>
      </c>
      <c r="C2747" t="s">
        <v>12</v>
      </c>
      <c r="D2747" t="s">
        <v>51</v>
      </c>
      <c r="E2747" t="s">
        <v>14</v>
      </c>
      <c r="F2747" t="s">
        <v>263</v>
      </c>
      <c r="G2747" t="s">
        <v>106</v>
      </c>
      <c r="H2747">
        <v>7</v>
      </c>
      <c r="I2747" s="1">
        <v>10649.61</v>
      </c>
      <c r="J2747" t="s">
        <v>17</v>
      </c>
      <c r="K2747" t="s">
        <v>18</v>
      </c>
      <c r="L2747" t="str" cm="1">
        <f t="array" ref="L2747">_xlfn.IFS(B2747&lt;30,"18-29",B2747&lt;45,"30-44",B2747&lt;60,"45-59",B2747&lt;75,"60-74",B2747&lt;=90,"75-90")</f>
        <v>18-29</v>
      </c>
      <c r="M2747" t="str">
        <f>IF(Table1[[#This Row],[length_of_stay_days]]&gt;7,"Yes","No")</f>
        <v>No</v>
      </c>
    </row>
    <row r="2748" spans="1:13" x14ac:dyDescent="0.3">
      <c r="A2748" t="s">
        <v>3147</v>
      </c>
      <c r="B2748">
        <v>61</v>
      </c>
      <c r="C2748" t="s">
        <v>20</v>
      </c>
      <c r="D2748" t="s">
        <v>28</v>
      </c>
      <c r="E2748" t="s">
        <v>28</v>
      </c>
      <c r="F2748" t="s">
        <v>186</v>
      </c>
      <c r="G2748" t="s">
        <v>25</v>
      </c>
      <c r="H2748">
        <v>4</v>
      </c>
      <c r="I2748" s="1">
        <v>4746.53</v>
      </c>
      <c r="J2748" t="s">
        <v>17</v>
      </c>
      <c r="K2748" t="s">
        <v>18</v>
      </c>
      <c r="L2748" t="str" cm="1">
        <f t="array" ref="L2748">_xlfn.IFS(B2748&lt;30,"18-29",B2748&lt;45,"30-44",B2748&lt;60,"45-59",B2748&lt;75,"60-74",B2748&lt;=90,"75-90")</f>
        <v>60-74</v>
      </c>
      <c r="M2748" t="str">
        <f>IF(Table1[[#This Row],[length_of_stay_days]]&gt;7,"Yes","No")</f>
        <v>No</v>
      </c>
    </row>
    <row r="2749" spans="1:13" x14ac:dyDescent="0.3">
      <c r="A2749" t="s">
        <v>3148</v>
      </c>
      <c r="B2749">
        <v>79</v>
      </c>
      <c r="C2749" t="s">
        <v>12</v>
      </c>
      <c r="D2749" t="s">
        <v>55</v>
      </c>
      <c r="E2749" t="s">
        <v>28</v>
      </c>
      <c r="F2749" t="s">
        <v>791</v>
      </c>
      <c r="G2749" t="s">
        <v>96</v>
      </c>
      <c r="H2749">
        <v>7</v>
      </c>
      <c r="I2749" s="1">
        <v>12317.52</v>
      </c>
      <c r="J2749" t="s">
        <v>49</v>
      </c>
      <c r="K2749" t="s">
        <v>18</v>
      </c>
      <c r="L2749" t="str" cm="1">
        <f t="array" ref="L2749">_xlfn.IFS(B2749&lt;30,"18-29",B2749&lt;45,"30-44",B2749&lt;60,"45-59",B2749&lt;75,"60-74",B2749&lt;=90,"75-90")</f>
        <v>75-90</v>
      </c>
      <c r="M2749" t="str">
        <f>IF(Table1[[#This Row],[length_of_stay_days]]&gt;7,"Yes","No")</f>
        <v>No</v>
      </c>
    </row>
    <row r="2750" spans="1:13" x14ac:dyDescent="0.3">
      <c r="A2750" t="s">
        <v>3149</v>
      </c>
      <c r="B2750">
        <v>58</v>
      </c>
      <c r="C2750" t="s">
        <v>12</v>
      </c>
      <c r="D2750" t="s">
        <v>28</v>
      </c>
      <c r="E2750" t="s">
        <v>21</v>
      </c>
      <c r="F2750" t="s">
        <v>852</v>
      </c>
      <c r="G2750" t="s">
        <v>895</v>
      </c>
      <c r="H2750">
        <v>1</v>
      </c>
      <c r="I2750" s="1">
        <v>3104.78</v>
      </c>
      <c r="J2750" t="s">
        <v>17</v>
      </c>
      <c r="K2750" t="s">
        <v>18</v>
      </c>
      <c r="L2750" t="str" cm="1">
        <f t="array" ref="L2750">_xlfn.IFS(B2750&lt;30,"18-29",B2750&lt;45,"30-44",B2750&lt;60,"45-59",B2750&lt;75,"60-74",B2750&lt;=90,"75-90")</f>
        <v>45-59</v>
      </c>
      <c r="M2750" t="str">
        <f>IF(Table1[[#This Row],[length_of_stay_days]]&gt;7,"Yes","No")</f>
        <v>No</v>
      </c>
    </row>
    <row r="2751" spans="1:13" x14ac:dyDescent="0.3">
      <c r="A2751" t="s">
        <v>3150</v>
      </c>
      <c r="B2751">
        <v>75</v>
      </c>
      <c r="C2751" t="s">
        <v>12</v>
      </c>
      <c r="D2751" t="s">
        <v>55</v>
      </c>
      <c r="E2751" t="s">
        <v>28</v>
      </c>
      <c r="F2751" t="s">
        <v>229</v>
      </c>
      <c r="G2751" t="s">
        <v>40</v>
      </c>
      <c r="H2751">
        <v>9</v>
      </c>
      <c r="I2751" s="1">
        <v>10670.12</v>
      </c>
      <c r="J2751" t="s">
        <v>17</v>
      </c>
      <c r="K2751" t="s">
        <v>18</v>
      </c>
      <c r="L2751" t="str" cm="1">
        <f t="array" ref="L2751">_xlfn.IFS(B2751&lt;30,"18-29",B2751&lt;45,"30-44",B2751&lt;60,"45-59",B2751&lt;75,"60-74",B2751&lt;=90,"75-90")</f>
        <v>75-90</v>
      </c>
      <c r="M2751" t="str">
        <f>IF(Table1[[#This Row],[length_of_stay_days]]&gt;7,"Yes","No")</f>
        <v>Yes</v>
      </c>
    </row>
    <row r="2752" spans="1:13" x14ac:dyDescent="0.3">
      <c r="A2752" t="s">
        <v>3151</v>
      </c>
      <c r="B2752">
        <v>89</v>
      </c>
      <c r="C2752" t="s">
        <v>12</v>
      </c>
      <c r="D2752" t="s">
        <v>46</v>
      </c>
      <c r="E2752" t="s">
        <v>28</v>
      </c>
      <c r="F2752" t="s">
        <v>625</v>
      </c>
      <c r="G2752" t="s">
        <v>198</v>
      </c>
      <c r="H2752">
        <v>15</v>
      </c>
      <c r="I2752" s="1">
        <v>18787.41</v>
      </c>
      <c r="J2752" t="s">
        <v>17</v>
      </c>
      <c r="K2752" t="s">
        <v>18</v>
      </c>
      <c r="L2752" t="str" cm="1">
        <f t="array" ref="L2752">_xlfn.IFS(B2752&lt;30,"18-29",B2752&lt;45,"30-44",B2752&lt;60,"45-59",B2752&lt;75,"60-74",B2752&lt;=90,"75-90")</f>
        <v>75-90</v>
      </c>
      <c r="M2752" t="str">
        <f>IF(Table1[[#This Row],[length_of_stay_days]]&gt;7,"Yes","No")</f>
        <v>Yes</v>
      </c>
    </row>
    <row r="2753" spans="1:13" x14ac:dyDescent="0.3">
      <c r="A2753" t="s">
        <v>3152</v>
      </c>
      <c r="B2753">
        <v>87</v>
      </c>
      <c r="C2753" t="s">
        <v>20</v>
      </c>
      <c r="D2753" t="s">
        <v>32</v>
      </c>
      <c r="E2753" t="s">
        <v>28</v>
      </c>
      <c r="F2753" t="s">
        <v>791</v>
      </c>
      <c r="G2753" t="s">
        <v>376</v>
      </c>
      <c r="H2753">
        <v>6</v>
      </c>
      <c r="I2753" s="1">
        <v>13168.33</v>
      </c>
      <c r="J2753" t="s">
        <v>17</v>
      </c>
      <c r="K2753" t="s">
        <v>18</v>
      </c>
      <c r="L2753" t="str" cm="1">
        <f t="array" ref="L2753">_xlfn.IFS(B2753&lt;30,"18-29",B2753&lt;45,"30-44",B2753&lt;60,"45-59",B2753&lt;75,"60-74",B2753&lt;=90,"75-90")</f>
        <v>75-90</v>
      </c>
      <c r="M2753" t="str">
        <f>IF(Table1[[#This Row],[length_of_stay_days]]&gt;7,"Yes","No")</f>
        <v>No</v>
      </c>
    </row>
    <row r="2754" spans="1:13" x14ac:dyDescent="0.3">
      <c r="A2754" t="s">
        <v>3153</v>
      </c>
      <c r="B2754">
        <v>64</v>
      </c>
      <c r="C2754" t="s">
        <v>12</v>
      </c>
      <c r="D2754" t="s">
        <v>13</v>
      </c>
      <c r="E2754" t="s">
        <v>28</v>
      </c>
      <c r="F2754" t="s">
        <v>676</v>
      </c>
      <c r="G2754" t="s">
        <v>283</v>
      </c>
      <c r="H2754">
        <v>7</v>
      </c>
      <c r="I2754" s="1">
        <v>10002.43</v>
      </c>
      <c r="J2754" t="s">
        <v>17</v>
      </c>
      <c r="K2754" t="s">
        <v>18</v>
      </c>
      <c r="L2754" t="str" cm="1">
        <f t="array" ref="L2754">_xlfn.IFS(B2754&lt;30,"18-29",B2754&lt;45,"30-44",B2754&lt;60,"45-59",B2754&lt;75,"60-74",B2754&lt;=90,"75-90")</f>
        <v>60-74</v>
      </c>
      <c r="M2754" t="str">
        <f>IF(Table1[[#This Row],[length_of_stay_days]]&gt;7,"Yes","No")</f>
        <v>No</v>
      </c>
    </row>
    <row r="2755" spans="1:13" x14ac:dyDescent="0.3">
      <c r="A2755" t="s">
        <v>3154</v>
      </c>
      <c r="B2755">
        <v>51</v>
      </c>
      <c r="C2755" t="s">
        <v>20</v>
      </c>
      <c r="D2755" t="s">
        <v>51</v>
      </c>
      <c r="E2755" t="s">
        <v>21</v>
      </c>
      <c r="F2755" t="s">
        <v>491</v>
      </c>
      <c r="G2755" t="s">
        <v>59</v>
      </c>
      <c r="H2755">
        <v>2</v>
      </c>
      <c r="I2755" s="1">
        <v>7959.03</v>
      </c>
      <c r="J2755" t="s">
        <v>17</v>
      </c>
      <c r="K2755" t="s">
        <v>18</v>
      </c>
      <c r="L2755" t="str" cm="1">
        <f t="array" ref="L2755">_xlfn.IFS(B2755&lt;30,"18-29",B2755&lt;45,"30-44",B2755&lt;60,"45-59",B2755&lt;75,"60-74",B2755&lt;=90,"75-90")</f>
        <v>45-59</v>
      </c>
      <c r="M2755" t="str">
        <f>IF(Table1[[#This Row],[length_of_stay_days]]&gt;7,"Yes","No")</f>
        <v>No</v>
      </c>
    </row>
    <row r="2756" spans="1:13" x14ac:dyDescent="0.3">
      <c r="A2756" t="s">
        <v>3155</v>
      </c>
      <c r="B2756">
        <v>86</v>
      </c>
      <c r="C2756" t="s">
        <v>12</v>
      </c>
      <c r="D2756" t="s">
        <v>32</v>
      </c>
      <c r="E2756" t="s">
        <v>28</v>
      </c>
      <c r="F2756" t="s">
        <v>301</v>
      </c>
      <c r="G2756" t="s">
        <v>376</v>
      </c>
      <c r="H2756">
        <v>10</v>
      </c>
      <c r="I2756" s="1">
        <v>16295.15</v>
      </c>
      <c r="J2756" t="s">
        <v>17</v>
      </c>
      <c r="K2756" t="s">
        <v>18</v>
      </c>
      <c r="L2756" t="str" cm="1">
        <f t="array" ref="L2756">_xlfn.IFS(B2756&lt;30,"18-29",B2756&lt;45,"30-44",B2756&lt;60,"45-59",B2756&lt;75,"60-74",B2756&lt;=90,"75-90")</f>
        <v>75-90</v>
      </c>
      <c r="M2756" t="str">
        <f>IF(Table1[[#This Row],[length_of_stay_days]]&gt;7,"Yes","No")</f>
        <v>Yes</v>
      </c>
    </row>
    <row r="2757" spans="1:13" x14ac:dyDescent="0.3">
      <c r="A2757" t="s">
        <v>3156</v>
      </c>
      <c r="B2757">
        <v>65</v>
      </c>
      <c r="C2757" t="s">
        <v>20</v>
      </c>
      <c r="D2757" t="s">
        <v>32</v>
      </c>
      <c r="E2757" t="s">
        <v>28</v>
      </c>
      <c r="F2757" t="s">
        <v>252</v>
      </c>
      <c r="G2757" t="s">
        <v>581</v>
      </c>
      <c r="H2757">
        <v>6</v>
      </c>
      <c r="I2757" s="1">
        <v>13413.73</v>
      </c>
      <c r="J2757" t="s">
        <v>17</v>
      </c>
      <c r="K2757" t="s">
        <v>18</v>
      </c>
      <c r="L2757" t="str" cm="1">
        <f t="array" ref="L2757">_xlfn.IFS(B2757&lt;30,"18-29",B2757&lt;45,"30-44",B2757&lt;60,"45-59",B2757&lt;75,"60-74",B2757&lt;=90,"75-90")</f>
        <v>60-74</v>
      </c>
      <c r="M2757" t="str">
        <f>IF(Table1[[#This Row],[length_of_stay_days]]&gt;7,"Yes","No")</f>
        <v>No</v>
      </c>
    </row>
    <row r="2758" spans="1:13" x14ac:dyDescent="0.3">
      <c r="A2758" t="s">
        <v>3157</v>
      </c>
      <c r="B2758">
        <v>44</v>
      </c>
      <c r="C2758" t="s">
        <v>12</v>
      </c>
      <c r="D2758" t="s">
        <v>32</v>
      </c>
      <c r="E2758" t="s">
        <v>14</v>
      </c>
      <c r="F2758" t="s">
        <v>95</v>
      </c>
      <c r="G2758" t="s">
        <v>376</v>
      </c>
      <c r="H2758">
        <v>2</v>
      </c>
      <c r="I2758" s="1">
        <v>8635.5400000000009</v>
      </c>
      <c r="J2758" t="s">
        <v>17</v>
      </c>
      <c r="K2758" t="s">
        <v>18</v>
      </c>
      <c r="L2758" t="str" cm="1">
        <f t="array" ref="L2758">_xlfn.IFS(B2758&lt;30,"18-29",B2758&lt;45,"30-44",B2758&lt;60,"45-59",B2758&lt;75,"60-74",B2758&lt;=90,"75-90")</f>
        <v>30-44</v>
      </c>
      <c r="M2758" t="str">
        <f>IF(Table1[[#This Row],[length_of_stay_days]]&gt;7,"Yes","No")</f>
        <v>No</v>
      </c>
    </row>
    <row r="2759" spans="1:13" x14ac:dyDescent="0.3">
      <c r="A2759" t="s">
        <v>3158</v>
      </c>
      <c r="B2759">
        <v>54</v>
      </c>
      <c r="C2759" t="s">
        <v>12</v>
      </c>
      <c r="D2759" t="s">
        <v>28</v>
      </c>
      <c r="E2759" t="s">
        <v>21</v>
      </c>
      <c r="F2759" t="s">
        <v>268</v>
      </c>
      <c r="G2759" t="s">
        <v>140</v>
      </c>
      <c r="H2759">
        <v>2</v>
      </c>
      <c r="I2759" s="1">
        <v>3832.38</v>
      </c>
      <c r="J2759" t="s">
        <v>17</v>
      </c>
      <c r="K2759" t="s">
        <v>44</v>
      </c>
      <c r="L2759" t="str" cm="1">
        <f t="array" ref="L2759">_xlfn.IFS(B2759&lt;30,"18-29",B2759&lt;45,"30-44",B2759&lt;60,"45-59",B2759&lt;75,"60-74",B2759&lt;=90,"75-90")</f>
        <v>45-59</v>
      </c>
      <c r="M2759" t="str">
        <f>IF(Table1[[#This Row],[length_of_stay_days]]&gt;7,"Yes","No")</f>
        <v>No</v>
      </c>
    </row>
    <row r="2760" spans="1:13" x14ac:dyDescent="0.3">
      <c r="A2760" t="s">
        <v>3159</v>
      </c>
      <c r="B2760">
        <v>55</v>
      </c>
      <c r="C2760" t="s">
        <v>20</v>
      </c>
      <c r="D2760" t="s">
        <v>13</v>
      </c>
      <c r="E2760" t="s">
        <v>28</v>
      </c>
      <c r="F2760" t="s">
        <v>182</v>
      </c>
      <c r="G2760" t="s">
        <v>831</v>
      </c>
      <c r="H2760">
        <v>7</v>
      </c>
      <c r="I2760" s="1">
        <v>8313.3700000000008</v>
      </c>
      <c r="J2760" t="s">
        <v>17</v>
      </c>
      <c r="K2760" t="s">
        <v>18</v>
      </c>
      <c r="L2760" t="str" cm="1">
        <f t="array" ref="L2760">_xlfn.IFS(B2760&lt;30,"18-29",B2760&lt;45,"30-44",B2760&lt;60,"45-59",B2760&lt;75,"60-74",B2760&lt;=90,"75-90")</f>
        <v>45-59</v>
      </c>
      <c r="M2760" t="str">
        <f>IF(Table1[[#This Row],[length_of_stay_days]]&gt;7,"Yes","No")</f>
        <v>No</v>
      </c>
    </row>
    <row r="2761" spans="1:13" x14ac:dyDescent="0.3">
      <c r="A2761" t="s">
        <v>3160</v>
      </c>
      <c r="B2761">
        <v>29</v>
      </c>
      <c r="C2761" t="s">
        <v>20</v>
      </c>
      <c r="D2761" t="s">
        <v>13</v>
      </c>
      <c r="E2761" t="s">
        <v>28</v>
      </c>
      <c r="F2761" t="s">
        <v>363</v>
      </c>
      <c r="G2761" t="s">
        <v>121</v>
      </c>
      <c r="H2761">
        <v>6</v>
      </c>
      <c r="I2761" s="1">
        <v>6458.43</v>
      </c>
      <c r="J2761" t="s">
        <v>17</v>
      </c>
      <c r="K2761" t="s">
        <v>18</v>
      </c>
      <c r="L2761" t="str" cm="1">
        <f t="array" ref="L2761">_xlfn.IFS(B2761&lt;30,"18-29",B2761&lt;45,"30-44",B2761&lt;60,"45-59",B2761&lt;75,"60-74",B2761&lt;=90,"75-90")</f>
        <v>18-29</v>
      </c>
      <c r="M2761" t="str">
        <f>IF(Table1[[#This Row],[length_of_stay_days]]&gt;7,"Yes","No")</f>
        <v>No</v>
      </c>
    </row>
    <row r="2762" spans="1:13" x14ac:dyDescent="0.3">
      <c r="A2762" t="s">
        <v>3161</v>
      </c>
      <c r="B2762">
        <v>41</v>
      </c>
      <c r="C2762" t="s">
        <v>12</v>
      </c>
      <c r="D2762" t="s">
        <v>13</v>
      </c>
      <c r="E2762" t="s">
        <v>14</v>
      </c>
      <c r="F2762" t="s">
        <v>77</v>
      </c>
      <c r="G2762" t="s">
        <v>532</v>
      </c>
      <c r="H2762">
        <v>3</v>
      </c>
      <c r="I2762" s="1">
        <v>5201.71</v>
      </c>
      <c r="J2762" t="s">
        <v>17</v>
      </c>
      <c r="K2762" t="s">
        <v>18</v>
      </c>
      <c r="L2762" t="str" cm="1">
        <f t="array" ref="L2762">_xlfn.IFS(B2762&lt;30,"18-29",B2762&lt;45,"30-44",B2762&lt;60,"45-59",B2762&lt;75,"60-74",B2762&lt;=90,"75-90")</f>
        <v>30-44</v>
      </c>
      <c r="M2762" t="str">
        <f>IF(Table1[[#This Row],[length_of_stay_days]]&gt;7,"Yes","No")</f>
        <v>No</v>
      </c>
    </row>
    <row r="2763" spans="1:13" x14ac:dyDescent="0.3">
      <c r="A2763" t="s">
        <v>3162</v>
      </c>
      <c r="B2763">
        <v>18</v>
      </c>
      <c r="C2763" t="s">
        <v>20</v>
      </c>
      <c r="D2763" t="s">
        <v>13</v>
      </c>
      <c r="E2763" t="s">
        <v>14</v>
      </c>
      <c r="F2763" t="s">
        <v>532</v>
      </c>
      <c r="G2763" t="s">
        <v>623</v>
      </c>
      <c r="H2763">
        <v>6</v>
      </c>
      <c r="I2763" s="1">
        <v>7528.86</v>
      </c>
      <c r="J2763" t="s">
        <v>17</v>
      </c>
      <c r="K2763" t="s">
        <v>18</v>
      </c>
      <c r="L2763" t="str" cm="1">
        <f t="array" ref="L2763">_xlfn.IFS(B2763&lt;30,"18-29",B2763&lt;45,"30-44",B2763&lt;60,"45-59",B2763&lt;75,"60-74",B2763&lt;=90,"75-90")</f>
        <v>18-29</v>
      </c>
      <c r="M2763" t="str">
        <f>IF(Table1[[#This Row],[length_of_stay_days]]&gt;7,"Yes","No")</f>
        <v>No</v>
      </c>
    </row>
    <row r="2764" spans="1:13" x14ac:dyDescent="0.3">
      <c r="A2764" t="s">
        <v>3163</v>
      </c>
      <c r="B2764">
        <v>84</v>
      </c>
      <c r="C2764" t="s">
        <v>12</v>
      </c>
      <c r="D2764" t="s">
        <v>32</v>
      </c>
      <c r="E2764" t="s">
        <v>28</v>
      </c>
      <c r="F2764" t="s">
        <v>99</v>
      </c>
      <c r="G2764" t="s">
        <v>680</v>
      </c>
      <c r="H2764">
        <v>7</v>
      </c>
      <c r="I2764" s="1">
        <v>10545.42</v>
      </c>
      <c r="J2764" t="s">
        <v>17</v>
      </c>
      <c r="K2764" t="s">
        <v>18</v>
      </c>
      <c r="L2764" t="str" cm="1">
        <f t="array" ref="L2764">_xlfn.IFS(B2764&lt;30,"18-29",B2764&lt;45,"30-44",B2764&lt;60,"45-59",B2764&lt;75,"60-74",B2764&lt;=90,"75-90")</f>
        <v>75-90</v>
      </c>
      <c r="M2764" t="str">
        <f>IF(Table1[[#This Row],[length_of_stay_days]]&gt;7,"Yes","No")</f>
        <v>No</v>
      </c>
    </row>
    <row r="2765" spans="1:13" x14ac:dyDescent="0.3">
      <c r="A2765" t="s">
        <v>3164</v>
      </c>
      <c r="B2765">
        <v>39</v>
      </c>
      <c r="C2765" t="s">
        <v>20</v>
      </c>
      <c r="D2765" t="s">
        <v>55</v>
      </c>
      <c r="E2765" t="s">
        <v>21</v>
      </c>
      <c r="F2765" t="s">
        <v>111</v>
      </c>
      <c r="G2765" t="s">
        <v>288</v>
      </c>
      <c r="H2765">
        <v>8</v>
      </c>
      <c r="I2765" s="1">
        <v>11600.02</v>
      </c>
      <c r="J2765" t="s">
        <v>17</v>
      </c>
      <c r="K2765" t="s">
        <v>18</v>
      </c>
      <c r="L2765" t="str" cm="1">
        <f t="array" ref="L2765">_xlfn.IFS(B2765&lt;30,"18-29",B2765&lt;45,"30-44",B2765&lt;60,"45-59",B2765&lt;75,"60-74",B2765&lt;=90,"75-90")</f>
        <v>30-44</v>
      </c>
      <c r="M2765" t="str">
        <f>IF(Table1[[#This Row],[length_of_stay_days]]&gt;7,"Yes","No")</f>
        <v>Yes</v>
      </c>
    </row>
    <row r="2766" spans="1:13" x14ac:dyDescent="0.3">
      <c r="A2766" t="s">
        <v>3165</v>
      </c>
      <c r="B2766">
        <v>30</v>
      </c>
      <c r="C2766" t="s">
        <v>12</v>
      </c>
      <c r="D2766" t="s">
        <v>32</v>
      </c>
      <c r="E2766" t="s">
        <v>21</v>
      </c>
      <c r="F2766" t="s">
        <v>288</v>
      </c>
      <c r="G2766" t="s">
        <v>849</v>
      </c>
      <c r="H2766">
        <v>11</v>
      </c>
      <c r="I2766" s="1">
        <v>13262.73</v>
      </c>
      <c r="J2766" t="s">
        <v>17</v>
      </c>
      <c r="K2766" t="s">
        <v>44</v>
      </c>
      <c r="L2766" t="str" cm="1">
        <f t="array" ref="L2766">_xlfn.IFS(B2766&lt;30,"18-29",B2766&lt;45,"30-44",B2766&lt;60,"45-59",B2766&lt;75,"60-74",B2766&lt;=90,"75-90")</f>
        <v>30-44</v>
      </c>
      <c r="M2766" t="str">
        <f>IF(Table1[[#This Row],[length_of_stay_days]]&gt;7,"Yes","No")</f>
        <v>Yes</v>
      </c>
    </row>
    <row r="2767" spans="1:13" x14ac:dyDescent="0.3">
      <c r="A2767" t="s">
        <v>3166</v>
      </c>
      <c r="B2767">
        <v>39</v>
      </c>
      <c r="C2767" t="s">
        <v>12</v>
      </c>
      <c r="D2767" t="s">
        <v>46</v>
      </c>
      <c r="E2767" t="s">
        <v>14</v>
      </c>
      <c r="F2767" t="s">
        <v>47</v>
      </c>
      <c r="G2767" t="s">
        <v>140</v>
      </c>
      <c r="H2767">
        <v>6</v>
      </c>
      <c r="I2767" s="1">
        <v>12889.37</v>
      </c>
      <c r="J2767" t="s">
        <v>17</v>
      </c>
      <c r="K2767" t="s">
        <v>18</v>
      </c>
      <c r="L2767" t="str" cm="1">
        <f t="array" ref="L2767">_xlfn.IFS(B2767&lt;30,"18-29",B2767&lt;45,"30-44",B2767&lt;60,"45-59",B2767&lt;75,"60-74",B2767&lt;=90,"75-90")</f>
        <v>30-44</v>
      </c>
      <c r="M2767" t="str">
        <f>IF(Table1[[#This Row],[length_of_stay_days]]&gt;7,"Yes","No")</f>
        <v>No</v>
      </c>
    </row>
    <row r="2768" spans="1:13" x14ac:dyDescent="0.3">
      <c r="A2768" t="s">
        <v>3167</v>
      </c>
      <c r="B2768">
        <v>75</v>
      </c>
      <c r="C2768" t="s">
        <v>12</v>
      </c>
      <c r="D2768" t="s">
        <v>13</v>
      </c>
      <c r="E2768" t="s">
        <v>21</v>
      </c>
      <c r="F2768" t="s">
        <v>382</v>
      </c>
      <c r="G2768" t="s">
        <v>644</v>
      </c>
      <c r="H2768">
        <v>6</v>
      </c>
      <c r="I2768" s="1">
        <v>6934.34</v>
      </c>
      <c r="J2768" t="s">
        <v>17</v>
      </c>
      <c r="K2768" t="s">
        <v>18</v>
      </c>
      <c r="L2768" t="str" cm="1">
        <f t="array" ref="L2768">_xlfn.IFS(B2768&lt;30,"18-29",B2768&lt;45,"30-44",B2768&lt;60,"45-59",B2768&lt;75,"60-74",B2768&lt;=90,"75-90")</f>
        <v>75-90</v>
      </c>
      <c r="M2768" t="str">
        <f>IF(Table1[[#This Row],[length_of_stay_days]]&gt;7,"Yes","No")</f>
        <v>No</v>
      </c>
    </row>
    <row r="2769" spans="1:13" x14ac:dyDescent="0.3">
      <c r="A2769" t="s">
        <v>3168</v>
      </c>
      <c r="B2769">
        <v>86</v>
      </c>
      <c r="C2769" t="s">
        <v>20</v>
      </c>
      <c r="D2769" t="s">
        <v>28</v>
      </c>
      <c r="E2769" t="s">
        <v>14</v>
      </c>
      <c r="F2769" t="s">
        <v>169</v>
      </c>
      <c r="G2769" t="s">
        <v>638</v>
      </c>
      <c r="H2769">
        <v>4</v>
      </c>
      <c r="I2769" s="1">
        <v>3941.4</v>
      </c>
      <c r="J2769" t="s">
        <v>17</v>
      </c>
      <c r="K2769" t="s">
        <v>18</v>
      </c>
      <c r="L2769" t="str" cm="1">
        <f t="array" ref="L2769">_xlfn.IFS(B2769&lt;30,"18-29",B2769&lt;45,"30-44",B2769&lt;60,"45-59",B2769&lt;75,"60-74",B2769&lt;=90,"75-90")</f>
        <v>75-90</v>
      </c>
      <c r="M2769" t="str">
        <f>IF(Table1[[#This Row],[length_of_stay_days]]&gt;7,"Yes","No")</f>
        <v>No</v>
      </c>
    </row>
    <row r="2770" spans="1:13" x14ac:dyDescent="0.3">
      <c r="A2770" t="s">
        <v>3169</v>
      </c>
      <c r="B2770">
        <v>68</v>
      </c>
      <c r="C2770" t="s">
        <v>12</v>
      </c>
      <c r="D2770" t="s">
        <v>28</v>
      </c>
      <c r="E2770" t="s">
        <v>21</v>
      </c>
      <c r="F2770" t="s">
        <v>198</v>
      </c>
      <c r="G2770" t="s">
        <v>433</v>
      </c>
      <c r="H2770">
        <v>1</v>
      </c>
      <c r="I2770" s="1">
        <v>4796.5200000000004</v>
      </c>
      <c r="J2770" t="s">
        <v>49</v>
      </c>
      <c r="K2770" t="s">
        <v>18</v>
      </c>
      <c r="L2770" t="str" cm="1">
        <f t="array" ref="L2770">_xlfn.IFS(B2770&lt;30,"18-29",B2770&lt;45,"30-44",B2770&lt;60,"45-59",B2770&lt;75,"60-74",B2770&lt;=90,"75-90")</f>
        <v>60-74</v>
      </c>
      <c r="M2770" t="str">
        <f>IF(Table1[[#This Row],[length_of_stay_days]]&gt;7,"Yes","No")</f>
        <v>No</v>
      </c>
    </row>
    <row r="2771" spans="1:13" x14ac:dyDescent="0.3">
      <c r="A2771" t="s">
        <v>3170</v>
      </c>
      <c r="B2771">
        <v>19</v>
      </c>
      <c r="C2771" t="s">
        <v>12</v>
      </c>
      <c r="D2771" t="s">
        <v>13</v>
      </c>
      <c r="E2771" t="s">
        <v>28</v>
      </c>
      <c r="F2771" t="s">
        <v>286</v>
      </c>
      <c r="G2771" t="s">
        <v>229</v>
      </c>
      <c r="H2771">
        <v>3</v>
      </c>
      <c r="I2771" s="1">
        <v>4562.04</v>
      </c>
      <c r="J2771" t="s">
        <v>17</v>
      </c>
      <c r="K2771" t="s">
        <v>18</v>
      </c>
      <c r="L2771" t="str" cm="1">
        <f t="array" ref="L2771">_xlfn.IFS(B2771&lt;30,"18-29",B2771&lt;45,"30-44",B2771&lt;60,"45-59",B2771&lt;75,"60-74",B2771&lt;=90,"75-90")</f>
        <v>18-29</v>
      </c>
      <c r="M2771" t="str">
        <f>IF(Table1[[#This Row],[length_of_stay_days]]&gt;7,"Yes","No")</f>
        <v>No</v>
      </c>
    </row>
    <row r="2772" spans="1:13" x14ac:dyDescent="0.3">
      <c r="A2772" t="s">
        <v>3171</v>
      </c>
      <c r="B2772">
        <v>77</v>
      </c>
      <c r="C2772" t="s">
        <v>20</v>
      </c>
      <c r="D2772" t="s">
        <v>28</v>
      </c>
      <c r="E2772" t="s">
        <v>14</v>
      </c>
      <c r="F2772" t="s">
        <v>456</v>
      </c>
      <c r="G2772" t="s">
        <v>523</v>
      </c>
      <c r="H2772">
        <v>6</v>
      </c>
      <c r="I2772" s="1">
        <v>7041.52</v>
      </c>
      <c r="J2772" t="s">
        <v>17</v>
      </c>
      <c r="K2772" t="s">
        <v>18</v>
      </c>
      <c r="L2772" t="str" cm="1">
        <f t="array" ref="L2772">_xlfn.IFS(B2772&lt;30,"18-29",B2772&lt;45,"30-44",B2772&lt;60,"45-59",B2772&lt;75,"60-74",B2772&lt;=90,"75-90")</f>
        <v>75-90</v>
      </c>
      <c r="M2772" t="str">
        <f>IF(Table1[[#This Row],[length_of_stay_days]]&gt;7,"Yes","No")</f>
        <v>No</v>
      </c>
    </row>
    <row r="2773" spans="1:13" x14ac:dyDescent="0.3">
      <c r="A2773" t="s">
        <v>3172</v>
      </c>
      <c r="B2773">
        <v>22</v>
      </c>
      <c r="C2773" t="s">
        <v>12</v>
      </c>
      <c r="D2773" t="s">
        <v>46</v>
      </c>
      <c r="E2773" t="s">
        <v>21</v>
      </c>
      <c r="F2773" t="s">
        <v>37</v>
      </c>
      <c r="G2773" t="s">
        <v>547</v>
      </c>
      <c r="H2773">
        <v>6</v>
      </c>
      <c r="I2773" s="1">
        <v>14092.77</v>
      </c>
      <c r="J2773" t="s">
        <v>17</v>
      </c>
      <c r="K2773" t="s">
        <v>18</v>
      </c>
      <c r="L2773" t="str" cm="1">
        <f t="array" ref="L2773">_xlfn.IFS(B2773&lt;30,"18-29",B2773&lt;45,"30-44",B2773&lt;60,"45-59",B2773&lt;75,"60-74",B2773&lt;=90,"75-90")</f>
        <v>18-29</v>
      </c>
      <c r="M2773" t="str">
        <f>IF(Table1[[#This Row],[length_of_stay_days]]&gt;7,"Yes","No")</f>
        <v>No</v>
      </c>
    </row>
    <row r="2774" spans="1:13" x14ac:dyDescent="0.3">
      <c r="A2774" t="s">
        <v>3173</v>
      </c>
      <c r="B2774">
        <v>36</v>
      </c>
      <c r="C2774" t="s">
        <v>20</v>
      </c>
      <c r="D2774" t="s">
        <v>13</v>
      </c>
      <c r="E2774" t="s">
        <v>28</v>
      </c>
      <c r="F2774" t="s">
        <v>43</v>
      </c>
      <c r="G2774" t="s">
        <v>430</v>
      </c>
      <c r="H2774">
        <v>5</v>
      </c>
      <c r="I2774" s="1">
        <v>7943.66</v>
      </c>
      <c r="J2774" t="s">
        <v>49</v>
      </c>
      <c r="K2774" t="s">
        <v>18</v>
      </c>
      <c r="L2774" t="str" cm="1">
        <f t="array" ref="L2774">_xlfn.IFS(B2774&lt;30,"18-29",B2774&lt;45,"30-44",B2774&lt;60,"45-59",B2774&lt;75,"60-74",B2774&lt;=90,"75-90")</f>
        <v>30-44</v>
      </c>
      <c r="M2774" t="str">
        <f>IF(Table1[[#This Row],[length_of_stay_days]]&gt;7,"Yes","No")</f>
        <v>No</v>
      </c>
    </row>
    <row r="2775" spans="1:13" x14ac:dyDescent="0.3">
      <c r="A2775" t="s">
        <v>3174</v>
      </c>
      <c r="B2775">
        <v>42</v>
      </c>
      <c r="C2775" t="s">
        <v>20</v>
      </c>
      <c r="D2775" t="s">
        <v>32</v>
      </c>
      <c r="E2775" t="s">
        <v>28</v>
      </c>
      <c r="F2775" t="s">
        <v>266</v>
      </c>
      <c r="G2775" t="s">
        <v>366</v>
      </c>
      <c r="H2775">
        <v>3</v>
      </c>
      <c r="I2775" s="1">
        <v>9268.35</v>
      </c>
      <c r="J2775" t="s">
        <v>17</v>
      </c>
      <c r="K2775" t="s">
        <v>18</v>
      </c>
      <c r="L2775" t="str" cm="1">
        <f t="array" ref="L2775">_xlfn.IFS(B2775&lt;30,"18-29",B2775&lt;45,"30-44",B2775&lt;60,"45-59",B2775&lt;75,"60-74",B2775&lt;=90,"75-90")</f>
        <v>30-44</v>
      </c>
      <c r="M2775" t="str">
        <f>IF(Table1[[#This Row],[length_of_stay_days]]&gt;7,"Yes","No")</f>
        <v>No</v>
      </c>
    </row>
    <row r="2776" spans="1:13" x14ac:dyDescent="0.3">
      <c r="A2776" t="s">
        <v>3175</v>
      </c>
      <c r="B2776">
        <v>54</v>
      </c>
      <c r="C2776" t="s">
        <v>12</v>
      </c>
      <c r="D2776" t="s">
        <v>51</v>
      </c>
      <c r="E2776" t="s">
        <v>28</v>
      </c>
      <c r="F2776" t="s">
        <v>158</v>
      </c>
      <c r="G2776" t="s">
        <v>837</v>
      </c>
      <c r="H2776">
        <v>10</v>
      </c>
      <c r="I2776" s="1">
        <v>13872.98</v>
      </c>
      <c r="J2776" t="s">
        <v>49</v>
      </c>
      <c r="K2776" t="s">
        <v>18</v>
      </c>
      <c r="L2776" t="str" cm="1">
        <f t="array" ref="L2776">_xlfn.IFS(B2776&lt;30,"18-29",B2776&lt;45,"30-44",B2776&lt;60,"45-59",B2776&lt;75,"60-74",B2776&lt;=90,"75-90")</f>
        <v>45-59</v>
      </c>
      <c r="M2776" t="str">
        <f>IF(Table1[[#This Row],[length_of_stay_days]]&gt;7,"Yes","No")</f>
        <v>Yes</v>
      </c>
    </row>
    <row r="2777" spans="1:13" x14ac:dyDescent="0.3">
      <c r="A2777" t="s">
        <v>3176</v>
      </c>
      <c r="B2777">
        <v>66</v>
      </c>
      <c r="C2777" t="s">
        <v>12</v>
      </c>
      <c r="D2777" t="s">
        <v>55</v>
      </c>
      <c r="E2777" t="s">
        <v>14</v>
      </c>
      <c r="F2777" t="s">
        <v>413</v>
      </c>
      <c r="G2777" t="s">
        <v>966</v>
      </c>
      <c r="H2777">
        <v>4</v>
      </c>
      <c r="I2777" s="1">
        <v>10388.14</v>
      </c>
      <c r="J2777" t="s">
        <v>17</v>
      </c>
      <c r="K2777" t="s">
        <v>18</v>
      </c>
      <c r="L2777" t="str" cm="1">
        <f t="array" ref="L2777">_xlfn.IFS(B2777&lt;30,"18-29",B2777&lt;45,"30-44",B2777&lt;60,"45-59",B2777&lt;75,"60-74",B2777&lt;=90,"75-90")</f>
        <v>60-74</v>
      </c>
      <c r="M2777" t="str">
        <f>IF(Table1[[#This Row],[length_of_stay_days]]&gt;7,"Yes","No")</f>
        <v>No</v>
      </c>
    </row>
    <row r="2778" spans="1:13" x14ac:dyDescent="0.3">
      <c r="A2778" t="s">
        <v>3177</v>
      </c>
      <c r="B2778">
        <v>67</v>
      </c>
      <c r="C2778" t="s">
        <v>20</v>
      </c>
      <c r="D2778" t="s">
        <v>28</v>
      </c>
      <c r="E2778" t="s">
        <v>21</v>
      </c>
      <c r="F2778" t="s">
        <v>478</v>
      </c>
      <c r="G2778" t="s">
        <v>841</v>
      </c>
      <c r="H2778">
        <v>4</v>
      </c>
      <c r="I2778" s="1">
        <v>6768.48</v>
      </c>
      <c r="J2778" t="s">
        <v>49</v>
      </c>
      <c r="K2778" t="s">
        <v>18</v>
      </c>
      <c r="L2778" t="str" cm="1">
        <f t="array" ref="L2778">_xlfn.IFS(B2778&lt;30,"18-29",B2778&lt;45,"30-44",B2778&lt;60,"45-59",B2778&lt;75,"60-74",B2778&lt;=90,"75-90")</f>
        <v>60-74</v>
      </c>
      <c r="M2778" t="str">
        <f>IF(Table1[[#This Row],[length_of_stay_days]]&gt;7,"Yes","No")</f>
        <v>No</v>
      </c>
    </row>
    <row r="2779" spans="1:13" x14ac:dyDescent="0.3">
      <c r="A2779" t="s">
        <v>3178</v>
      </c>
      <c r="B2779">
        <v>86</v>
      </c>
      <c r="C2779" t="s">
        <v>20</v>
      </c>
      <c r="D2779" t="s">
        <v>32</v>
      </c>
      <c r="E2779" t="s">
        <v>28</v>
      </c>
      <c r="F2779" t="s">
        <v>78</v>
      </c>
      <c r="G2779" t="s">
        <v>148</v>
      </c>
      <c r="H2779">
        <v>5</v>
      </c>
      <c r="I2779" s="1">
        <v>8490.18</v>
      </c>
      <c r="J2779" t="s">
        <v>17</v>
      </c>
      <c r="K2779" t="s">
        <v>18</v>
      </c>
      <c r="L2779" t="str" cm="1">
        <f t="array" ref="L2779">_xlfn.IFS(B2779&lt;30,"18-29",B2779&lt;45,"30-44",B2779&lt;60,"45-59",B2779&lt;75,"60-74",B2779&lt;=90,"75-90")</f>
        <v>75-90</v>
      </c>
      <c r="M2779" t="str">
        <f>IF(Table1[[#This Row],[length_of_stay_days]]&gt;7,"Yes","No")</f>
        <v>No</v>
      </c>
    </row>
    <row r="2780" spans="1:13" x14ac:dyDescent="0.3">
      <c r="A2780" t="s">
        <v>3179</v>
      </c>
      <c r="B2780">
        <v>65</v>
      </c>
      <c r="C2780" t="s">
        <v>12</v>
      </c>
      <c r="D2780" t="s">
        <v>13</v>
      </c>
      <c r="E2780" t="s">
        <v>14</v>
      </c>
      <c r="F2780" t="s">
        <v>328</v>
      </c>
      <c r="G2780" t="s">
        <v>112</v>
      </c>
      <c r="H2780">
        <v>7</v>
      </c>
      <c r="I2780" s="1">
        <v>8117.37</v>
      </c>
      <c r="J2780" t="s">
        <v>17</v>
      </c>
      <c r="K2780" t="s">
        <v>18</v>
      </c>
      <c r="L2780" t="str" cm="1">
        <f t="array" ref="L2780">_xlfn.IFS(B2780&lt;30,"18-29",B2780&lt;45,"30-44",B2780&lt;60,"45-59",B2780&lt;75,"60-74",B2780&lt;=90,"75-90")</f>
        <v>60-74</v>
      </c>
      <c r="M2780" t="str">
        <f>IF(Table1[[#This Row],[length_of_stay_days]]&gt;7,"Yes","No")</f>
        <v>No</v>
      </c>
    </row>
    <row r="2781" spans="1:13" x14ac:dyDescent="0.3">
      <c r="A2781" t="s">
        <v>3180</v>
      </c>
      <c r="B2781">
        <v>74</v>
      </c>
      <c r="C2781" t="s">
        <v>20</v>
      </c>
      <c r="D2781" t="s">
        <v>28</v>
      </c>
      <c r="E2781" t="s">
        <v>28</v>
      </c>
      <c r="F2781" t="s">
        <v>478</v>
      </c>
      <c r="G2781" t="s">
        <v>140</v>
      </c>
      <c r="H2781">
        <v>7</v>
      </c>
      <c r="I2781" s="1">
        <v>7317.14</v>
      </c>
      <c r="J2781" t="s">
        <v>49</v>
      </c>
      <c r="K2781" t="s">
        <v>18</v>
      </c>
      <c r="L2781" t="str" cm="1">
        <f t="array" ref="L2781">_xlfn.IFS(B2781&lt;30,"18-29",B2781&lt;45,"30-44",B2781&lt;60,"45-59",B2781&lt;75,"60-74",B2781&lt;=90,"75-90")</f>
        <v>60-74</v>
      </c>
      <c r="M2781" t="str">
        <f>IF(Table1[[#This Row],[length_of_stay_days]]&gt;7,"Yes","No")</f>
        <v>No</v>
      </c>
    </row>
    <row r="2782" spans="1:13" x14ac:dyDescent="0.3">
      <c r="A2782" t="s">
        <v>3181</v>
      </c>
      <c r="B2782">
        <v>18</v>
      </c>
      <c r="C2782" t="s">
        <v>20</v>
      </c>
      <c r="D2782" t="s">
        <v>55</v>
      </c>
      <c r="E2782" t="s">
        <v>14</v>
      </c>
      <c r="F2782" t="s">
        <v>846</v>
      </c>
      <c r="G2782" t="s">
        <v>451</v>
      </c>
      <c r="H2782">
        <v>4</v>
      </c>
      <c r="I2782" s="1">
        <v>9870.24</v>
      </c>
      <c r="J2782" t="s">
        <v>17</v>
      </c>
      <c r="K2782" t="s">
        <v>18</v>
      </c>
      <c r="L2782" t="str" cm="1">
        <f t="array" ref="L2782">_xlfn.IFS(B2782&lt;30,"18-29",B2782&lt;45,"30-44",B2782&lt;60,"45-59",B2782&lt;75,"60-74",B2782&lt;=90,"75-90")</f>
        <v>18-29</v>
      </c>
      <c r="M2782" t="str">
        <f>IF(Table1[[#This Row],[length_of_stay_days]]&gt;7,"Yes","No")</f>
        <v>No</v>
      </c>
    </row>
    <row r="2783" spans="1:13" x14ac:dyDescent="0.3">
      <c r="A2783" t="s">
        <v>3182</v>
      </c>
      <c r="B2783">
        <v>63</v>
      </c>
      <c r="C2783" t="s">
        <v>12</v>
      </c>
      <c r="D2783" t="s">
        <v>46</v>
      </c>
      <c r="E2783" t="s">
        <v>28</v>
      </c>
      <c r="F2783" t="s">
        <v>228</v>
      </c>
      <c r="G2783" t="s">
        <v>449</v>
      </c>
      <c r="H2783">
        <v>7</v>
      </c>
      <c r="I2783" s="1">
        <v>15520.35</v>
      </c>
      <c r="J2783" t="s">
        <v>17</v>
      </c>
      <c r="K2783" t="s">
        <v>18</v>
      </c>
      <c r="L2783" t="str" cm="1">
        <f t="array" ref="L2783">_xlfn.IFS(B2783&lt;30,"18-29",B2783&lt;45,"30-44",B2783&lt;60,"45-59",B2783&lt;75,"60-74",B2783&lt;=90,"75-90")</f>
        <v>60-74</v>
      </c>
      <c r="M2783" t="str">
        <f>IF(Table1[[#This Row],[length_of_stay_days]]&gt;7,"Yes","No")</f>
        <v>No</v>
      </c>
    </row>
    <row r="2784" spans="1:13" x14ac:dyDescent="0.3">
      <c r="A2784" t="s">
        <v>3183</v>
      </c>
      <c r="B2784">
        <v>19</v>
      </c>
      <c r="C2784" t="s">
        <v>20</v>
      </c>
      <c r="D2784" t="s">
        <v>28</v>
      </c>
      <c r="E2784" t="s">
        <v>28</v>
      </c>
      <c r="F2784" t="s">
        <v>319</v>
      </c>
      <c r="G2784" t="s">
        <v>320</v>
      </c>
      <c r="H2784">
        <v>4</v>
      </c>
      <c r="I2784" s="1">
        <v>4532.42</v>
      </c>
      <c r="J2784" t="s">
        <v>17</v>
      </c>
      <c r="K2784" t="s">
        <v>18</v>
      </c>
      <c r="L2784" t="str" cm="1">
        <f t="array" ref="L2784">_xlfn.IFS(B2784&lt;30,"18-29",B2784&lt;45,"30-44",B2784&lt;60,"45-59",B2784&lt;75,"60-74",B2784&lt;=90,"75-90")</f>
        <v>18-29</v>
      </c>
      <c r="M2784" t="str">
        <f>IF(Table1[[#This Row],[length_of_stay_days]]&gt;7,"Yes","No")</f>
        <v>No</v>
      </c>
    </row>
    <row r="2785" spans="1:13" x14ac:dyDescent="0.3">
      <c r="A2785" t="s">
        <v>3184</v>
      </c>
      <c r="B2785">
        <v>60</v>
      </c>
      <c r="C2785" t="s">
        <v>12</v>
      </c>
      <c r="D2785" t="s">
        <v>32</v>
      </c>
      <c r="E2785" t="s">
        <v>28</v>
      </c>
      <c r="F2785" t="s">
        <v>15</v>
      </c>
      <c r="G2785" t="s">
        <v>311</v>
      </c>
      <c r="H2785">
        <v>8</v>
      </c>
      <c r="I2785" s="1">
        <v>11374.06</v>
      </c>
      <c r="J2785" t="s">
        <v>17</v>
      </c>
      <c r="K2785" t="s">
        <v>18</v>
      </c>
      <c r="L2785" t="str" cm="1">
        <f t="array" ref="L2785">_xlfn.IFS(B2785&lt;30,"18-29",B2785&lt;45,"30-44",B2785&lt;60,"45-59",B2785&lt;75,"60-74",B2785&lt;=90,"75-90")</f>
        <v>60-74</v>
      </c>
      <c r="M2785" t="str">
        <f>IF(Table1[[#This Row],[length_of_stay_days]]&gt;7,"Yes","No")</f>
        <v>Yes</v>
      </c>
    </row>
    <row r="2786" spans="1:13" x14ac:dyDescent="0.3">
      <c r="A2786" t="s">
        <v>3185</v>
      </c>
      <c r="B2786">
        <v>59</v>
      </c>
      <c r="C2786" t="s">
        <v>12</v>
      </c>
      <c r="D2786" t="s">
        <v>28</v>
      </c>
      <c r="E2786" t="s">
        <v>28</v>
      </c>
      <c r="F2786" t="s">
        <v>458</v>
      </c>
      <c r="G2786" t="s">
        <v>675</v>
      </c>
      <c r="H2786">
        <v>6</v>
      </c>
      <c r="I2786" s="1">
        <v>6593.24</v>
      </c>
      <c r="J2786" t="s">
        <v>17</v>
      </c>
      <c r="K2786" t="s">
        <v>18</v>
      </c>
      <c r="L2786" t="str" cm="1">
        <f t="array" ref="L2786">_xlfn.IFS(B2786&lt;30,"18-29",B2786&lt;45,"30-44",B2786&lt;60,"45-59",B2786&lt;75,"60-74",B2786&lt;=90,"75-90")</f>
        <v>45-59</v>
      </c>
      <c r="M2786" t="str">
        <f>IF(Table1[[#This Row],[length_of_stay_days]]&gt;7,"Yes","No")</f>
        <v>No</v>
      </c>
    </row>
    <row r="2787" spans="1:13" x14ac:dyDescent="0.3">
      <c r="A2787" t="s">
        <v>3186</v>
      </c>
      <c r="B2787">
        <v>74</v>
      </c>
      <c r="C2787" t="s">
        <v>20</v>
      </c>
      <c r="D2787" t="s">
        <v>32</v>
      </c>
      <c r="E2787" t="s">
        <v>14</v>
      </c>
      <c r="F2787" t="s">
        <v>680</v>
      </c>
      <c r="G2787" t="s">
        <v>325</v>
      </c>
      <c r="H2787">
        <v>7</v>
      </c>
      <c r="I2787" s="1">
        <v>10914.32</v>
      </c>
      <c r="J2787" t="s">
        <v>17</v>
      </c>
      <c r="K2787" t="s">
        <v>18</v>
      </c>
      <c r="L2787" t="str" cm="1">
        <f t="array" ref="L2787">_xlfn.IFS(B2787&lt;30,"18-29",B2787&lt;45,"30-44",B2787&lt;60,"45-59",B2787&lt;75,"60-74",B2787&lt;=90,"75-90")</f>
        <v>60-74</v>
      </c>
      <c r="M2787" t="str">
        <f>IF(Table1[[#This Row],[length_of_stay_days]]&gt;7,"Yes","No")</f>
        <v>No</v>
      </c>
    </row>
    <row r="2788" spans="1:13" x14ac:dyDescent="0.3">
      <c r="A2788" t="s">
        <v>3187</v>
      </c>
      <c r="B2788">
        <v>23</v>
      </c>
      <c r="C2788" t="s">
        <v>20</v>
      </c>
      <c r="D2788" t="s">
        <v>32</v>
      </c>
      <c r="E2788" t="s">
        <v>21</v>
      </c>
      <c r="F2788" t="s">
        <v>520</v>
      </c>
      <c r="G2788" t="s">
        <v>84</v>
      </c>
      <c r="H2788">
        <v>8</v>
      </c>
      <c r="I2788" s="1">
        <v>11709.65</v>
      </c>
      <c r="J2788" t="s">
        <v>17</v>
      </c>
      <c r="K2788" t="s">
        <v>18</v>
      </c>
      <c r="L2788" t="str" cm="1">
        <f t="array" ref="L2788">_xlfn.IFS(B2788&lt;30,"18-29",B2788&lt;45,"30-44",B2788&lt;60,"45-59",B2788&lt;75,"60-74",B2788&lt;=90,"75-90")</f>
        <v>18-29</v>
      </c>
      <c r="M2788" t="str">
        <f>IF(Table1[[#This Row],[length_of_stay_days]]&gt;7,"Yes","No")</f>
        <v>Yes</v>
      </c>
    </row>
    <row r="2789" spans="1:13" x14ac:dyDescent="0.3">
      <c r="A2789" t="s">
        <v>3188</v>
      </c>
      <c r="B2789">
        <v>30</v>
      </c>
      <c r="C2789" t="s">
        <v>20</v>
      </c>
      <c r="D2789" t="s">
        <v>28</v>
      </c>
      <c r="E2789" t="s">
        <v>14</v>
      </c>
      <c r="F2789" t="s">
        <v>558</v>
      </c>
      <c r="G2789" t="s">
        <v>675</v>
      </c>
      <c r="H2789">
        <v>3</v>
      </c>
      <c r="I2789" s="1">
        <v>3358.8</v>
      </c>
      <c r="J2789" t="s">
        <v>17</v>
      </c>
      <c r="K2789" t="s">
        <v>18</v>
      </c>
      <c r="L2789" t="str" cm="1">
        <f t="array" ref="L2789">_xlfn.IFS(B2789&lt;30,"18-29",B2789&lt;45,"30-44",B2789&lt;60,"45-59",B2789&lt;75,"60-74",B2789&lt;=90,"75-90")</f>
        <v>30-44</v>
      </c>
      <c r="M2789" t="str">
        <f>IF(Table1[[#This Row],[length_of_stay_days]]&gt;7,"Yes","No")</f>
        <v>No</v>
      </c>
    </row>
    <row r="2790" spans="1:13" x14ac:dyDescent="0.3">
      <c r="A2790" t="s">
        <v>3189</v>
      </c>
      <c r="B2790">
        <v>59</v>
      </c>
      <c r="C2790" t="s">
        <v>20</v>
      </c>
      <c r="D2790" t="s">
        <v>32</v>
      </c>
      <c r="E2790" t="s">
        <v>28</v>
      </c>
      <c r="F2790" t="s">
        <v>537</v>
      </c>
      <c r="G2790" t="s">
        <v>285</v>
      </c>
      <c r="H2790">
        <v>1</v>
      </c>
      <c r="I2790" s="1">
        <v>9092.58</v>
      </c>
      <c r="J2790" t="s">
        <v>17</v>
      </c>
      <c r="K2790" t="s">
        <v>18</v>
      </c>
      <c r="L2790" t="str" cm="1">
        <f t="array" ref="L2790">_xlfn.IFS(B2790&lt;30,"18-29",B2790&lt;45,"30-44",B2790&lt;60,"45-59",B2790&lt;75,"60-74",B2790&lt;=90,"75-90")</f>
        <v>45-59</v>
      </c>
      <c r="M2790" t="str">
        <f>IF(Table1[[#This Row],[length_of_stay_days]]&gt;7,"Yes","No")</f>
        <v>No</v>
      </c>
    </row>
    <row r="2791" spans="1:13" x14ac:dyDescent="0.3">
      <c r="A2791" t="s">
        <v>3190</v>
      </c>
      <c r="B2791">
        <v>76</v>
      </c>
      <c r="C2791" t="s">
        <v>12</v>
      </c>
      <c r="D2791" t="s">
        <v>28</v>
      </c>
      <c r="E2791" t="s">
        <v>28</v>
      </c>
      <c r="F2791" t="s">
        <v>177</v>
      </c>
      <c r="G2791" t="s">
        <v>151</v>
      </c>
      <c r="H2791">
        <v>5</v>
      </c>
      <c r="I2791" s="1">
        <v>6338.77</v>
      </c>
      <c r="J2791" t="s">
        <v>17</v>
      </c>
      <c r="K2791" t="s">
        <v>18</v>
      </c>
      <c r="L2791" t="str" cm="1">
        <f t="array" ref="L2791">_xlfn.IFS(B2791&lt;30,"18-29",B2791&lt;45,"30-44",B2791&lt;60,"45-59",B2791&lt;75,"60-74",B2791&lt;=90,"75-90")</f>
        <v>75-90</v>
      </c>
      <c r="M2791" t="str">
        <f>IF(Table1[[#This Row],[length_of_stay_days]]&gt;7,"Yes","No")</f>
        <v>No</v>
      </c>
    </row>
    <row r="2792" spans="1:13" x14ac:dyDescent="0.3">
      <c r="A2792" t="s">
        <v>3191</v>
      </c>
      <c r="B2792">
        <v>38</v>
      </c>
      <c r="C2792" t="s">
        <v>20</v>
      </c>
      <c r="D2792" t="s">
        <v>32</v>
      </c>
      <c r="E2792" t="s">
        <v>28</v>
      </c>
      <c r="F2792" t="s">
        <v>342</v>
      </c>
      <c r="G2792" t="s">
        <v>322</v>
      </c>
      <c r="H2792">
        <v>6</v>
      </c>
      <c r="I2792" s="1">
        <v>11777.43</v>
      </c>
      <c r="J2792" t="s">
        <v>17</v>
      </c>
      <c r="K2792" t="s">
        <v>18</v>
      </c>
      <c r="L2792" t="str" cm="1">
        <f t="array" ref="L2792">_xlfn.IFS(B2792&lt;30,"18-29",B2792&lt;45,"30-44",B2792&lt;60,"45-59",B2792&lt;75,"60-74",B2792&lt;=90,"75-90")</f>
        <v>30-44</v>
      </c>
      <c r="M2792" t="str">
        <f>IF(Table1[[#This Row],[length_of_stay_days]]&gt;7,"Yes","No")</f>
        <v>No</v>
      </c>
    </row>
    <row r="2793" spans="1:13" x14ac:dyDescent="0.3">
      <c r="A2793" t="s">
        <v>3192</v>
      </c>
      <c r="B2793">
        <v>74</v>
      </c>
      <c r="C2793" t="s">
        <v>12</v>
      </c>
      <c r="D2793" t="s">
        <v>32</v>
      </c>
      <c r="E2793" t="s">
        <v>28</v>
      </c>
      <c r="F2793" t="s">
        <v>1248</v>
      </c>
      <c r="G2793" t="s">
        <v>474</v>
      </c>
      <c r="H2793">
        <v>9</v>
      </c>
      <c r="I2793" s="1">
        <v>14241.74</v>
      </c>
      <c r="J2793" t="s">
        <v>17</v>
      </c>
      <c r="K2793" t="s">
        <v>18</v>
      </c>
      <c r="L2793" t="str" cm="1">
        <f t="array" ref="L2793">_xlfn.IFS(B2793&lt;30,"18-29",B2793&lt;45,"30-44",B2793&lt;60,"45-59",B2793&lt;75,"60-74",B2793&lt;=90,"75-90")</f>
        <v>60-74</v>
      </c>
      <c r="M2793" t="str">
        <f>IF(Table1[[#This Row],[length_of_stay_days]]&gt;7,"Yes","No")</f>
        <v>Yes</v>
      </c>
    </row>
    <row r="2794" spans="1:13" x14ac:dyDescent="0.3">
      <c r="A2794" t="s">
        <v>3193</v>
      </c>
      <c r="B2794">
        <v>77</v>
      </c>
      <c r="C2794" t="s">
        <v>12</v>
      </c>
      <c r="D2794" t="s">
        <v>32</v>
      </c>
      <c r="E2794" t="s">
        <v>28</v>
      </c>
      <c r="F2794" t="s">
        <v>169</v>
      </c>
      <c r="G2794" t="s">
        <v>526</v>
      </c>
      <c r="H2794">
        <v>9</v>
      </c>
      <c r="I2794" s="1">
        <v>13850.38</v>
      </c>
      <c r="J2794" t="s">
        <v>17</v>
      </c>
      <c r="K2794" t="s">
        <v>18</v>
      </c>
      <c r="L2794" t="str" cm="1">
        <f t="array" ref="L2794">_xlfn.IFS(B2794&lt;30,"18-29",B2794&lt;45,"30-44",B2794&lt;60,"45-59",B2794&lt;75,"60-74",B2794&lt;=90,"75-90")</f>
        <v>75-90</v>
      </c>
      <c r="M2794" t="str">
        <f>IF(Table1[[#This Row],[length_of_stay_days]]&gt;7,"Yes","No")</f>
        <v>Yes</v>
      </c>
    </row>
    <row r="2795" spans="1:13" x14ac:dyDescent="0.3">
      <c r="A2795" t="s">
        <v>3194</v>
      </c>
      <c r="B2795">
        <v>29</v>
      </c>
      <c r="C2795" t="s">
        <v>12</v>
      </c>
      <c r="D2795" t="s">
        <v>32</v>
      </c>
      <c r="E2795" t="s">
        <v>14</v>
      </c>
      <c r="F2795" t="s">
        <v>497</v>
      </c>
      <c r="G2795" t="s">
        <v>689</v>
      </c>
      <c r="H2795">
        <v>3</v>
      </c>
      <c r="I2795" s="1">
        <v>10922.62</v>
      </c>
      <c r="J2795" t="s">
        <v>49</v>
      </c>
      <c r="K2795" t="s">
        <v>18</v>
      </c>
      <c r="L2795" t="str" cm="1">
        <f t="array" ref="L2795">_xlfn.IFS(B2795&lt;30,"18-29",B2795&lt;45,"30-44",B2795&lt;60,"45-59",B2795&lt;75,"60-74",B2795&lt;=90,"75-90")</f>
        <v>18-29</v>
      </c>
      <c r="M2795" t="str">
        <f>IF(Table1[[#This Row],[length_of_stay_days]]&gt;7,"Yes","No")</f>
        <v>No</v>
      </c>
    </row>
    <row r="2796" spans="1:13" x14ac:dyDescent="0.3">
      <c r="A2796" t="s">
        <v>3195</v>
      </c>
      <c r="B2796">
        <v>55</v>
      </c>
      <c r="C2796" t="s">
        <v>20</v>
      </c>
      <c r="D2796" t="s">
        <v>28</v>
      </c>
      <c r="E2796" t="s">
        <v>14</v>
      </c>
      <c r="F2796" t="s">
        <v>428</v>
      </c>
      <c r="G2796" t="s">
        <v>52</v>
      </c>
      <c r="H2796">
        <v>3</v>
      </c>
      <c r="I2796" s="1">
        <v>3777.92</v>
      </c>
      <c r="J2796" t="s">
        <v>17</v>
      </c>
      <c r="K2796" t="s">
        <v>18</v>
      </c>
      <c r="L2796" t="str" cm="1">
        <f t="array" ref="L2796">_xlfn.IFS(B2796&lt;30,"18-29",B2796&lt;45,"30-44",B2796&lt;60,"45-59",B2796&lt;75,"60-74",B2796&lt;=90,"75-90")</f>
        <v>45-59</v>
      </c>
      <c r="M2796" t="str">
        <f>IF(Table1[[#This Row],[length_of_stay_days]]&gt;7,"Yes","No")</f>
        <v>No</v>
      </c>
    </row>
    <row r="2797" spans="1:13" x14ac:dyDescent="0.3">
      <c r="A2797" t="s">
        <v>3196</v>
      </c>
      <c r="B2797">
        <v>42</v>
      </c>
      <c r="C2797" t="s">
        <v>20</v>
      </c>
      <c r="D2797" t="s">
        <v>55</v>
      </c>
      <c r="E2797" t="s">
        <v>14</v>
      </c>
      <c r="F2797" t="s">
        <v>352</v>
      </c>
      <c r="G2797" t="s">
        <v>783</v>
      </c>
      <c r="H2797">
        <v>3</v>
      </c>
      <c r="I2797" s="1">
        <v>8894.26</v>
      </c>
      <c r="J2797" t="s">
        <v>17</v>
      </c>
      <c r="K2797" t="s">
        <v>18</v>
      </c>
      <c r="L2797" t="str" cm="1">
        <f t="array" ref="L2797">_xlfn.IFS(B2797&lt;30,"18-29",B2797&lt;45,"30-44",B2797&lt;60,"45-59",B2797&lt;75,"60-74",B2797&lt;=90,"75-90")</f>
        <v>30-44</v>
      </c>
      <c r="M2797" t="str">
        <f>IF(Table1[[#This Row],[length_of_stay_days]]&gt;7,"Yes","No")</f>
        <v>No</v>
      </c>
    </row>
    <row r="2798" spans="1:13" x14ac:dyDescent="0.3">
      <c r="A2798" t="s">
        <v>3197</v>
      </c>
      <c r="B2798">
        <v>61</v>
      </c>
      <c r="C2798" t="s">
        <v>12</v>
      </c>
      <c r="D2798" t="s">
        <v>13</v>
      </c>
      <c r="E2798" t="s">
        <v>28</v>
      </c>
      <c r="F2798" t="s">
        <v>151</v>
      </c>
      <c r="G2798" t="s">
        <v>112</v>
      </c>
      <c r="H2798">
        <v>5</v>
      </c>
      <c r="I2798" s="1">
        <v>7845.87</v>
      </c>
      <c r="J2798" t="s">
        <v>17</v>
      </c>
      <c r="K2798" t="s">
        <v>18</v>
      </c>
      <c r="L2798" t="str" cm="1">
        <f t="array" ref="L2798">_xlfn.IFS(B2798&lt;30,"18-29",B2798&lt;45,"30-44",B2798&lt;60,"45-59",B2798&lt;75,"60-74",B2798&lt;=90,"75-90")</f>
        <v>60-74</v>
      </c>
      <c r="M2798" t="str">
        <f>IF(Table1[[#This Row],[length_of_stay_days]]&gt;7,"Yes","No")</f>
        <v>No</v>
      </c>
    </row>
    <row r="2799" spans="1:13" x14ac:dyDescent="0.3">
      <c r="A2799" t="s">
        <v>3198</v>
      </c>
      <c r="B2799">
        <v>63</v>
      </c>
      <c r="C2799" t="s">
        <v>20</v>
      </c>
      <c r="D2799" t="s">
        <v>51</v>
      </c>
      <c r="E2799" t="s">
        <v>14</v>
      </c>
      <c r="F2799" t="s">
        <v>163</v>
      </c>
      <c r="G2799" t="s">
        <v>308</v>
      </c>
      <c r="H2799">
        <v>8</v>
      </c>
      <c r="I2799" s="1">
        <v>11810.23</v>
      </c>
      <c r="J2799" t="s">
        <v>17</v>
      </c>
      <c r="K2799" t="s">
        <v>18</v>
      </c>
      <c r="L2799" t="str" cm="1">
        <f t="array" ref="L2799">_xlfn.IFS(B2799&lt;30,"18-29",B2799&lt;45,"30-44",B2799&lt;60,"45-59",B2799&lt;75,"60-74",B2799&lt;=90,"75-90")</f>
        <v>60-74</v>
      </c>
      <c r="M2799" t="str">
        <f>IF(Table1[[#This Row],[length_of_stay_days]]&gt;7,"Yes","No")</f>
        <v>Yes</v>
      </c>
    </row>
    <row r="2800" spans="1:13" x14ac:dyDescent="0.3">
      <c r="A2800" t="s">
        <v>3199</v>
      </c>
      <c r="B2800">
        <v>81</v>
      </c>
      <c r="C2800" t="s">
        <v>12</v>
      </c>
      <c r="D2800" t="s">
        <v>13</v>
      </c>
      <c r="E2800" t="s">
        <v>28</v>
      </c>
      <c r="F2800" t="s">
        <v>364</v>
      </c>
      <c r="G2800" t="s">
        <v>337</v>
      </c>
      <c r="H2800">
        <v>9</v>
      </c>
      <c r="I2800" s="1">
        <v>6267.59</v>
      </c>
      <c r="J2800" t="s">
        <v>17</v>
      </c>
      <c r="K2800" t="s">
        <v>18</v>
      </c>
      <c r="L2800" t="str" cm="1">
        <f t="array" ref="L2800">_xlfn.IFS(B2800&lt;30,"18-29",B2800&lt;45,"30-44",B2800&lt;60,"45-59",B2800&lt;75,"60-74",B2800&lt;=90,"75-90")</f>
        <v>75-90</v>
      </c>
      <c r="M2800" t="str">
        <f>IF(Table1[[#This Row],[length_of_stay_days]]&gt;7,"Yes","No")</f>
        <v>Yes</v>
      </c>
    </row>
    <row r="2801" spans="1:13" x14ac:dyDescent="0.3">
      <c r="A2801" t="s">
        <v>3200</v>
      </c>
      <c r="B2801">
        <v>32</v>
      </c>
      <c r="C2801" t="s">
        <v>12</v>
      </c>
      <c r="D2801" t="s">
        <v>28</v>
      </c>
      <c r="E2801" t="s">
        <v>14</v>
      </c>
      <c r="F2801" t="s">
        <v>64</v>
      </c>
      <c r="G2801" t="s">
        <v>526</v>
      </c>
      <c r="H2801">
        <v>2</v>
      </c>
      <c r="I2801" s="1">
        <v>4820.7700000000004</v>
      </c>
      <c r="J2801" t="s">
        <v>17</v>
      </c>
      <c r="K2801" t="s">
        <v>18</v>
      </c>
      <c r="L2801" t="str" cm="1">
        <f t="array" ref="L2801">_xlfn.IFS(B2801&lt;30,"18-29",B2801&lt;45,"30-44",B2801&lt;60,"45-59",B2801&lt;75,"60-74",B2801&lt;=90,"75-90")</f>
        <v>30-44</v>
      </c>
      <c r="M2801" t="str">
        <f>IF(Table1[[#This Row],[length_of_stay_days]]&gt;7,"Yes","No")</f>
        <v>No</v>
      </c>
    </row>
    <row r="2802" spans="1:13" x14ac:dyDescent="0.3">
      <c r="A2802" t="s">
        <v>3201</v>
      </c>
      <c r="B2802">
        <v>51</v>
      </c>
      <c r="C2802" t="s">
        <v>20</v>
      </c>
      <c r="D2802" t="s">
        <v>13</v>
      </c>
      <c r="E2802" t="s">
        <v>28</v>
      </c>
      <c r="F2802" t="s">
        <v>301</v>
      </c>
      <c r="G2802" t="s">
        <v>774</v>
      </c>
      <c r="H2802">
        <v>9</v>
      </c>
      <c r="I2802" s="1">
        <v>10198.74</v>
      </c>
      <c r="J2802" t="s">
        <v>17</v>
      </c>
      <c r="K2802" t="s">
        <v>18</v>
      </c>
      <c r="L2802" t="str" cm="1">
        <f t="array" ref="L2802">_xlfn.IFS(B2802&lt;30,"18-29",B2802&lt;45,"30-44",B2802&lt;60,"45-59",B2802&lt;75,"60-74",B2802&lt;=90,"75-90")</f>
        <v>45-59</v>
      </c>
      <c r="M2802" t="str">
        <f>IF(Table1[[#This Row],[length_of_stay_days]]&gt;7,"Yes","No")</f>
        <v>Yes</v>
      </c>
    </row>
    <row r="2803" spans="1:13" x14ac:dyDescent="0.3">
      <c r="A2803" t="s">
        <v>3202</v>
      </c>
      <c r="B2803">
        <v>59</v>
      </c>
      <c r="C2803" t="s">
        <v>20</v>
      </c>
      <c r="D2803" t="s">
        <v>13</v>
      </c>
      <c r="E2803" t="s">
        <v>21</v>
      </c>
      <c r="F2803" t="s">
        <v>1338</v>
      </c>
      <c r="G2803" t="s">
        <v>644</v>
      </c>
      <c r="H2803">
        <v>8</v>
      </c>
      <c r="I2803" s="1">
        <v>5119.74</v>
      </c>
      <c r="J2803" t="s">
        <v>49</v>
      </c>
      <c r="K2803" t="s">
        <v>18</v>
      </c>
      <c r="L2803" t="str" cm="1">
        <f t="array" ref="L2803">_xlfn.IFS(B2803&lt;30,"18-29",B2803&lt;45,"30-44",B2803&lt;60,"45-59",B2803&lt;75,"60-74",B2803&lt;=90,"75-90")</f>
        <v>45-59</v>
      </c>
      <c r="M2803" t="str">
        <f>IF(Table1[[#This Row],[length_of_stay_days]]&gt;7,"Yes","No")</f>
        <v>Yes</v>
      </c>
    </row>
    <row r="2804" spans="1:13" x14ac:dyDescent="0.3">
      <c r="A2804" t="s">
        <v>3203</v>
      </c>
      <c r="B2804">
        <v>23</v>
      </c>
      <c r="C2804" t="s">
        <v>12</v>
      </c>
      <c r="D2804" t="s">
        <v>28</v>
      </c>
      <c r="E2804" t="s">
        <v>14</v>
      </c>
      <c r="F2804" t="s">
        <v>98</v>
      </c>
      <c r="G2804" t="s">
        <v>252</v>
      </c>
      <c r="H2804">
        <v>2</v>
      </c>
      <c r="I2804" s="1">
        <v>2436.12</v>
      </c>
      <c r="J2804" t="s">
        <v>17</v>
      </c>
      <c r="K2804" t="s">
        <v>18</v>
      </c>
      <c r="L2804" t="str" cm="1">
        <f t="array" ref="L2804">_xlfn.IFS(B2804&lt;30,"18-29",B2804&lt;45,"30-44",B2804&lt;60,"45-59",B2804&lt;75,"60-74",B2804&lt;=90,"75-90")</f>
        <v>18-29</v>
      </c>
      <c r="M2804" t="str">
        <f>IF(Table1[[#This Row],[length_of_stay_days]]&gt;7,"Yes","No")</f>
        <v>No</v>
      </c>
    </row>
    <row r="2805" spans="1:13" x14ac:dyDescent="0.3">
      <c r="A2805" t="s">
        <v>3204</v>
      </c>
      <c r="B2805">
        <v>41</v>
      </c>
      <c r="C2805" t="s">
        <v>70</v>
      </c>
      <c r="D2805" t="s">
        <v>28</v>
      </c>
      <c r="E2805" t="s">
        <v>14</v>
      </c>
      <c r="F2805" t="s">
        <v>363</v>
      </c>
      <c r="G2805" t="s">
        <v>364</v>
      </c>
      <c r="H2805">
        <v>5</v>
      </c>
      <c r="I2805" s="1">
        <v>3618.79</v>
      </c>
      <c r="J2805" t="s">
        <v>17</v>
      </c>
      <c r="K2805" t="s">
        <v>18</v>
      </c>
      <c r="L2805" t="str" cm="1">
        <f t="array" ref="L2805">_xlfn.IFS(B2805&lt;30,"18-29",B2805&lt;45,"30-44",B2805&lt;60,"45-59",B2805&lt;75,"60-74",B2805&lt;=90,"75-90")</f>
        <v>30-44</v>
      </c>
      <c r="M2805" t="str">
        <f>IF(Table1[[#This Row],[length_of_stay_days]]&gt;7,"Yes","No")</f>
        <v>No</v>
      </c>
    </row>
    <row r="2806" spans="1:13" x14ac:dyDescent="0.3">
      <c r="A2806" t="s">
        <v>3205</v>
      </c>
      <c r="B2806">
        <v>55</v>
      </c>
      <c r="C2806" t="s">
        <v>12</v>
      </c>
      <c r="D2806" t="s">
        <v>46</v>
      </c>
      <c r="E2806" t="s">
        <v>21</v>
      </c>
      <c r="F2806" t="s">
        <v>252</v>
      </c>
      <c r="G2806" t="s">
        <v>530</v>
      </c>
      <c r="H2806">
        <v>9</v>
      </c>
      <c r="I2806" s="1">
        <v>18149.7</v>
      </c>
      <c r="J2806" t="s">
        <v>49</v>
      </c>
      <c r="K2806" t="s">
        <v>18</v>
      </c>
      <c r="L2806" t="str" cm="1">
        <f t="array" ref="L2806">_xlfn.IFS(B2806&lt;30,"18-29",B2806&lt;45,"30-44",B2806&lt;60,"45-59",B2806&lt;75,"60-74",B2806&lt;=90,"75-90")</f>
        <v>45-59</v>
      </c>
      <c r="M2806" t="str">
        <f>IF(Table1[[#This Row],[length_of_stay_days]]&gt;7,"Yes","No")</f>
        <v>Yes</v>
      </c>
    </row>
    <row r="2807" spans="1:13" x14ac:dyDescent="0.3">
      <c r="A2807" t="s">
        <v>3206</v>
      </c>
      <c r="B2807">
        <v>79</v>
      </c>
      <c r="C2807" t="s">
        <v>12</v>
      </c>
      <c r="D2807" t="s">
        <v>13</v>
      </c>
      <c r="E2807" t="s">
        <v>28</v>
      </c>
      <c r="F2807" t="s">
        <v>496</v>
      </c>
      <c r="G2807" t="s">
        <v>216</v>
      </c>
      <c r="H2807">
        <v>5</v>
      </c>
      <c r="I2807" s="1">
        <v>4054.33</v>
      </c>
      <c r="J2807" t="s">
        <v>17</v>
      </c>
      <c r="K2807" t="s">
        <v>18</v>
      </c>
      <c r="L2807" t="str" cm="1">
        <f t="array" ref="L2807">_xlfn.IFS(B2807&lt;30,"18-29",B2807&lt;45,"30-44",B2807&lt;60,"45-59",B2807&lt;75,"60-74",B2807&lt;=90,"75-90")</f>
        <v>75-90</v>
      </c>
      <c r="M2807" t="str">
        <f>IF(Table1[[#This Row],[length_of_stay_days]]&gt;7,"Yes","No")</f>
        <v>No</v>
      </c>
    </row>
    <row r="2808" spans="1:13" x14ac:dyDescent="0.3">
      <c r="A2808" t="s">
        <v>3207</v>
      </c>
      <c r="B2808">
        <v>51</v>
      </c>
      <c r="C2808" t="s">
        <v>12</v>
      </c>
      <c r="D2808" t="s">
        <v>28</v>
      </c>
      <c r="E2808" t="s">
        <v>21</v>
      </c>
      <c r="F2808" t="s">
        <v>255</v>
      </c>
      <c r="G2808" t="s">
        <v>285</v>
      </c>
      <c r="H2808">
        <v>4</v>
      </c>
      <c r="I2808" s="1">
        <v>9317.01</v>
      </c>
      <c r="J2808" t="s">
        <v>17</v>
      </c>
      <c r="K2808" t="s">
        <v>18</v>
      </c>
      <c r="L2808" t="str" cm="1">
        <f t="array" ref="L2808">_xlfn.IFS(B2808&lt;30,"18-29",B2808&lt;45,"30-44",B2808&lt;60,"45-59",B2808&lt;75,"60-74",B2808&lt;=90,"75-90")</f>
        <v>45-59</v>
      </c>
      <c r="M2808" t="str">
        <f>IF(Table1[[#This Row],[length_of_stay_days]]&gt;7,"Yes","No")</f>
        <v>No</v>
      </c>
    </row>
    <row r="2809" spans="1:13" x14ac:dyDescent="0.3">
      <c r="A2809" t="s">
        <v>3208</v>
      </c>
      <c r="B2809">
        <v>21</v>
      </c>
      <c r="C2809" t="s">
        <v>12</v>
      </c>
      <c r="D2809" t="s">
        <v>32</v>
      </c>
      <c r="E2809" t="s">
        <v>21</v>
      </c>
      <c r="F2809" t="s">
        <v>98</v>
      </c>
      <c r="G2809" t="s">
        <v>581</v>
      </c>
      <c r="H2809">
        <v>8</v>
      </c>
      <c r="I2809" s="1">
        <v>13844.14</v>
      </c>
      <c r="J2809" t="s">
        <v>49</v>
      </c>
      <c r="K2809" t="s">
        <v>18</v>
      </c>
      <c r="L2809" t="str" cm="1">
        <f t="array" ref="L2809">_xlfn.IFS(B2809&lt;30,"18-29",B2809&lt;45,"30-44",B2809&lt;60,"45-59",B2809&lt;75,"60-74",B2809&lt;=90,"75-90")</f>
        <v>18-29</v>
      </c>
      <c r="M2809" t="str">
        <f>IF(Table1[[#This Row],[length_of_stay_days]]&gt;7,"Yes","No")</f>
        <v>Yes</v>
      </c>
    </row>
    <row r="2810" spans="1:13" x14ac:dyDescent="0.3">
      <c r="A2810" t="s">
        <v>3209</v>
      </c>
      <c r="B2810">
        <v>27</v>
      </c>
      <c r="C2810" t="s">
        <v>20</v>
      </c>
      <c r="D2810" t="s">
        <v>13</v>
      </c>
      <c r="E2810" t="s">
        <v>21</v>
      </c>
      <c r="F2810" t="s">
        <v>774</v>
      </c>
      <c r="G2810" t="s">
        <v>226</v>
      </c>
      <c r="H2810">
        <v>3</v>
      </c>
      <c r="I2810" s="1">
        <v>6871.15</v>
      </c>
      <c r="J2810" t="s">
        <v>17</v>
      </c>
      <c r="K2810" t="s">
        <v>18</v>
      </c>
      <c r="L2810" t="str" cm="1">
        <f t="array" ref="L2810">_xlfn.IFS(B2810&lt;30,"18-29",B2810&lt;45,"30-44",B2810&lt;60,"45-59",B2810&lt;75,"60-74",B2810&lt;=90,"75-90")</f>
        <v>18-29</v>
      </c>
      <c r="M2810" t="str">
        <f>IF(Table1[[#This Row],[length_of_stay_days]]&gt;7,"Yes","No")</f>
        <v>No</v>
      </c>
    </row>
    <row r="2811" spans="1:13" x14ac:dyDescent="0.3">
      <c r="A2811" t="s">
        <v>3210</v>
      </c>
      <c r="B2811">
        <v>55</v>
      </c>
      <c r="C2811" t="s">
        <v>12</v>
      </c>
      <c r="D2811" t="s">
        <v>28</v>
      </c>
      <c r="E2811" t="s">
        <v>28</v>
      </c>
      <c r="F2811" t="s">
        <v>348</v>
      </c>
      <c r="G2811" t="s">
        <v>162</v>
      </c>
      <c r="H2811">
        <v>8</v>
      </c>
      <c r="I2811" s="1">
        <v>7541.11</v>
      </c>
      <c r="J2811" t="s">
        <v>17</v>
      </c>
      <c r="K2811" t="s">
        <v>18</v>
      </c>
      <c r="L2811" t="str" cm="1">
        <f t="array" ref="L2811">_xlfn.IFS(B2811&lt;30,"18-29",B2811&lt;45,"30-44",B2811&lt;60,"45-59",B2811&lt;75,"60-74",B2811&lt;=90,"75-90")</f>
        <v>45-59</v>
      </c>
      <c r="M2811" t="str">
        <f>IF(Table1[[#This Row],[length_of_stay_days]]&gt;7,"Yes","No")</f>
        <v>Yes</v>
      </c>
    </row>
    <row r="2812" spans="1:13" x14ac:dyDescent="0.3">
      <c r="A2812" t="s">
        <v>3211</v>
      </c>
      <c r="B2812">
        <v>40</v>
      </c>
      <c r="C2812" t="s">
        <v>12</v>
      </c>
      <c r="D2812" t="s">
        <v>55</v>
      </c>
      <c r="E2812" t="s">
        <v>14</v>
      </c>
      <c r="F2812" t="s">
        <v>342</v>
      </c>
      <c r="G2812" t="s">
        <v>258</v>
      </c>
      <c r="H2812">
        <v>5</v>
      </c>
      <c r="I2812" s="1">
        <v>7831.64</v>
      </c>
      <c r="J2812" t="s">
        <v>17</v>
      </c>
      <c r="K2812" t="s">
        <v>44</v>
      </c>
      <c r="L2812" t="str" cm="1">
        <f t="array" ref="L2812">_xlfn.IFS(B2812&lt;30,"18-29",B2812&lt;45,"30-44",B2812&lt;60,"45-59",B2812&lt;75,"60-74",B2812&lt;=90,"75-90")</f>
        <v>30-44</v>
      </c>
      <c r="M2812" t="str">
        <f>IF(Table1[[#This Row],[length_of_stay_days]]&gt;7,"Yes","No")</f>
        <v>No</v>
      </c>
    </row>
    <row r="2813" spans="1:13" x14ac:dyDescent="0.3">
      <c r="A2813" t="s">
        <v>3212</v>
      </c>
      <c r="B2813">
        <v>42</v>
      </c>
      <c r="C2813" t="s">
        <v>12</v>
      </c>
      <c r="D2813" t="s">
        <v>32</v>
      </c>
      <c r="E2813" t="s">
        <v>21</v>
      </c>
      <c r="F2813" t="s">
        <v>92</v>
      </c>
      <c r="G2813" t="s">
        <v>421</v>
      </c>
      <c r="H2813">
        <v>9</v>
      </c>
      <c r="I2813" s="1">
        <v>10758.98</v>
      </c>
      <c r="J2813" t="s">
        <v>17</v>
      </c>
      <c r="K2813" t="s">
        <v>18</v>
      </c>
      <c r="L2813" t="str" cm="1">
        <f t="array" ref="L2813">_xlfn.IFS(B2813&lt;30,"18-29",B2813&lt;45,"30-44",B2813&lt;60,"45-59",B2813&lt;75,"60-74",B2813&lt;=90,"75-90")</f>
        <v>30-44</v>
      </c>
      <c r="M2813" t="str">
        <f>IF(Table1[[#This Row],[length_of_stay_days]]&gt;7,"Yes","No")</f>
        <v>Yes</v>
      </c>
    </row>
    <row r="2814" spans="1:13" x14ac:dyDescent="0.3">
      <c r="A2814" t="s">
        <v>3213</v>
      </c>
      <c r="B2814">
        <v>85</v>
      </c>
      <c r="C2814" t="s">
        <v>20</v>
      </c>
      <c r="D2814" t="s">
        <v>46</v>
      </c>
      <c r="E2814" t="s">
        <v>21</v>
      </c>
      <c r="F2814" t="s">
        <v>646</v>
      </c>
      <c r="G2814" t="s">
        <v>575</v>
      </c>
      <c r="H2814">
        <v>3</v>
      </c>
      <c r="I2814" s="1">
        <v>10719.02</v>
      </c>
      <c r="J2814" t="s">
        <v>17</v>
      </c>
      <c r="K2814" t="s">
        <v>18</v>
      </c>
      <c r="L2814" t="str" cm="1">
        <f t="array" ref="L2814">_xlfn.IFS(B2814&lt;30,"18-29",B2814&lt;45,"30-44",B2814&lt;60,"45-59",B2814&lt;75,"60-74",B2814&lt;=90,"75-90")</f>
        <v>75-90</v>
      </c>
      <c r="M2814" t="str">
        <f>IF(Table1[[#This Row],[length_of_stay_days]]&gt;7,"Yes","No")</f>
        <v>No</v>
      </c>
    </row>
    <row r="2815" spans="1:13" x14ac:dyDescent="0.3">
      <c r="A2815" t="s">
        <v>3214</v>
      </c>
      <c r="B2815">
        <v>61</v>
      </c>
      <c r="C2815" t="s">
        <v>12</v>
      </c>
      <c r="D2815" t="s">
        <v>55</v>
      </c>
      <c r="E2815" t="s">
        <v>28</v>
      </c>
      <c r="F2815" t="s">
        <v>207</v>
      </c>
      <c r="G2815" t="s">
        <v>222</v>
      </c>
      <c r="H2815">
        <v>6</v>
      </c>
      <c r="I2815" s="1">
        <v>7685.78</v>
      </c>
      <c r="J2815" t="s">
        <v>17</v>
      </c>
      <c r="K2815" t="s">
        <v>18</v>
      </c>
      <c r="L2815" t="str" cm="1">
        <f t="array" ref="L2815">_xlfn.IFS(B2815&lt;30,"18-29",B2815&lt;45,"30-44",B2815&lt;60,"45-59",B2815&lt;75,"60-74",B2815&lt;=90,"75-90")</f>
        <v>60-74</v>
      </c>
      <c r="M2815" t="str">
        <f>IF(Table1[[#This Row],[length_of_stay_days]]&gt;7,"Yes","No")</f>
        <v>No</v>
      </c>
    </row>
    <row r="2816" spans="1:13" x14ac:dyDescent="0.3">
      <c r="A2816" t="s">
        <v>3215</v>
      </c>
      <c r="B2816">
        <v>67</v>
      </c>
      <c r="C2816" t="s">
        <v>20</v>
      </c>
      <c r="D2816" t="s">
        <v>55</v>
      </c>
      <c r="E2816" t="s">
        <v>14</v>
      </c>
      <c r="F2816" t="s">
        <v>422</v>
      </c>
      <c r="G2816" t="s">
        <v>222</v>
      </c>
      <c r="H2816">
        <v>2</v>
      </c>
      <c r="I2816" s="1">
        <v>5520.13</v>
      </c>
      <c r="J2816" t="s">
        <v>17</v>
      </c>
      <c r="K2816" t="s">
        <v>18</v>
      </c>
      <c r="L2816" t="str" cm="1">
        <f t="array" ref="L2816">_xlfn.IFS(B2816&lt;30,"18-29",B2816&lt;45,"30-44",B2816&lt;60,"45-59",B2816&lt;75,"60-74",B2816&lt;=90,"75-90")</f>
        <v>60-74</v>
      </c>
      <c r="M2816" t="str">
        <f>IF(Table1[[#This Row],[length_of_stay_days]]&gt;7,"Yes","No")</f>
        <v>No</v>
      </c>
    </row>
    <row r="2817" spans="1:13" x14ac:dyDescent="0.3">
      <c r="A2817" t="s">
        <v>3216</v>
      </c>
      <c r="B2817">
        <v>28</v>
      </c>
      <c r="C2817" t="s">
        <v>12</v>
      </c>
      <c r="D2817" t="s">
        <v>46</v>
      </c>
      <c r="E2817" t="s">
        <v>21</v>
      </c>
      <c r="F2817" t="s">
        <v>411</v>
      </c>
      <c r="G2817" t="s">
        <v>481</v>
      </c>
      <c r="H2817">
        <v>8</v>
      </c>
      <c r="I2817" s="1">
        <v>16442.62</v>
      </c>
      <c r="J2817" t="s">
        <v>17</v>
      </c>
      <c r="K2817" t="s">
        <v>18</v>
      </c>
      <c r="L2817" t="str" cm="1">
        <f t="array" ref="L2817">_xlfn.IFS(B2817&lt;30,"18-29",B2817&lt;45,"30-44",B2817&lt;60,"45-59",B2817&lt;75,"60-74",B2817&lt;=90,"75-90")</f>
        <v>18-29</v>
      </c>
      <c r="M2817" t="str">
        <f>IF(Table1[[#This Row],[length_of_stay_days]]&gt;7,"Yes","No")</f>
        <v>Yes</v>
      </c>
    </row>
    <row r="2818" spans="1:13" x14ac:dyDescent="0.3">
      <c r="A2818" t="s">
        <v>3217</v>
      </c>
      <c r="B2818">
        <v>38</v>
      </c>
      <c r="C2818" t="s">
        <v>12</v>
      </c>
      <c r="D2818" t="s">
        <v>46</v>
      </c>
      <c r="E2818" t="s">
        <v>14</v>
      </c>
      <c r="F2818" t="s">
        <v>633</v>
      </c>
      <c r="G2818" t="s">
        <v>767</v>
      </c>
      <c r="H2818">
        <v>7</v>
      </c>
      <c r="I2818" s="1">
        <v>13143.51</v>
      </c>
      <c r="J2818" t="s">
        <v>17</v>
      </c>
      <c r="K2818" t="s">
        <v>18</v>
      </c>
      <c r="L2818" t="str" cm="1">
        <f t="array" ref="L2818">_xlfn.IFS(B2818&lt;30,"18-29",B2818&lt;45,"30-44",B2818&lt;60,"45-59",B2818&lt;75,"60-74",B2818&lt;=90,"75-90")</f>
        <v>30-44</v>
      </c>
      <c r="M2818" t="str">
        <f>IF(Table1[[#This Row],[length_of_stay_days]]&gt;7,"Yes","No")</f>
        <v>No</v>
      </c>
    </row>
    <row r="2819" spans="1:13" x14ac:dyDescent="0.3">
      <c r="A2819" t="s">
        <v>3218</v>
      </c>
      <c r="B2819">
        <v>83</v>
      </c>
      <c r="C2819" t="s">
        <v>20</v>
      </c>
      <c r="D2819" t="s">
        <v>55</v>
      </c>
      <c r="E2819" t="s">
        <v>14</v>
      </c>
      <c r="F2819" t="s">
        <v>517</v>
      </c>
      <c r="G2819" t="s">
        <v>791</v>
      </c>
      <c r="H2819">
        <v>6</v>
      </c>
      <c r="I2819" s="1">
        <v>10410.549999999999</v>
      </c>
      <c r="J2819" t="s">
        <v>17</v>
      </c>
      <c r="K2819" t="s">
        <v>18</v>
      </c>
      <c r="L2819" t="str" cm="1">
        <f t="array" ref="L2819">_xlfn.IFS(B2819&lt;30,"18-29",B2819&lt;45,"30-44",B2819&lt;60,"45-59",B2819&lt;75,"60-74",B2819&lt;=90,"75-90")</f>
        <v>75-90</v>
      </c>
      <c r="M2819" t="str">
        <f>IF(Table1[[#This Row],[length_of_stay_days]]&gt;7,"Yes","No")</f>
        <v>No</v>
      </c>
    </row>
    <row r="2820" spans="1:13" x14ac:dyDescent="0.3">
      <c r="A2820" t="s">
        <v>3219</v>
      </c>
      <c r="B2820">
        <v>84</v>
      </c>
      <c r="C2820" t="s">
        <v>12</v>
      </c>
      <c r="D2820" t="s">
        <v>32</v>
      </c>
      <c r="E2820" t="s">
        <v>28</v>
      </c>
      <c r="F2820" t="s">
        <v>124</v>
      </c>
      <c r="G2820" t="s">
        <v>849</v>
      </c>
      <c r="H2820">
        <v>6</v>
      </c>
      <c r="I2820" s="1">
        <v>11421.07</v>
      </c>
      <c r="J2820" t="s">
        <v>17</v>
      </c>
      <c r="K2820" t="s">
        <v>18</v>
      </c>
      <c r="L2820" t="str" cm="1">
        <f t="array" ref="L2820">_xlfn.IFS(B2820&lt;30,"18-29",B2820&lt;45,"30-44",B2820&lt;60,"45-59",B2820&lt;75,"60-74",B2820&lt;=90,"75-90")</f>
        <v>75-90</v>
      </c>
      <c r="M2820" t="str">
        <f>IF(Table1[[#This Row],[length_of_stay_days]]&gt;7,"Yes","No")</f>
        <v>No</v>
      </c>
    </row>
    <row r="2821" spans="1:13" x14ac:dyDescent="0.3">
      <c r="A2821" t="s">
        <v>3220</v>
      </c>
      <c r="B2821">
        <v>85</v>
      </c>
      <c r="C2821" t="s">
        <v>12</v>
      </c>
      <c r="D2821" t="s">
        <v>55</v>
      </c>
      <c r="E2821" t="s">
        <v>21</v>
      </c>
      <c r="F2821" t="s">
        <v>116</v>
      </c>
      <c r="G2821" t="s">
        <v>434</v>
      </c>
      <c r="H2821">
        <v>5</v>
      </c>
      <c r="I2821" s="1">
        <v>12513.58</v>
      </c>
      <c r="J2821" t="s">
        <v>17</v>
      </c>
      <c r="K2821" t="s">
        <v>18</v>
      </c>
      <c r="L2821" t="str" cm="1">
        <f t="array" ref="L2821">_xlfn.IFS(B2821&lt;30,"18-29",B2821&lt;45,"30-44",B2821&lt;60,"45-59",B2821&lt;75,"60-74",B2821&lt;=90,"75-90")</f>
        <v>75-90</v>
      </c>
      <c r="M2821" t="str">
        <f>IF(Table1[[#This Row],[length_of_stay_days]]&gt;7,"Yes","No")</f>
        <v>No</v>
      </c>
    </row>
    <row r="2822" spans="1:13" x14ac:dyDescent="0.3">
      <c r="A2822" t="s">
        <v>3221</v>
      </c>
      <c r="B2822">
        <v>55</v>
      </c>
      <c r="C2822" t="s">
        <v>20</v>
      </c>
      <c r="D2822" t="s">
        <v>28</v>
      </c>
      <c r="E2822" t="s">
        <v>21</v>
      </c>
      <c r="F2822" t="s">
        <v>827</v>
      </c>
      <c r="G2822" t="s">
        <v>48</v>
      </c>
      <c r="H2822">
        <v>1</v>
      </c>
      <c r="I2822" s="1">
        <v>4619.21</v>
      </c>
      <c r="J2822" t="s">
        <v>17</v>
      </c>
      <c r="K2822" t="s">
        <v>18</v>
      </c>
      <c r="L2822" t="str" cm="1">
        <f t="array" ref="L2822">_xlfn.IFS(B2822&lt;30,"18-29",B2822&lt;45,"30-44",B2822&lt;60,"45-59",B2822&lt;75,"60-74",B2822&lt;=90,"75-90")</f>
        <v>45-59</v>
      </c>
      <c r="M2822" t="str">
        <f>IF(Table1[[#This Row],[length_of_stay_days]]&gt;7,"Yes","No")</f>
        <v>No</v>
      </c>
    </row>
    <row r="2823" spans="1:13" x14ac:dyDescent="0.3">
      <c r="A2823" t="s">
        <v>3222</v>
      </c>
      <c r="B2823">
        <v>53</v>
      </c>
      <c r="C2823" t="s">
        <v>20</v>
      </c>
      <c r="D2823" t="s">
        <v>46</v>
      </c>
      <c r="E2823" t="s">
        <v>14</v>
      </c>
      <c r="F2823" t="s">
        <v>827</v>
      </c>
      <c r="G2823" t="s">
        <v>56</v>
      </c>
      <c r="H2823">
        <v>5</v>
      </c>
      <c r="I2823" s="1">
        <v>11915.11</v>
      </c>
      <c r="J2823" t="s">
        <v>17</v>
      </c>
      <c r="K2823" t="s">
        <v>18</v>
      </c>
      <c r="L2823" t="str" cm="1">
        <f t="array" ref="L2823">_xlfn.IFS(B2823&lt;30,"18-29",B2823&lt;45,"30-44",B2823&lt;60,"45-59",B2823&lt;75,"60-74",B2823&lt;=90,"75-90")</f>
        <v>45-59</v>
      </c>
      <c r="M2823" t="str">
        <f>IF(Table1[[#This Row],[length_of_stay_days]]&gt;7,"Yes","No")</f>
        <v>No</v>
      </c>
    </row>
    <row r="2824" spans="1:13" x14ac:dyDescent="0.3">
      <c r="A2824" t="s">
        <v>3223</v>
      </c>
      <c r="B2824">
        <v>41</v>
      </c>
      <c r="C2824" t="s">
        <v>20</v>
      </c>
      <c r="D2824" t="s">
        <v>32</v>
      </c>
      <c r="E2824" t="s">
        <v>14</v>
      </c>
      <c r="F2824" t="s">
        <v>837</v>
      </c>
      <c r="G2824" t="s">
        <v>742</v>
      </c>
      <c r="H2824">
        <v>6</v>
      </c>
      <c r="I2824" s="1">
        <v>9395.41</v>
      </c>
      <c r="J2824" t="s">
        <v>17</v>
      </c>
      <c r="K2824" t="s">
        <v>18</v>
      </c>
      <c r="L2824" t="str" cm="1">
        <f t="array" ref="L2824">_xlfn.IFS(B2824&lt;30,"18-29",B2824&lt;45,"30-44",B2824&lt;60,"45-59",B2824&lt;75,"60-74",B2824&lt;=90,"75-90")</f>
        <v>30-44</v>
      </c>
      <c r="M2824" t="str">
        <f>IF(Table1[[#This Row],[length_of_stay_days]]&gt;7,"Yes","No")</f>
        <v>No</v>
      </c>
    </row>
    <row r="2825" spans="1:13" x14ac:dyDescent="0.3">
      <c r="A2825" t="s">
        <v>3224</v>
      </c>
      <c r="B2825">
        <v>45</v>
      </c>
      <c r="C2825" t="s">
        <v>12</v>
      </c>
      <c r="D2825" t="s">
        <v>28</v>
      </c>
      <c r="E2825" t="s">
        <v>14</v>
      </c>
      <c r="F2825" t="s">
        <v>328</v>
      </c>
      <c r="G2825" t="s">
        <v>261</v>
      </c>
      <c r="H2825">
        <v>3</v>
      </c>
      <c r="I2825" s="1">
        <v>1571.45</v>
      </c>
      <c r="J2825" t="s">
        <v>49</v>
      </c>
      <c r="K2825" t="s">
        <v>18</v>
      </c>
      <c r="L2825" t="str" cm="1">
        <f t="array" ref="L2825">_xlfn.IFS(B2825&lt;30,"18-29",B2825&lt;45,"30-44",B2825&lt;60,"45-59",B2825&lt;75,"60-74",B2825&lt;=90,"75-90")</f>
        <v>45-59</v>
      </c>
      <c r="M2825" t="str">
        <f>IF(Table1[[#This Row],[length_of_stay_days]]&gt;7,"Yes","No")</f>
        <v>No</v>
      </c>
    </row>
    <row r="2826" spans="1:13" x14ac:dyDescent="0.3">
      <c r="A2826" t="s">
        <v>3225</v>
      </c>
      <c r="B2826">
        <v>88</v>
      </c>
      <c r="C2826" t="s">
        <v>20</v>
      </c>
      <c r="D2826" t="s">
        <v>13</v>
      </c>
      <c r="E2826" t="s">
        <v>28</v>
      </c>
      <c r="F2826" t="s">
        <v>308</v>
      </c>
      <c r="G2826" t="s">
        <v>23</v>
      </c>
      <c r="H2826">
        <v>6</v>
      </c>
      <c r="I2826" s="1">
        <v>9549.25</v>
      </c>
      <c r="J2826" t="s">
        <v>17</v>
      </c>
      <c r="K2826" t="s">
        <v>223</v>
      </c>
      <c r="L2826" t="str" cm="1">
        <f t="array" ref="L2826">_xlfn.IFS(B2826&lt;30,"18-29",B2826&lt;45,"30-44",B2826&lt;60,"45-59",B2826&lt;75,"60-74",B2826&lt;=90,"75-90")</f>
        <v>75-90</v>
      </c>
      <c r="M2826" t="str">
        <f>IF(Table1[[#This Row],[length_of_stay_days]]&gt;7,"Yes","No")</f>
        <v>No</v>
      </c>
    </row>
    <row r="2827" spans="1:13" x14ac:dyDescent="0.3">
      <c r="A2827" t="s">
        <v>3226</v>
      </c>
      <c r="B2827">
        <v>66</v>
      </c>
      <c r="C2827" t="s">
        <v>12</v>
      </c>
      <c r="D2827" t="s">
        <v>28</v>
      </c>
      <c r="E2827" t="s">
        <v>28</v>
      </c>
      <c r="F2827" t="s">
        <v>675</v>
      </c>
      <c r="G2827" t="s">
        <v>530</v>
      </c>
      <c r="H2827">
        <v>1</v>
      </c>
      <c r="I2827" s="1">
        <v>3055.13</v>
      </c>
      <c r="J2827" t="s">
        <v>17</v>
      </c>
      <c r="K2827" t="s">
        <v>18</v>
      </c>
      <c r="L2827" t="str" cm="1">
        <f t="array" ref="L2827">_xlfn.IFS(B2827&lt;30,"18-29",B2827&lt;45,"30-44",B2827&lt;60,"45-59",B2827&lt;75,"60-74",B2827&lt;=90,"75-90")</f>
        <v>60-74</v>
      </c>
      <c r="M2827" t="str">
        <f>IF(Table1[[#This Row],[length_of_stay_days]]&gt;7,"Yes","No")</f>
        <v>No</v>
      </c>
    </row>
    <row r="2828" spans="1:13" x14ac:dyDescent="0.3">
      <c r="A2828" t="s">
        <v>3227</v>
      </c>
      <c r="B2828">
        <v>43</v>
      </c>
      <c r="C2828" t="s">
        <v>12</v>
      </c>
      <c r="D2828" t="s">
        <v>28</v>
      </c>
      <c r="E2828" t="s">
        <v>28</v>
      </c>
      <c r="F2828" t="s">
        <v>154</v>
      </c>
      <c r="G2828" t="s">
        <v>121</v>
      </c>
      <c r="H2828">
        <v>4</v>
      </c>
      <c r="I2828" s="1">
        <v>6130.04</v>
      </c>
      <c r="J2828" t="s">
        <v>49</v>
      </c>
      <c r="K2828" t="s">
        <v>18</v>
      </c>
      <c r="L2828" t="str" cm="1">
        <f t="array" ref="L2828">_xlfn.IFS(B2828&lt;30,"18-29",B2828&lt;45,"30-44",B2828&lt;60,"45-59",B2828&lt;75,"60-74",B2828&lt;=90,"75-90")</f>
        <v>30-44</v>
      </c>
      <c r="M2828" t="str">
        <f>IF(Table1[[#This Row],[length_of_stay_days]]&gt;7,"Yes","No")</f>
        <v>No</v>
      </c>
    </row>
    <row r="2829" spans="1:13" x14ac:dyDescent="0.3">
      <c r="A2829" t="s">
        <v>3228</v>
      </c>
      <c r="B2829">
        <v>24</v>
      </c>
      <c r="C2829" t="s">
        <v>20</v>
      </c>
      <c r="D2829" t="s">
        <v>46</v>
      </c>
      <c r="E2829" t="s">
        <v>21</v>
      </c>
      <c r="F2829" t="s">
        <v>90</v>
      </c>
      <c r="G2829" t="s">
        <v>562</v>
      </c>
      <c r="H2829">
        <v>9</v>
      </c>
      <c r="I2829" s="1">
        <v>16646.189999999999</v>
      </c>
      <c r="J2829" t="s">
        <v>17</v>
      </c>
      <c r="K2829" t="s">
        <v>18</v>
      </c>
      <c r="L2829" t="str" cm="1">
        <f t="array" ref="L2829">_xlfn.IFS(B2829&lt;30,"18-29",B2829&lt;45,"30-44",B2829&lt;60,"45-59",B2829&lt;75,"60-74",B2829&lt;=90,"75-90")</f>
        <v>18-29</v>
      </c>
      <c r="M2829" t="str">
        <f>IF(Table1[[#This Row],[length_of_stay_days]]&gt;7,"Yes","No")</f>
        <v>Yes</v>
      </c>
    </row>
    <row r="2830" spans="1:13" x14ac:dyDescent="0.3">
      <c r="A2830" t="s">
        <v>3229</v>
      </c>
      <c r="B2830">
        <v>60</v>
      </c>
      <c r="C2830" t="s">
        <v>12</v>
      </c>
      <c r="D2830" t="s">
        <v>28</v>
      </c>
      <c r="E2830" t="s">
        <v>21</v>
      </c>
      <c r="F2830" t="s">
        <v>514</v>
      </c>
      <c r="G2830" t="s">
        <v>146</v>
      </c>
      <c r="H2830">
        <v>2</v>
      </c>
      <c r="I2830" s="1">
        <v>4147.59</v>
      </c>
      <c r="J2830" t="s">
        <v>17</v>
      </c>
      <c r="K2830" t="s">
        <v>44</v>
      </c>
      <c r="L2830" t="str" cm="1">
        <f t="array" ref="L2830">_xlfn.IFS(B2830&lt;30,"18-29",B2830&lt;45,"30-44",B2830&lt;60,"45-59",B2830&lt;75,"60-74",B2830&lt;=90,"75-90")</f>
        <v>60-74</v>
      </c>
      <c r="M2830" t="str">
        <f>IF(Table1[[#This Row],[length_of_stay_days]]&gt;7,"Yes","No")</f>
        <v>No</v>
      </c>
    </row>
    <row r="2831" spans="1:13" x14ac:dyDescent="0.3">
      <c r="A2831" t="s">
        <v>3230</v>
      </c>
      <c r="B2831">
        <v>55</v>
      </c>
      <c r="C2831" t="s">
        <v>12</v>
      </c>
      <c r="D2831" t="s">
        <v>28</v>
      </c>
      <c r="E2831" t="s">
        <v>14</v>
      </c>
      <c r="F2831" t="s">
        <v>39</v>
      </c>
      <c r="G2831" t="s">
        <v>40</v>
      </c>
      <c r="H2831">
        <v>3</v>
      </c>
      <c r="I2831" s="1">
        <v>4573.6899999999996</v>
      </c>
      <c r="J2831" t="s">
        <v>17</v>
      </c>
      <c r="K2831" t="s">
        <v>18</v>
      </c>
      <c r="L2831" t="str" cm="1">
        <f t="array" ref="L2831">_xlfn.IFS(B2831&lt;30,"18-29",B2831&lt;45,"30-44",B2831&lt;60,"45-59",B2831&lt;75,"60-74",B2831&lt;=90,"75-90")</f>
        <v>45-59</v>
      </c>
      <c r="M2831" t="str">
        <f>IF(Table1[[#This Row],[length_of_stay_days]]&gt;7,"Yes","No")</f>
        <v>No</v>
      </c>
    </row>
    <row r="2832" spans="1:13" x14ac:dyDescent="0.3">
      <c r="A2832" t="s">
        <v>3231</v>
      </c>
      <c r="B2832">
        <v>54</v>
      </c>
      <c r="C2832" t="s">
        <v>20</v>
      </c>
      <c r="D2832" t="s">
        <v>28</v>
      </c>
      <c r="E2832" t="s">
        <v>28</v>
      </c>
      <c r="F2832" t="s">
        <v>99</v>
      </c>
      <c r="G2832" t="s">
        <v>530</v>
      </c>
      <c r="H2832">
        <v>6</v>
      </c>
      <c r="I2832" s="1">
        <v>8494.06</v>
      </c>
      <c r="J2832" t="s">
        <v>49</v>
      </c>
      <c r="K2832" t="s">
        <v>18</v>
      </c>
      <c r="L2832" t="str" cm="1">
        <f t="array" ref="L2832">_xlfn.IFS(B2832&lt;30,"18-29",B2832&lt;45,"30-44",B2832&lt;60,"45-59",B2832&lt;75,"60-74",B2832&lt;=90,"75-90")</f>
        <v>45-59</v>
      </c>
      <c r="M2832" t="str">
        <f>IF(Table1[[#This Row],[length_of_stay_days]]&gt;7,"Yes","No")</f>
        <v>No</v>
      </c>
    </row>
    <row r="2833" spans="1:13" x14ac:dyDescent="0.3">
      <c r="A2833" t="s">
        <v>3232</v>
      </c>
      <c r="B2833">
        <v>51</v>
      </c>
      <c r="C2833" t="s">
        <v>20</v>
      </c>
      <c r="D2833" t="s">
        <v>13</v>
      </c>
      <c r="E2833" t="s">
        <v>14</v>
      </c>
      <c r="F2833" t="s">
        <v>384</v>
      </c>
      <c r="G2833" t="s">
        <v>807</v>
      </c>
      <c r="H2833">
        <v>4</v>
      </c>
      <c r="I2833" s="1">
        <v>3568.79</v>
      </c>
      <c r="J2833" t="s">
        <v>49</v>
      </c>
      <c r="K2833" t="s">
        <v>18</v>
      </c>
      <c r="L2833" t="str" cm="1">
        <f t="array" ref="L2833">_xlfn.IFS(B2833&lt;30,"18-29",B2833&lt;45,"30-44",B2833&lt;60,"45-59",B2833&lt;75,"60-74",B2833&lt;=90,"75-90")</f>
        <v>45-59</v>
      </c>
      <c r="M2833" t="str">
        <f>IF(Table1[[#This Row],[length_of_stay_days]]&gt;7,"Yes","No")</f>
        <v>No</v>
      </c>
    </row>
    <row r="2834" spans="1:13" x14ac:dyDescent="0.3">
      <c r="A2834" t="s">
        <v>3233</v>
      </c>
      <c r="B2834">
        <v>44</v>
      </c>
      <c r="C2834" t="s">
        <v>12</v>
      </c>
      <c r="D2834" t="s">
        <v>55</v>
      </c>
      <c r="E2834" t="s">
        <v>28</v>
      </c>
      <c r="F2834" t="s">
        <v>504</v>
      </c>
      <c r="G2834" t="s">
        <v>363</v>
      </c>
      <c r="H2834">
        <v>8</v>
      </c>
      <c r="I2834" s="1">
        <v>11263.59</v>
      </c>
      <c r="J2834" t="s">
        <v>49</v>
      </c>
      <c r="K2834" t="s">
        <v>18</v>
      </c>
      <c r="L2834" t="str" cm="1">
        <f t="array" ref="L2834">_xlfn.IFS(B2834&lt;30,"18-29",B2834&lt;45,"30-44",B2834&lt;60,"45-59",B2834&lt;75,"60-74",B2834&lt;=90,"75-90")</f>
        <v>30-44</v>
      </c>
      <c r="M2834" t="str">
        <f>IF(Table1[[#This Row],[length_of_stay_days]]&gt;7,"Yes","No")</f>
        <v>Yes</v>
      </c>
    </row>
    <row r="2835" spans="1:13" x14ac:dyDescent="0.3">
      <c r="A2835" t="s">
        <v>3234</v>
      </c>
      <c r="B2835">
        <v>47</v>
      </c>
      <c r="C2835" t="s">
        <v>20</v>
      </c>
      <c r="D2835" t="s">
        <v>55</v>
      </c>
      <c r="E2835" t="s">
        <v>28</v>
      </c>
      <c r="F2835" t="s">
        <v>61</v>
      </c>
      <c r="G2835" t="s">
        <v>471</v>
      </c>
      <c r="H2835">
        <v>5</v>
      </c>
      <c r="I2835" s="1">
        <v>8858.98</v>
      </c>
      <c r="J2835" t="s">
        <v>17</v>
      </c>
      <c r="K2835" t="s">
        <v>18</v>
      </c>
      <c r="L2835" t="str" cm="1">
        <f t="array" ref="L2835">_xlfn.IFS(B2835&lt;30,"18-29",B2835&lt;45,"30-44",B2835&lt;60,"45-59",B2835&lt;75,"60-74",B2835&lt;=90,"75-90")</f>
        <v>45-59</v>
      </c>
      <c r="M2835" t="str">
        <f>IF(Table1[[#This Row],[length_of_stay_days]]&gt;7,"Yes","No")</f>
        <v>No</v>
      </c>
    </row>
    <row r="2836" spans="1:13" x14ac:dyDescent="0.3">
      <c r="A2836" t="s">
        <v>3235</v>
      </c>
      <c r="B2836">
        <v>19</v>
      </c>
      <c r="C2836" t="s">
        <v>12</v>
      </c>
      <c r="D2836" t="s">
        <v>28</v>
      </c>
      <c r="E2836" t="s">
        <v>28</v>
      </c>
      <c r="F2836" t="s">
        <v>574</v>
      </c>
      <c r="G2836" t="s">
        <v>447</v>
      </c>
      <c r="H2836">
        <v>6</v>
      </c>
      <c r="I2836" s="1">
        <v>6333.45</v>
      </c>
      <c r="J2836" t="s">
        <v>17</v>
      </c>
      <c r="K2836" t="s">
        <v>18</v>
      </c>
      <c r="L2836" t="str" cm="1">
        <f t="array" ref="L2836">_xlfn.IFS(B2836&lt;30,"18-29",B2836&lt;45,"30-44",B2836&lt;60,"45-59",B2836&lt;75,"60-74",B2836&lt;=90,"75-90")</f>
        <v>18-29</v>
      </c>
      <c r="M2836" t="str">
        <f>IF(Table1[[#This Row],[length_of_stay_days]]&gt;7,"Yes","No")</f>
        <v>No</v>
      </c>
    </row>
    <row r="2837" spans="1:13" x14ac:dyDescent="0.3">
      <c r="A2837" t="s">
        <v>3236</v>
      </c>
      <c r="B2837">
        <v>27</v>
      </c>
      <c r="C2837" t="s">
        <v>20</v>
      </c>
      <c r="D2837" t="s">
        <v>28</v>
      </c>
      <c r="E2837" t="s">
        <v>14</v>
      </c>
      <c r="F2837" t="s">
        <v>43</v>
      </c>
      <c r="G2837" t="s">
        <v>314</v>
      </c>
      <c r="H2837">
        <v>1</v>
      </c>
      <c r="I2837" s="1">
        <v>3483.82</v>
      </c>
      <c r="J2837" t="s">
        <v>17</v>
      </c>
      <c r="K2837" t="s">
        <v>18</v>
      </c>
      <c r="L2837" t="str" cm="1">
        <f t="array" ref="L2837">_xlfn.IFS(B2837&lt;30,"18-29",B2837&lt;45,"30-44",B2837&lt;60,"45-59",B2837&lt;75,"60-74",B2837&lt;=90,"75-90")</f>
        <v>18-29</v>
      </c>
      <c r="M2837" t="str">
        <f>IF(Table1[[#This Row],[length_of_stay_days]]&gt;7,"Yes","No")</f>
        <v>No</v>
      </c>
    </row>
    <row r="2838" spans="1:13" x14ac:dyDescent="0.3">
      <c r="A2838" t="s">
        <v>3237</v>
      </c>
      <c r="B2838">
        <v>36</v>
      </c>
      <c r="C2838" t="s">
        <v>20</v>
      </c>
      <c r="D2838" t="s">
        <v>28</v>
      </c>
      <c r="E2838" t="s">
        <v>28</v>
      </c>
      <c r="F2838" t="s">
        <v>430</v>
      </c>
      <c r="G2838" t="s">
        <v>354</v>
      </c>
      <c r="H2838">
        <v>3</v>
      </c>
      <c r="I2838" s="1">
        <v>6765.86</v>
      </c>
      <c r="J2838" t="s">
        <v>17</v>
      </c>
      <c r="K2838" t="s">
        <v>18</v>
      </c>
      <c r="L2838" t="str" cm="1">
        <f t="array" ref="L2838">_xlfn.IFS(B2838&lt;30,"18-29",B2838&lt;45,"30-44",B2838&lt;60,"45-59",B2838&lt;75,"60-74",B2838&lt;=90,"75-90")</f>
        <v>30-44</v>
      </c>
      <c r="M2838" t="str">
        <f>IF(Table1[[#This Row],[length_of_stay_days]]&gt;7,"Yes","No")</f>
        <v>No</v>
      </c>
    </row>
    <row r="2839" spans="1:13" x14ac:dyDescent="0.3">
      <c r="A2839" t="s">
        <v>3238</v>
      </c>
      <c r="B2839">
        <v>54</v>
      </c>
      <c r="C2839" t="s">
        <v>20</v>
      </c>
      <c r="D2839" t="s">
        <v>55</v>
      </c>
      <c r="E2839" t="s">
        <v>14</v>
      </c>
      <c r="F2839" t="s">
        <v>428</v>
      </c>
      <c r="G2839" t="s">
        <v>158</v>
      </c>
      <c r="H2839">
        <v>5</v>
      </c>
      <c r="I2839" s="1">
        <v>9029.43</v>
      </c>
      <c r="J2839" t="s">
        <v>17</v>
      </c>
      <c r="K2839" t="s">
        <v>18</v>
      </c>
      <c r="L2839" t="str" cm="1">
        <f t="array" ref="L2839">_xlfn.IFS(B2839&lt;30,"18-29",B2839&lt;45,"30-44",B2839&lt;60,"45-59",B2839&lt;75,"60-74",B2839&lt;=90,"75-90")</f>
        <v>45-59</v>
      </c>
      <c r="M2839" t="str">
        <f>IF(Table1[[#This Row],[length_of_stay_days]]&gt;7,"Yes","No")</f>
        <v>No</v>
      </c>
    </row>
    <row r="2840" spans="1:13" x14ac:dyDescent="0.3">
      <c r="A2840" t="s">
        <v>3239</v>
      </c>
      <c r="B2840">
        <v>52</v>
      </c>
      <c r="C2840" t="s">
        <v>12</v>
      </c>
      <c r="D2840" t="s">
        <v>28</v>
      </c>
      <c r="E2840" t="s">
        <v>21</v>
      </c>
      <c r="F2840" t="s">
        <v>574</v>
      </c>
      <c r="G2840" t="s">
        <v>481</v>
      </c>
      <c r="H2840">
        <v>7</v>
      </c>
      <c r="I2840" s="1">
        <v>7667.4</v>
      </c>
      <c r="J2840" t="s">
        <v>49</v>
      </c>
      <c r="K2840" t="s">
        <v>18</v>
      </c>
      <c r="L2840" t="str" cm="1">
        <f t="array" ref="L2840">_xlfn.IFS(B2840&lt;30,"18-29",B2840&lt;45,"30-44",B2840&lt;60,"45-59",B2840&lt;75,"60-74",B2840&lt;=90,"75-90")</f>
        <v>45-59</v>
      </c>
      <c r="M2840" t="str">
        <f>IF(Table1[[#This Row],[length_of_stay_days]]&gt;7,"Yes","No")</f>
        <v>No</v>
      </c>
    </row>
    <row r="2841" spans="1:13" x14ac:dyDescent="0.3">
      <c r="A2841" t="s">
        <v>3240</v>
      </c>
      <c r="B2841">
        <v>79</v>
      </c>
      <c r="C2841" t="s">
        <v>12</v>
      </c>
      <c r="D2841" t="s">
        <v>28</v>
      </c>
      <c r="E2841" t="s">
        <v>28</v>
      </c>
      <c r="F2841" t="s">
        <v>451</v>
      </c>
      <c r="G2841" t="s">
        <v>783</v>
      </c>
      <c r="H2841">
        <v>7</v>
      </c>
      <c r="I2841" s="1">
        <v>6555.66</v>
      </c>
      <c r="J2841" t="s">
        <v>17</v>
      </c>
      <c r="K2841" t="s">
        <v>18</v>
      </c>
      <c r="L2841" t="str" cm="1">
        <f t="array" ref="L2841">_xlfn.IFS(B2841&lt;30,"18-29",B2841&lt;45,"30-44",B2841&lt;60,"45-59",B2841&lt;75,"60-74",B2841&lt;=90,"75-90")</f>
        <v>75-90</v>
      </c>
      <c r="M2841" t="str">
        <f>IF(Table1[[#This Row],[length_of_stay_days]]&gt;7,"Yes","No")</f>
        <v>No</v>
      </c>
    </row>
    <row r="2842" spans="1:13" x14ac:dyDescent="0.3">
      <c r="A2842" t="s">
        <v>3241</v>
      </c>
      <c r="B2842">
        <v>77</v>
      </c>
      <c r="C2842" t="s">
        <v>12</v>
      </c>
      <c r="D2842" t="s">
        <v>13</v>
      </c>
      <c r="E2842" t="s">
        <v>14</v>
      </c>
      <c r="F2842" t="s">
        <v>61</v>
      </c>
      <c r="G2842" t="s">
        <v>471</v>
      </c>
      <c r="H2842">
        <v>5</v>
      </c>
      <c r="I2842" s="1">
        <v>5007.8100000000004</v>
      </c>
      <c r="J2842" t="s">
        <v>17</v>
      </c>
      <c r="K2842" t="s">
        <v>18</v>
      </c>
      <c r="L2842" t="str" cm="1">
        <f t="array" ref="L2842">_xlfn.IFS(B2842&lt;30,"18-29",B2842&lt;45,"30-44",B2842&lt;60,"45-59",B2842&lt;75,"60-74",B2842&lt;=90,"75-90")</f>
        <v>75-90</v>
      </c>
      <c r="M2842" t="str">
        <f>IF(Table1[[#This Row],[length_of_stay_days]]&gt;7,"Yes","No")</f>
        <v>No</v>
      </c>
    </row>
    <row r="2843" spans="1:13" x14ac:dyDescent="0.3">
      <c r="A2843" t="s">
        <v>3242</v>
      </c>
      <c r="B2843">
        <v>61</v>
      </c>
      <c r="C2843" t="s">
        <v>20</v>
      </c>
      <c r="D2843" t="s">
        <v>32</v>
      </c>
      <c r="E2843" t="s">
        <v>28</v>
      </c>
      <c r="F2843" t="s">
        <v>109</v>
      </c>
      <c r="G2843" t="s">
        <v>40</v>
      </c>
      <c r="H2843">
        <v>10</v>
      </c>
      <c r="I2843" s="1">
        <v>15163.51</v>
      </c>
      <c r="J2843" t="s">
        <v>17</v>
      </c>
      <c r="K2843" t="s">
        <v>18</v>
      </c>
      <c r="L2843" t="str" cm="1">
        <f t="array" ref="L2843">_xlfn.IFS(B2843&lt;30,"18-29",B2843&lt;45,"30-44",B2843&lt;60,"45-59",B2843&lt;75,"60-74",B2843&lt;=90,"75-90")</f>
        <v>60-74</v>
      </c>
      <c r="M2843" t="str">
        <f>IF(Table1[[#This Row],[length_of_stay_days]]&gt;7,"Yes","No")</f>
        <v>Yes</v>
      </c>
    </row>
    <row r="2844" spans="1:13" x14ac:dyDescent="0.3">
      <c r="A2844" t="s">
        <v>3243</v>
      </c>
      <c r="B2844">
        <v>62</v>
      </c>
      <c r="C2844" t="s">
        <v>12</v>
      </c>
      <c r="D2844" t="s">
        <v>32</v>
      </c>
      <c r="E2844" t="s">
        <v>21</v>
      </c>
      <c r="F2844" t="s">
        <v>250</v>
      </c>
      <c r="G2844" t="s">
        <v>454</v>
      </c>
      <c r="H2844">
        <v>8</v>
      </c>
      <c r="I2844" s="1">
        <v>9287.32</v>
      </c>
      <c r="J2844" t="s">
        <v>17</v>
      </c>
      <c r="K2844" t="s">
        <v>18</v>
      </c>
      <c r="L2844" t="str" cm="1">
        <f t="array" ref="L2844">_xlfn.IFS(B2844&lt;30,"18-29",B2844&lt;45,"30-44",B2844&lt;60,"45-59",B2844&lt;75,"60-74",B2844&lt;=90,"75-90")</f>
        <v>60-74</v>
      </c>
      <c r="M2844" t="str">
        <f>IF(Table1[[#This Row],[length_of_stay_days]]&gt;7,"Yes","No")</f>
        <v>Yes</v>
      </c>
    </row>
    <row r="2845" spans="1:13" x14ac:dyDescent="0.3">
      <c r="A2845" t="s">
        <v>3244</v>
      </c>
      <c r="B2845">
        <v>39</v>
      </c>
      <c r="C2845" t="s">
        <v>12</v>
      </c>
      <c r="D2845" t="s">
        <v>28</v>
      </c>
      <c r="E2845" t="s">
        <v>21</v>
      </c>
      <c r="F2845" t="s">
        <v>295</v>
      </c>
      <c r="G2845" t="s">
        <v>301</v>
      </c>
      <c r="H2845">
        <v>3</v>
      </c>
      <c r="I2845" s="1">
        <v>3470.93</v>
      </c>
      <c r="J2845" t="s">
        <v>17</v>
      </c>
      <c r="K2845" t="s">
        <v>18</v>
      </c>
      <c r="L2845" t="str" cm="1">
        <f t="array" ref="L2845">_xlfn.IFS(B2845&lt;30,"18-29",B2845&lt;45,"30-44",B2845&lt;60,"45-59",B2845&lt;75,"60-74",B2845&lt;=90,"75-90")</f>
        <v>30-44</v>
      </c>
      <c r="M2845" t="str">
        <f>IF(Table1[[#This Row],[length_of_stay_days]]&gt;7,"Yes","No")</f>
        <v>No</v>
      </c>
    </row>
    <row r="2846" spans="1:13" x14ac:dyDescent="0.3">
      <c r="A2846" t="s">
        <v>3245</v>
      </c>
      <c r="B2846">
        <v>41</v>
      </c>
      <c r="C2846" t="s">
        <v>20</v>
      </c>
      <c r="D2846" t="s">
        <v>13</v>
      </c>
      <c r="E2846" t="s">
        <v>21</v>
      </c>
      <c r="F2846" t="s">
        <v>232</v>
      </c>
      <c r="G2846" t="s">
        <v>135</v>
      </c>
      <c r="H2846">
        <v>5</v>
      </c>
      <c r="I2846" s="1">
        <v>6016.42</v>
      </c>
      <c r="J2846" t="s">
        <v>17</v>
      </c>
      <c r="K2846" t="s">
        <v>18</v>
      </c>
      <c r="L2846" t="str" cm="1">
        <f t="array" ref="L2846">_xlfn.IFS(B2846&lt;30,"18-29",B2846&lt;45,"30-44",B2846&lt;60,"45-59",B2846&lt;75,"60-74",B2846&lt;=90,"75-90")</f>
        <v>30-44</v>
      </c>
      <c r="M2846" t="str">
        <f>IF(Table1[[#This Row],[length_of_stay_days]]&gt;7,"Yes","No")</f>
        <v>No</v>
      </c>
    </row>
    <row r="2847" spans="1:13" x14ac:dyDescent="0.3">
      <c r="A2847" t="s">
        <v>3246</v>
      </c>
      <c r="B2847">
        <v>51</v>
      </c>
      <c r="C2847" t="s">
        <v>12</v>
      </c>
      <c r="D2847" t="s">
        <v>32</v>
      </c>
      <c r="E2847" t="s">
        <v>21</v>
      </c>
      <c r="F2847" t="s">
        <v>174</v>
      </c>
      <c r="G2847" t="s">
        <v>232</v>
      </c>
      <c r="H2847">
        <v>4</v>
      </c>
      <c r="I2847" s="1">
        <v>11099.43</v>
      </c>
      <c r="J2847" t="s">
        <v>17</v>
      </c>
      <c r="K2847" t="s">
        <v>18</v>
      </c>
      <c r="L2847" t="str" cm="1">
        <f t="array" ref="L2847">_xlfn.IFS(B2847&lt;30,"18-29",B2847&lt;45,"30-44",B2847&lt;60,"45-59",B2847&lt;75,"60-74",B2847&lt;=90,"75-90")</f>
        <v>45-59</v>
      </c>
      <c r="M2847" t="str">
        <f>IF(Table1[[#This Row],[length_of_stay_days]]&gt;7,"Yes","No")</f>
        <v>No</v>
      </c>
    </row>
    <row r="2848" spans="1:13" x14ac:dyDescent="0.3">
      <c r="A2848" t="s">
        <v>3247</v>
      </c>
      <c r="B2848">
        <v>40</v>
      </c>
      <c r="C2848" t="s">
        <v>12</v>
      </c>
      <c r="D2848" t="s">
        <v>51</v>
      </c>
      <c r="E2848" t="s">
        <v>21</v>
      </c>
      <c r="F2848" t="s">
        <v>724</v>
      </c>
      <c r="H2848">
        <v>6</v>
      </c>
      <c r="I2848" s="1">
        <v>11441.22</v>
      </c>
      <c r="J2848" t="s">
        <v>17</v>
      </c>
      <c r="K2848" t="s">
        <v>44</v>
      </c>
      <c r="L2848" t="str" cm="1">
        <f t="array" ref="L2848">_xlfn.IFS(B2848&lt;30,"18-29",B2848&lt;45,"30-44",B2848&lt;60,"45-59",B2848&lt;75,"60-74",B2848&lt;=90,"75-90")</f>
        <v>30-44</v>
      </c>
      <c r="M2848" t="str">
        <f>IF(Table1[[#This Row],[length_of_stay_days]]&gt;7,"Yes","No")</f>
        <v>No</v>
      </c>
    </row>
    <row r="2849" spans="1:13" x14ac:dyDescent="0.3">
      <c r="A2849" t="s">
        <v>3248</v>
      </c>
      <c r="B2849">
        <v>51</v>
      </c>
      <c r="C2849" t="s">
        <v>12</v>
      </c>
      <c r="D2849" t="s">
        <v>28</v>
      </c>
      <c r="E2849" t="s">
        <v>28</v>
      </c>
      <c r="F2849" t="s">
        <v>137</v>
      </c>
      <c r="G2849" t="s">
        <v>742</v>
      </c>
      <c r="H2849">
        <v>4</v>
      </c>
      <c r="I2849" s="1">
        <v>3759.48</v>
      </c>
      <c r="J2849" t="s">
        <v>17</v>
      </c>
      <c r="K2849" t="s">
        <v>18</v>
      </c>
      <c r="L2849" t="str" cm="1">
        <f t="array" ref="L2849">_xlfn.IFS(B2849&lt;30,"18-29",B2849&lt;45,"30-44",B2849&lt;60,"45-59",B2849&lt;75,"60-74",B2849&lt;=90,"75-90")</f>
        <v>45-59</v>
      </c>
      <c r="M2849" t="str">
        <f>IF(Table1[[#This Row],[length_of_stay_days]]&gt;7,"Yes","No")</f>
        <v>No</v>
      </c>
    </row>
    <row r="2850" spans="1:13" x14ac:dyDescent="0.3">
      <c r="A2850" t="s">
        <v>3249</v>
      </c>
      <c r="B2850">
        <v>24</v>
      </c>
      <c r="C2850" t="s">
        <v>12</v>
      </c>
      <c r="D2850" t="s">
        <v>13</v>
      </c>
      <c r="E2850" t="s">
        <v>21</v>
      </c>
      <c r="F2850" t="s">
        <v>192</v>
      </c>
      <c r="G2850" t="s">
        <v>293</v>
      </c>
      <c r="H2850">
        <v>4</v>
      </c>
      <c r="I2850" s="1">
        <v>6741.44</v>
      </c>
      <c r="J2850" t="s">
        <v>17</v>
      </c>
      <c r="K2850" t="s">
        <v>18</v>
      </c>
      <c r="L2850" t="str" cm="1">
        <f t="array" ref="L2850">_xlfn.IFS(B2850&lt;30,"18-29",B2850&lt;45,"30-44",B2850&lt;60,"45-59",B2850&lt;75,"60-74",B2850&lt;=90,"75-90")</f>
        <v>18-29</v>
      </c>
      <c r="M2850" t="str">
        <f>IF(Table1[[#This Row],[length_of_stay_days]]&gt;7,"Yes","No")</f>
        <v>No</v>
      </c>
    </row>
    <row r="2851" spans="1:13" x14ac:dyDescent="0.3">
      <c r="A2851" t="s">
        <v>3250</v>
      </c>
      <c r="B2851">
        <v>24</v>
      </c>
      <c r="C2851" t="s">
        <v>20</v>
      </c>
      <c r="D2851" t="s">
        <v>46</v>
      </c>
      <c r="E2851" t="s">
        <v>28</v>
      </c>
      <c r="F2851" t="s">
        <v>226</v>
      </c>
      <c r="G2851" t="s">
        <v>239</v>
      </c>
      <c r="H2851">
        <v>7</v>
      </c>
      <c r="I2851" s="1">
        <v>13951.72</v>
      </c>
      <c r="J2851" t="s">
        <v>17</v>
      </c>
      <c r="K2851" t="s">
        <v>18</v>
      </c>
      <c r="L2851" t="str" cm="1">
        <f t="array" ref="L2851">_xlfn.IFS(B2851&lt;30,"18-29",B2851&lt;45,"30-44",B2851&lt;60,"45-59",B2851&lt;75,"60-74",B2851&lt;=90,"75-90")</f>
        <v>18-29</v>
      </c>
      <c r="M2851" t="str">
        <f>IF(Table1[[#This Row],[length_of_stay_days]]&gt;7,"Yes","No")</f>
        <v>No</v>
      </c>
    </row>
    <row r="2852" spans="1:13" x14ac:dyDescent="0.3">
      <c r="A2852" t="s">
        <v>3251</v>
      </c>
      <c r="B2852">
        <v>29</v>
      </c>
      <c r="C2852" t="s">
        <v>12</v>
      </c>
      <c r="D2852" t="s">
        <v>55</v>
      </c>
      <c r="E2852" t="s">
        <v>28</v>
      </c>
      <c r="F2852" t="s">
        <v>285</v>
      </c>
      <c r="G2852" t="s">
        <v>256</v>
      </c>
      <c r="H2852">
        <v>3</v>
      </c>
      <c r="I2852" s="1">
        <v>10310.44</v>
      </c>
      <c r="J2852" t="s">
        <v>17</v>
      </c>
      <c r="K2852" t="s">
        <v>18</v>
      </c>
      <c r="L2852" t="str" cm="1">
        <f t="array" ref="L2852">_xlfn.IFS(B2852&lt;30,"18-29",B2852&lt;45,"30-44",B2852&lt;60,"45-59",B2852&lt;75,"60-74",B2852&lt;=90,"75-90")</f>
        <v>18-29</v>
      </c>
      <c r="M2852" t="str">
        <f>IF(Table1[[#This Row],[length_of_stay_days]]&gt;7,"Yes","No")</f>
        <v>No</v>
      </c>
    </row>
    <row r="2853" spans="1:13" x14ac:dyDescent="0.3">
      <c r="A2853" t="s">
        <v>3252</v>
      </c>
      <c r="B2853">
        <v>47</v>
      </c>
      <c r="C2853" t="s">
        <v>12</v>
      </c>
      <c r="D2853" t="s">
        <v>46</v>
      </c>
      <c r="E2853" t="s">
        <v>28</v>
      </c>
      <c r="F2853" t="s">
        <v>849</v>
      </c>
      <c r="G2853" t="s">
        <v>895</v>
      </c>
      <c r="H2853">
        <v>8</v>
      </c>
      <c r="I2853" s="1">
        <v>14779.09</v>
      </c>
      <c r="J2853" t="s">
        <v>17</v>
      </c>
      <c r="K2853" t="s">
        <v>18</v>
      </c>
      <c r="L2853" t="str" cm="1">
        <f t="array" ref="L2853">_xlfn.IFS(B2853&lt;30,"18-29",B2853&lt;45,"30-44",B2853&lt;60,"45-59",B2853&lt;75,"60-74",B2853&lt;=90,"75-90")</f>
        <v>45-59</v>
      </c>
      <c r="M2853" t="str">
        <f>IF(Table1[[#This Row],[length_of_stay_days]]&gt;7,"Yes","No")</f>
        <v>Yes</v>
      </c>
    </row>
    <row r="2854" spans="1:13" x14ac:dyDescent="0.3">
      <c r="A2854" t="s">
        <v>3253</v>
      </c>
      <c r="B2854">
        <v>65</v>
      </c>
      <c r="C2854" t="s">
        <v>20</v>
      </c>
      <c r="D2854" t="s">
        <v>55</v>
      </c>
      <c r="E2854" t="s">
        <v>28</v>
      </c>
      <c r="F2854" t="s">
        <v>355</v>
      </c>
      <c r="G2854" t="s">
        <v>489</v>
      </c>
      <c r="H2854">
        <v>7</v>
      </c>
      <c r="I2854" s="1">
        <v>11921.13</v>
      </c>
      <c r="J2854" t="s">
        <v>17</v>
      </c>
      <c r="K2854" t="s">
        <v>18</v>
      </c>
      <c r="L2854" t="str" cm="1">
        <f t="array" ref="L2854">_xlfn.IFS(B2854&lt;30,"18-29",B2854&lt;45,"30-44",B2854&lt;60,"45-59",B2854&lt;75,"60-74",B2854&lt;=90,"75-90")</f>
        <v>60-74</v>
      </c>
      <c r="M2854" t="str">
        <f>IF(Table1[[#This Row],[length_of_stay_days]]&gt;7,"Yes","No")</f>
        <v>No</v>
      </c>
    </row>
    <row r="2855" spans="1:13" x14ac:dyDescent="0.3">
      <c r="A2855" t="s">
        <v>3254</v>
      </c>
      <c r="B2855">
        <v>77</v>
      </c>
      <c r="C2855" t="s">
        <v>12</v>
      </c>
      <c r="D2855" t="s">
        <v>51</v>
      </c>
      <c r="E2855" t="s">
        <v>14</v>
      </c>
      <c r="F2855" t="s">
        <v>1181</v>
      </c>
      <c r="G2855" t="s">
        <v>428</v>
      </c>
      <c r="H2855">
        <v>6</v>
      </c>
      <c r="I2855" s="1">
        <v>13198.65</v>
      </c>
      <c r="J2855" t="s">
        <v>49</v>
      </c>
      <c r="K2855" t="s">
        <v>18</v>
      </c>
      <c r="L2855" t="str" cm="1">
        <f t="array" ref="L2855">_xlfn.IFS(B2855&lt;30,"18-29",B2855&lt;45,"30-44",B2855&lt;60,"45-59",B2855&lt;75,"60-74",B2855&lt;=90,"75-90")</f>
        <v>75-90</v>
      </c>
      <c r="M2855" t="str">
        <f>IF(Table1[[#This Row],[length_of_stay_days]]&gt;7,"Yes","No")</f>
        <v>No</v>
      </c>
    </row>
    <row r="2856" spans="1:13" x14ac:dyDescent="0.3">
      <c r="A2856" t="s">
        <v>3255</v>
      </c>
      <c r="B2856">
        <v>90</v>
      </c>
      <c r="C2856" t="s">
        <v>12</v>
      </c>
      <c r="D2856" t="s">
        <v>28</v>
      </c>
      <c r="E2856" t="s">
        <v>28</v>
      </c>
      <c r="F2856" t="s">
        <v>308</v>
      </c>
      <c r="G2856" t="s">
        <v>309</v>
      </c>
      <c r="H2856">
        <v>4</v>
      </c>
      <c r="I2856" s="1">
        <v>4816.43</v>
      </c>
      <c r="J2856" t="s">
        <v>17</v>
      </c>
      <c r="K2856" t="s">
        <v>18</v>
      </c>
      <c r="L2856" t="str" cm="1">
        <f t="array" ref="L2856">_xlfn.IFS(B2856&lt;30,"18-29",B2856&lt;45,"30-44",B2856&lt;60,"45-59",B2856&lt;75,"60-74",B2856&lt;=90,"75-90")</f>
        <v>75-90</v>
      </c>
      <c r="M2856" t="str">
        <f>IF(Table1[[#This Row],[length_of_stay_days]]&gt;7,"Yes","No")</f>
        <v>No</v>
      </c>
    </row>
    <row r="2857" spans="1:13" x14ac:dyDescent="0.3">
      <c r="A2857" t="s">
        <v>3256</v>
      </c>
      <c r="B2857">
        <v>24</v>
      </c>
      <c r="C2857" t="s">
        <v>12</v>
      </c>
      <c r="D2857" t="s">
        <v>13</v>
      </c>
      <c r="E2857" t="s">
        <v>28</v>
      </c>
      <c r="F2857" t="s">
        <v>135</v>
      </c>
      <c r="G2857" t="s">
        <v>724</v>
      </c>
      <c r="H2857">
        <v>3</v>
      </c>
      <c r="I2857" s="1">
        <v>7247.33</v>
      </c>
      <c r="J2857" t="s">
        <v>17</v>
      </c>
      <c r="K2857" t="s">
        <v>18</v>
      </c>
      <c r="L2857" t="str" cm="1">
        <f t="array" ref="L2857">_xlfn.IFS(B2857&lt;30,"18-29",B2857&lt;45,"30-44",B2857&lt;60,"45-59",B2857&lt;75,"60-74",B2857&lt;=90,"75-90")</f>
        <v>18-29</v>
      </c>
      <c r="M2857" t="str">
        <f>IF(Table1[[#This Row],[length_of_stay_days]]&gt;7,"Yes","No")</f>
        <v>No</v>
      </c>
    </row>
    <row r="2858" spans="1:13" x14ac:dyDescent="0.3">
      <c r="A2858" t="s">
        <v>3257</v>
      </c>
      <c r="B2858">
        <v>45</v>
      </c>
      <c r="C2858" t="s">
        <v>20</v>
      </c>
      <c r="D2858" t="s">
        <v>32</v>
      </c>
      <c r="E2858" t="s">
        <v>28</v>
      </c>
      <c r="F2858" t="s">
        <v>65</v>
      </c>
      <c r="G2858" t="s">
        <v>825</v>
      </c>
      <c r="H2858">
        <v>6</v>
      </c>
      <c r="I2858" s="1">
        <v>10352.31</v>
      </c>
      <c r="J2858" t="s">
        <v>17</v>
      </c>
      <c r="K2858" t="s">
        <v>18</v>
      </c>
      <c r="L2858" t="str" cm="1">
        <f t="array" ref="L2858">_xlfn.IFS(B2858&lt;30,"18-29",B2858&lt;45,"30-44",B2858&lt;60,"45-59",B2858&lt;75,"60-74",B2858&lt;=90,"75-90")</f>
        <v>45-59</v>
      </c>
      <c r="M2858" t="str">
        <f>IF(Table1[[#This Row],[length_of_stay_days]]&gt;7,"Yes","No")</f>
        <v>No</v>
      </c>
    </row>
    <row r="2859" spans="1:13" x14ac:dyDescent="0.3">
      <c r="A2859" t="s">
        <v>3258</v>
      </c>
      <c r="B2859">
        <v>80</v>
      </c>
      <c r="C2859" t="s">
        <v>12</v>
      </c>
      <c r="D2859" t="s">
        <v>46</v>
      </c>
      <c r="E2859" t="s">
        <v>28</v>
      </c>
      <c r="F2859" t="s">
        <v>493</v>
      </c>
      <c r="G2859" t="s">
        <v>163</v>
      </c>
      <c r="H2859">
        <v>10</v>
      </c>
      <c r="I2859" s="1">
        <v>14667.31</v>
      </c>
      <c r="J2859" t="s">
        <v>17</v>
      </c>
      <c r="K2859" t="s">
        <v>18</v>
      </c>
      <c r="L2859" t="str" cm="1">
        <f t="array" ref="L2859">_xlfn.IFS(B2859&lt;30,"18-29",B2859&lt;45,"30-44",B2859&lt;60,"45-59",B2859&lt;75,"60-74",B2859&lt;=90,"75-90")</f>
        <v>75-90</v>
      </c>
      <c r="M2859" t="str">
        <f>IF(Table1[[#This Row],[length_of_stay_days]]&gt;7,"Yes","No")</f>
        <v>Yes</v>
      </c>
    </row>
    <row r="2860" spans="1:13" x14ac:dyDescent="0.3">
      <c r="A2860" t="s">
        <v>3259</v>
      </c>
      <c r="B2860">
        <v>89</v>
      </c>
      <c r="C2860" t="s">
        <v>20</v>
      </c>
      <c r="D2860" t="s">
        <v>13</v>
      </c>
      <c r="E2860" t="s">
        <v>14</v>
      </c>
      <c r="F2860" t="s">
        <v>195</v>
      </c>
      <c r="G2860" t="s">
        <v>333</v>
      </c>
      <c r="H2860">
        <v>6</v>
      </c>
      <c r="I2860" s="1">
        <v>7280.36</v>
      </c>
      <c r="J2860" t="s">
        <v>17</v>
      </c>
      <c r="K2860" t="s">
        <v>18</v>
      </c>
      <c r="L2860" t="str" cm="1">
        <f t="array" ref="L2860">_xlfn.IFS(B2860&lt;30,"18-29",B2860&lt;45,"30-44",B2860&lt;60,"45-59",B2860&lt;75,"60-74",B2860&lt;=90,"75-90")</f>
        <v>75-90</v>
      </c>
      <c r="M2860" t="str">
        <f>IF(Table1[[#This Row],[length_of_stay_days]]&gt;7,"Yes","No")</f>
        <v>No</v>
      </c>
    </row>
    <row r="2861" spans="1:13" x14ac:dyDescent="0.3">
      <c r="A2861" t="s">
        <v>3260</v>
      </c>
      <c r="B2861">
        <v>53</v>
      </c>
      <c r="C2861" t="s">
        <v>20</v>
      </c>
      <c r="D2861" t="s">
        <v>55</v>
      </c>
      <c r="E2861" t="s">
        <v>14</v>
      </c>
      <c r="F2861" t="s">
        <v>163</v>
      </c>
      <c r="G2861" t="s">
        <v>928</v>
      </c>
      <c r="H2861">
        <v>9</v>
      </c>
      <c r="I2861" s="1">
        <v>13168.93</v>
      </c>
      <c r="J2861" t="s">
        <v>17</v>
      </c>
      <c r="K2861" t="s">
        <v>18</v>
      </c>
      <c r="L2861" t="str" cm="1">
        <f t="array" ref="L2861">_xlfn.IFS(B2861&lt;30,"18-29",B2861&lt;45,"30-44",B2861&lt;60,"45-59",B2861&lt;75,"60-74",B2861&lt;=90,"75-90")</f>
        <v>45-59</v>
      </c>
      <c r="M2861" t="str">
        <f>IF(Table1[[#This Row],[length_of_stay_days]]&gt;7,"Yes","No")</f>
        <v>Yes</v>
      </c>
    </row>
    <row r="2862" spans="1:13" x14ac:dyDescent="0.3">
      <c r="A2862" t="s">
        <v>3261</v>
      </c>
      <c r="B2862">
        <v>88</v>
      </c>
      <c r="C2862" t="s">
        <v>20</v>
      </c>
      <c r="D2862" t="s">
        <v>13</v>
      </c>
      <c r="E2862" t="s">
        <v>21</v>
      </c>
      <c r="F2862" t="s">
        <v>807</v>
      </c>
      <c r="G2862" t="s">
        <v>212</v>
      </c>
      <c r="H2862">
        <v>6</v>
      </c>
      <c r="I2862" s="1">
        <v>5933.05</v>
      </c>
      <c r="J2862" t="s">
        <v>49</v>
      </c>
      <c r="K2862" t="s">
        <v>18</v>
      </c>
      <c r="L2862" t="str" cm="1">
        <f t="array" ref="L2862">_xlfn.IFS(B2862&lt;30,"18-29",B2862&lt;45,"30-44",B2862&lt;60,"45-59",B2862&lt;75,"60-74",B2862&lt;=90,"75-90")</f>
        <v>75-90</v>
      </c>
      <c r="M2862" t="str">
        <f>IF(Table1[[#This Row],[length_of_stay_days]]&gt;7,"Yes","No")</f>
        <v>No</v>
      </c>
    </row>
    <row r="2863" spans="1:13" x14ac:dyDescent="0.3">
      <c r="A2863" t="s">
        <v>3262</v>
      </c>
      <c r="B2863">
        <v>85</v>
      </c>
      <c r="C2863" t="s">
        <v>20</v>
      </c>
      <c r="D2863" t="s">
        <v>13</v>
      </c>
      <c r="E2863" t="s">
        <v>28</v>
      </c>
      <c r="F2863" t="s">
        <v>591</v>
      </c>
      <c r="G2863" t="s">
        <v>108</v>
      </c>
      <c r="H2863">
        <v>3</v>
      </c>
      <c r="I2863" s="1">
        <v>5388.4</v>
      </c>
      <c r="J2863" t="s">
        <v>17</v>
      </c>
      <c r="K2863" t="s">
        <v>18</v>
      </c>
      <c r="L2863" t="str" cm="1">
        <f t="array" ref="L2863">_xlfn.IFS(B2863&lt;30,"18-29",B2863&lt;45,"30-44",B2863&lt;60,"45-59",B2863&lt;75,"60-74",B2863&lt;=90,"75-90")</f>
        <v>75-90</v>
      </c>
      <c r="M2863" t="str">
        <f>IF(Table1[[#This Row],[length_of_stay_days]]&gt;7,"Yes","No")</f>
        <v>No</v>
      </c>
    </row>
    <row r="2864" spans="1:13" x14ac:dyDescent="0.3">
      <c r="A2864" t="s">
        <v>3263</v>
      </c>
      <c r="B2864">
        <v>52</v>
      </c>
      <c r="C2864" t="s">
        <v>20</v>
      </c>
      <c r="D2864" t="s">
        <v>28</v>
      </c>
      <c r="E2864" t="s">
        <v>21</v>
      </c>
      <c r="F2864" t="s">
        <v>547</v>
      </c>
      <c r="G2864" t="s">
        <v>504</v>
      </c>
      <c r="H2864">
        <v>4</v>
      </c>
      <c r="I2864" s="1">
        <v>5273.46</v>
      </c>
      <c r="J2864" t="s">
        <v>17</v>
      </c>
      <c r="K2864" t="s">
        <v>18</v>
      </c>
      <c r="L2864" t="str" cm="1">
        <f t="array" ref="L2864">_xlfn.IFS(B2864&lt;30,"18-29",B2864&lt;45,"30-44",B2864&lt;60,"45-59",B2864&lt;75,"60-74",B2864&lt;=90,"75-90")</f>
        <v>45-59</v>
      </c>
      <c r="M2864" t="str">
        <f>IF(Table1[[#This Row],[length_of_stay_days]]&gt;7,"Yes","No")</f>
        <v>No</v>
      </c>
    </row>
    <row r="2865" spans="1:13" x14ac:dyDescent="0.3">
      <c r="A2865" t="s">
        <v>3264</v>
      </c>
      <c r="B2865">
        <v>77</v>
      </c>
      <c r="C2865" t="s">
        <v>20</v>
      </c>
      <c r="D2865" t="s">
        <v>28</v>
      </c>
      <c r="E2865" t="s">
        <v>14</v>
      </c>
      <c r="F2865" t="s">
        <v>192</v>
      </c>
      <c r="G2865" t="s">
        <v>180</v>
      </c>
      <c r="H2865">
        <v>8</v>
      </c>
      <c r="I2865" s="1">
        <v>9825.25</v>
      </c>
      <c r="J2865" t="s">
        <v>17</v>
      </c>
      <c r="K2865" t="s">
        <v>18</v>
      </c>
      <c r="L2865" t="str" cm="1">
        <f t="array" ref="L2865">_xlfn.IFS(B2865&lt;30,"18-29",B2865&lt;45,"30-44",B2865&lt;60,"45-59",B2865&lt;75,"60-74",B2865&lt;=90,"75-90")</f>
        <v>75-90</v>
      </c>
      <c r="M2865" t="str">
        <f>IF(Table1[[#This Row],[length_of_stay_days]]&gt;7,"Yes","No")</f>
        <v>Yes</v>
      </c>
    </row>
    <row r="2866" spans="1:13" x14ac:dyDescent="0.3">
      <c r="A2866" t="s">
        <v>3265</v>
      </c>
      <c r="B2866">
        <v>23</v>
      </c>
      <c r="C2866" t="s">
        <v>12</v>
      </c>
      <c r="D2866" t="s">
        <v>46</v>
      </c>
      <c r="E2866" t="s">
        <v>28</v>
      </c>
      <c r="F2866" t="s">
        <v>523</v>
      </c>
      <c r="G2866" t="s">
        <v>1229</v>
      </c>
      <c r="H2866">
        <v>5</v>
      </c>
      <c r="I2866" s="1">
        <v>12221.8</v>
      </c>
      <c r="J2866" t="s">
        <v>17</v>
      </c>
      <c r="K2866" t="s">
        <v>18</v>
      </c>
      <c r="L2866" t="str" cm="1">
        <f t="array" ref="L2866">_xlfn.IFS(B2866&lt;30,"18-29",B2866&lt;45,"30-44",B2866&lt;60,"45-59",B2866&lt;75,"60-74",B2866&lt;=90,"75-90")</f>
        <v>18-29</v>
      </c>
      <c r="M2866" t="str">
        <f>IF(Table1[[#This Row],[length_of_stay_days]]&gt;7,"Yes","No")</f>
        <v>No</v>
      </c>
    </row>
    <row r="2867" spans="1:13" x14ac:dyDescent="0.3">
      <c r="A2867" t="s">
        <v>3266</v>
      </c>
      <c r="B2867">
        <v>89</v>
      </c>
      <c r="C2867" t="s">
        <v>20</v>
      </c>
      <c r="D2867" t="s">
        <v>51</v>
      </c>
      <c r="E2867" t="s">
        <v>21</v>
      </c>
      <c r="F2867" t="s">
        <v>221</v>
      </c>
      <c r="G2867" t="s">
        <v>783</v>
      </c>
      <c r="H2867">
        <v>8</v>
      </c>
      <c r="I2867" s="1">
        <v>10931.62</v>
      </c>
      <c r="J2867" t="s">
        <v>17</v>
      </c>
      <c r="K2867" t="s">
        <v>18</v>
      </c>
      <c r="L2867" t="str" cm="1">
        <f t="array" ref="L2867">_xlfn.IFS(B2867&lt;30,"18-29",B2867&lt;45,"30-44",B2867&lt;60,"45-59",B2867&lt;75,"60-74",B2867&lt;=90,"75-90")</f>
        <v>75-90</v>
      </c>
      <c r="M2867" t="str">
        <f>IF(Table1[[#This Row],[length_of_stay_days]]&gt;7,"Yes","No")</f>
        <v>Yes</v>
      </c>
    </row>
    <row r="2868" spans="1:13" x14ac:dyDescent="0.3">
      <c r="A2868" t="s">
        <v>3267</v>
      </c>
      <c r="B2868">
        <v>55</v>
      </c>
      <c r="C2868" t="s">
        <v>12</v>
      </c>
      <c r="D2868" t="s">
        <v>32</v>
      </c>
      <c r="E2868" t="s">
        <v>14</v>
      </c>
      <c r="F2868" t="s">
        <v>514</v>
      </c>
      <c r="G2868" t="s">
        <v>47</v>
      </c>
      <c r="H2868">
        <v>5</v>
      </c>
      <c r="I2868" s="1">
        <v>8530.35</v>
      </c>
      <c r="J2868" t="s">
        <v>17</v>
      </c>
      <c r="K2868" t="s">
        <v>18</v>
      </c>
      <c r="L2868" t="str" cm="1">
        <f t="array" ref="L2868">_xlfn.IFS(B2868&lt;30,"18-29",B2868&lt;45,"30-44",B2868&lt;60,"45-59",B2868&lt;75,"60-74",B2868&lt;=90,"75-90")</f>
        <v>45-59</v>
      </c>
      <c r="M2868" t="str">
        <f>IF(Table1[[#This Row],[length_of_stay_days]]&gt;7,"Yes","No")</f>
        <v>No</v>
      </c>
    </row>
    <row r="2869" spans="1:13" x14ac:dyDescent="0.3">
      <c r="A2869" t="s">
        <v>3268</v>
      </c>
      <c r="B2869">
        <v>33</v>
      </c>
      <c r="C2869" t="s">
        <v>12</v>
      </c>
      <c r="D2869" t="s">
        <v>13</v>
      </c>
      <c r="E2869" t="s">
        <v>21</v>
      </c>
      <c r="F2869" t="s">
        <v>678</v>
      </c>
      <c r="G2869" t="s">
        <v>360</v>
      </c>
      <c r="H2869">
        <v>3</v>
      </c>
      <c r="I2869" s="1">
        <v>7795.65</v>
      </c>
      <c r="J2869" t="s">
        <v>49</v>
      </c>
      <c r="K2869" t="s">
        <v>18</v>
      </c>
      <c r="L2869" t="str" cm="1">
        <f t="array" ref="L2869">_xlfn.IFS(B2869&lt;30,"18-29",B2869&lt;45,"30-44",B2869&lt;60,"45-59",B2869&lt;75,"60-74",B2869&lt;=90,"75-90")</f>
        <v>30-44</v>
      </c>
      <c r="M2869" t="str">
        <f>IF(Table1[[#This Row],[length_of_stay_days]]&gt;7,"Yes","No")</f>
        <v>No</v>
      </c>
    </row>
    <row r="2870" spans="1:13" x14ac:dyDescent="0.3">
      <c r="A2870" t="s">
        <v>3269</v>
      </c>
      <c r="B2870">
        <v>44</v>
      </c>
      <c r="C2870" t="s">
        <v>20</v>
      </c>
      <c r="D2870" t="s">
        <v>28</v>
      </c>
      <c r="E2870" t="s">
        <v>28</v>
      </c>
      <c r="F2870" t="s">
        <v>648</v>
      </c>
      <c r="G2870" t="s">
        <v>453</v>
      </c>
      <c r="H2870">
        <v>4</v>
      </c>
      <c r="I2870" s="1">
        <v>8572.61</v>
      </c>
      <c r="J2870" t="s">
        <v>17</v>
      </c>
      <c r="K2870" t="s">
        <v>223</v>
      </c>
      <c r="L2870" t="str" cm="1">
        <f t="array" ref="L2870">_xlfn.IFS(B2870&lt;30,"18-29",B2870&lt;45,"30-44",B2870&lt;60,"45-59",B2870&lt;75,"60-74",B2870&lt;=90,"75-90")</f>
        <v>30-44</v>
      </c>
      <c r="M2870" t="str">
        <f>IF(Table1[[#This Row],[length_of_stay_days]]&gt;7,"Yes","No")</f>
        <v>No</v>
      </c>
    </row>
    <row r="2871" spans="1:13" x14ac:dyDescent="0.3">
      <c r="A2871" t="s">
        <v>3270</v>
      </c>
      <c r="B2871">
        <v>19</v>
      </c>
      <c r="C2871" t="s">
        <v>12</v>
      </c>
      <c r="D2871" t="s">
        <v>13</v>
      </c>
      <c r="E2871" t="s">
        <v>28</v>
      </c>
      <c r="F2871" t="s">
        <v>501</v>
      </c>
      <c r="G2871" t="s">
        <v>282</v>
      </c>
      <c r="H2871">
        <v>4</v>
      </c>
      <c r="I2871" s="1">
        <v>7253.49</v>
      </c>
      <c r="J2871" t="s">
        <v>49</v>
      </c>
      <c r="K2871" t="s">
        <v>18</v>
      </c>
      <c r="L2871" t="str" cm="1">
        <f t="array" ref="L2871">_xlfn.IFS(B2871&lt;30,"18-29",B2871&lt;45,"30-44",B2871&lt;60,"45-59",B2871&lt;75,"60-74",B2871&lt;=90,"75-90")</f>
        <v>18-29</v>
      </c>
      <c r="M2871" t="str">
        <f>IF(Table1[[#This Row],[length_of_stay_days]]&gt;7,"Yes","No")</f>
        <v>No</v>
      </c>
    </row>
    <row r="2872" spans="1:13" x14ac:dyDescent="0.3">
      <c r="A2872" t="s">
        <v>3271</v>
      </c>
      <c r="B2872">
        <v>48</v>
      </c>
      <c r="C2872" t="s">
        <v>20</v>
      </c>
      <c r="D2872" t="s">
        <v>32</v>
      </c>
      <c r="E2872" t="s">
        <v>28</v>
      </c>
      <c r="F2872" t="s">
        <v>48</v>
      </c>
      <c r="G2872" t="s">
        <v>762</v>
      </c>
      <c r="H2872">
        <v>8</v>
      </c>
      <c r="I2872" s="1">
        <v>12791.4</v>
      </c>
      <c r="J2872" t="s">
        <v>17</v>
      </c>
      <c r="K2872" t="s">
        <v>18</v>
      </c>
      <c r="L2872" t="str" cm="1">
        <f t="array" ref="L2872">_xlfn.IFS(B2872&lt;30,"18-29",B2872&lt;45,"30-44",B2872&lt;60,"45-59",B2872&lt;75,"60-74",B2872&lt;=90,"75-90")</f>
        <v>45-59</v>
      </c>
      <c r="M2872" t="str">
        <f>IF(Table1[[#This Row],[length_of_stay_days]]&gt;7,"Yes","No")</f>
        <v>Yes</v>
      </c>
    </row>
    <row r="2873" spans="1:13" x14ac:dyDescent="0.3">
      <c r="A2873" t="s">
        <v>3272</v>
      </c>
      <c r="B2873">
        <v>59</v>
      </c>
      <c r="C2873" t="s">
        <v>20</v>
      </c>
      <c r="D2873" t="s">
        <v>55</v>
      </c>
      <c r="E2873" t="s">
        <v>21</v>
      </c>
      <c r="F2873" t="s">
        <v>363</v>
      </c>
      <c r="G2873" t="s">
        <v>364</v>
      </c>
      <c r="H2873">
        <v>5</v>
      </c>
      <c r="I2873" s="1">
        <v>8284.31</v>
      </c>
      <c r="J2873" t="s">
        <v>17</v>
      </c>
      <c r="K2873" t="s">
        <v>18</v>
      </c>
      <c r="L2873" t="str" cm="1">
        <f t="array" ref="L2873">_xlfn.IFS(B2873&lt;30,"18-29",B2873&lt;45,"30-44",B2873&lt;60,"45-59",B2873&lt;75,"60-74",B2873&lt;=90,"75-90")</f>
        <v>45-59</v>
      </c>
      <c r="M2873" t="str">
        <f>IF(Table1[[#This Row],[length_of_stay_days]]&gt;7,"Yes","No")</f>
        <v>No</v>
      </c>
    </row>
    <row r="2874" spans="1:13" x14ac:dyDescent="0.3">
      <c r="A2874" t="s">
        <v>3273</v>
      </c>
      <c r="B2874">
        <v>87</v>
      </c>
      <c r="C2874" t="s">
        <v>12</v>
      </c>
      <c r="D2874" t="s">
        <v>28</v>
      </c>
      <c r="E2874" t="s">
        <v>28</v>
      </c>
      <c r="F2874" t="s">
        <v>520</v>
      </c>
      <c r="G2874" t="s">
        <v>65</v>
      </c>
      <c r="H2874">
        <v>3</v>
      </c>
      <c r="I2874" s="1">
        <v>5013.6099999999997</v>
      </c>
      <c r="J2874" t="s">
        <v>17</v>
      </c>
      <c r="K2874" t="s">
        <v>18</v>
      </c>
      <c r="L2874" t="str" cm="1">
        <f t="array" ref="L2874">_xlfn.IFS(B2874&lt;30,"18-29",B2874&lt;45,"30-44",B2874&lt;60,"45-59",B2874&lt;75,"60-74",B2874&lt;=90,"75-90")</f>
        <v>75-90</v>
      </c>
      <c r="M2874" t="str">
        <f>IF(Table1[[#This Row],[length_of_stay_days]]&gt;7,"Yes","No")</f>
        <v>No</v>
      </c>
    </row>
    <row r="2875" spans="1:13" x14ac:dyDescent="0.3">
      <c r="A2875" t="s">
        <v>3274</v>
      </c>
      <c r="B2875">
        <v>73</v>
      </c>
      <c r="C2875" t="s">
        <v>20</v>
      </c>
      <c r="D2875" t="s">
        <v>51</v>
      </c>
      <c r="E2875" t="s">
        <v>28</v>
      </c>
      <c r="F2875" t="s">
        <v>268</v>
      </c>
      <c r="G2875" t="s">
        <v>56</v>
      </c>
      <c r="H2875">
        <v>9</v>
      </c>
      <c r="I2875" s="1">
        <v>14581.02</v>
      </c>
      <c r="J2875" t="s">
        <v>17</v>
      </c>
      <c r="K2875" t="s">
        <v>18</v>
      </c>
      <c r="L2875" t="str" cm="1">
        <f t="array" ref="L2875">_xlfn.IFS(B2875&lt;30,"18-29",B2875&lt;45,"30-44",B2875&lt;60,"45-59",B2875&lt;75,"60-74",B2875&lt;=90,"75-90")</f>
        <v>60-74</v>
      </c>
      <c r="M2875" t="str">
        <f>IF(Table1[[#This Row],[length_of_stay_days]]&gt;7,"Yes","No")</f>
        <v>Yes</v>
      </c>
    </row>
    <row r="2876" spans="1:13" x14ac:dyDescent="0.3">
      <c r="A2876" t="s">
        <v>3275</v>
      </c>
      <c r="B2876">
        <v>21</v>
      </c>
      <c r="C2876" t="s">
        <v>20</v>
      </c>
      <c r="D2876" t="s">
        <v>46</v>
      </c>
      <c r="E2876" t="s">
        <v>28</v>
      </c>
      <c r="F2876" t="s">
        <v>554</v>
      </c>
      <c r="G2876" t="s">
        <v>547</v>
      </c>
      <c r="H2876">
        <v>4</v>
      </c>
      <c r="I2876" s="1">
        <v>14732.22</v>
      </c>
      <c r="J2876" t="s">
        <v>17</v>
      </c>
      <c r="K2876" t="s">
        <v>44</v>
      </c>
      <c r="L2876" t="str" cm="1">
        <f t="array" ref="L2876">_xlfn.IFS(B2876&lt;30,"18-29",B2876&lt;45,"30-44",B2876&lt;60,"45-59",B2876&lt;75,"60-74",B2876&lt;=90,"75-90")</f>
        <v>18-29</v>
      </c>
      <c r="M2876" t="str">
        <f>IF(Table1[[#This Row],[length_of_stay_days]]&gt;7,"Yes","No")</f>
        <v>No</v>
      </c>
    </row>
    <row r="2877" spans="1:13" x14ac:dyDescent="0.3">
      <c r="A2877" t="s">
        <v>3276</v>
      </c>
      <c r="B2877">
        <v>81</v>
      </c>
      <c r="C2877" t="s">
        <v>20</v>
      </c>
      <c r="D2877" t="s">
        <v>28</v>
      </c>
      <c r="E2877" t="s">
        <v>14</v>
      </c>
      <c r="F2877" t="s">
        <v>499</v>
      </c>
      <c r="G2877" t="s">
        <v>114</v>
      </c>
      <c r="H2877">
        <v>3</v>
      </c>
      <c r="I2877" s="1">
        <v>4576.16</v>
      </c>
      <c r="J2877" t="s">
        <v>17</v>
      </c>
      <c r="K2877" t="s">
        <v>18</v>
      </c>
      <c r="L2877" t="str" cm="1">
        <f t="array" ref="L2877">_xlfn.IFS(B2877&lt;30,"18-29",B2877&lt;45,"30-44",B2877&lt;60,"45-59",B2877&lt;75,"60-74",B2877&lt;=90,"75-90")</f>
        <v>75-90</v>
      </c>
      <c r="M2877" t="str">
        <f>IF(Table1[[#This Row],[length_of_stay_days]]&gt;7,"Yes","No")</f>
        <v>No</v>
      </c>
    </row>
    <row r="2878" spans="1:13" x14ac:dyDescent="0.3">
      <c r="A2878" t="s">
        <v>3277</v>
      </c>
      <c r="B2878">
        <v>23</v>
      </c>
      <c r="C2878" t="s">
        <v>20</v>
      </c>
      <c r="D2878" t="s">
        <v>28</v>
      </c>
      <c r="E2878" t="s">
        <v>14</v>
      </c>
      <c r="F2878" t="s">
        <v>163</v>
      </c>
      <c r="G2878" t="s">
        <v>323</v>
      </c>
      <c r="H2878">
        <v>4</v>
      </c>
      <c r="I2878" s="1">
        <v>3157.91</v>
      </c>
      <c r="J2878" t="s">
        <v>17</v>
      </c>
      <c r="K2878" t="s">
        <v>18</v>
      </c>
      <c r="L2878" t="str" cm="1">
        <f t="array" ref="L2878">_xlfn.IFS(B2878&lt;30,"18-29",B2878&lt;45,"30-44",B2878&lt;60,"45-59",B2878&lt;75,"60-74",B2878&lt;=90,"75-90")</f>
        <v>18-29</v>
      </c>
      <c r="M2878" t="str">
        <f>IF(Table1[[#This Row],[length_of_stay_days]]&gt;7,"Yes","No")</f>
        <v>No</v>
      </c>
    </row>
    <row r="2879" spans="1:13" x14ac:dyDescent="0.3">
      <c r="A2879" t="s">
        <v>3278</v>
      </c>
      <c r="B2879">
        <v>77</v>
      </c>
      <c r="C2879" t="s">
        <v>12</v>
      </c>
      <c r="D2879" t="s">
        <v>13</v>
      </c>
      <c r="E2879" t="s">
        <v>14</v>
      </c>
      <c r="F2879" t="s">
        <v>37</v>
      </c>
      <c r="G2879" t="s">
        <v>503</v>
      </c>
      <c r="H2879">
        <v>5</v>
      </c>
      <c r="I2879" s="1">
        <v>8378.8799999999992</v>
      </c>
      <c r="J2879" t="s">
        <v>17</v>
      </c>
      <c r="K2879" t="s">
        <v>18</v>
      </c>
      <c r="L2879" t="str" cm="1">
        <f t="array" ref="L2879">_xlfn.IFS(B2879&lt;30,"18-29",B2879&lt;45,"30-44",B2879&lt;60,"45-59",B2879&lt;75,"60-74",B2879&lt;=90,"75-90")</f>
        <v>75-90</v>
      </c>
      <c r="M2879" t="str">
        <f>IF(Table1[[#This Row],[length_of_stay_days]]&gt;7,"Yes","No")</f>
        <v>No</v>
      </c>
    </row>
    <row r="2880" spans="1:13" x14ac:dyDescent="0.3">
      <c r="A2880" t="s">
        <v>3279</v>
      </c>
      <c r="B2880">
        <v>33</v>
      </c>
      <c r="C2880" t="s">
        <v>12</v>
      </c>
      <c r="D2880" t="s">
        <v>13</v>
      </c>
      <c r="E2880" t="s">
        <v>14</v>
      </c>
      <c r="F2880" t="s">
        <v>158</v>
      </c>
      <c r="G2880" t="s">
        <v>53</v>
      </c>
      <c r="H2880">
        <v>7</v>
      </c>
      <c r="I2880" s="1">
        <v>6465.78</v>
      </c>
      <c r="J2880" t="s">
        <v>17</v>
      </c>
      <c r="K2880" t="s">
        <v>18</v>
      </c>
      <c r="L2880" t="str" cm="1">
        <f t="array" ref="L2880">_xlfn.IFS(B2880&lt;30,"18-29",B2880&lt;45,"30-44",B2880&lt;60,"45-59",B2880&lt;75,"60-74",B2880&lt;=90,"75-90")</f>
        <v>30-44</v>
      </c>
      <c r="M2880" t="str">
        <f>IF(Table1[[#This Row],[length_of_stay_days]]&gt;7,"Yes","No")</f>
        <v>No</v>
      </c>
    </row>
    <row r="2881" spans="1:13" x14ac:dyDescent="0.3">
      <c r="A2881" t="s">
        <v>3280</v>
      </c>
      <c r="B2881">
        <v>90</v>
      </c>
      <c r="C2881" t="s">
        <v>12</v>
      </c>
      <c r="D2881" t="s">
        <v>55</v>
      </c>
      <c r="E2881" t="s">
        <v>21</v>
      </c>
      <c r="F2881" t="s">
        <v>680</v>
      </c>
      <c r="G2881" t="s">
        <v>75</v>
      </c>
      <c r="H2881">
        <v>6</v>
      </c>
      <c r="I2881" s="1">
        <v>8676.7099999999991</v>
      </c>
      <c r="J2881" t="s">
        <v>17</v>
      </c>
      <c r="K2881" t="s">
        <v>18</v>
      </c>
      <c r="L2881" t="str" cm="1">
        <f t="array" ref="L2881">_xlfn.IFS(B2881&lt;30,"18-29",B2881&lt;45,"30-44",B2881&lt;60,"45-59",B2881&lt;75,"60-74",B2881&lt;=90,"75-90")</f>
        <v>75-90</v>
      </c>
      <c r="M2881" t="str">
        <f>IF(Table1[[#This Row],[length_of_stay_days]]&gt;7,"Yes","No")</f>
        <v>No</v>
      </c>
    </row>
    <row r="2882" spans="1:13" x14ac:dyDescent="0.3">
      <c r="A2882" t="s">
        <v>3281</v>
      </c>
      <c r="B2882">
        <v>80</v>
      </c>
      <c r="C2882" t="s">
        <v>20</v>
      </c>
      <c r="D2882" t="s">
        <v>13</v>
      </c>
      <c r="E2882" t="s">
        <v>14</v>
      </c>
      <c r="F2882" t="s">
        <v>109</v>
      </c>
      <c r="G2882" t="s">
        <v>517</v>
      </c>
      <c r="H2882">
        <v>9</v>
      </c>
      <c r="I2882" s="1">
        <v>10719.58</v>
      </c>
      <c r="J2882" t="s">
        <v>17</v>
      </c>
      <c r="K2882" t="s">
        <v>18</v>
      </c>
      <c r="L2882" t="str" cm="1">
        <f t="array" ref="L2882">_xlfn.IFS(B2882&lt;30,"18-29",B2882&lt;45,"30-44",B2882&lt;60,"45-59",B2882&lt;75,"60-74",B2882&lt;=90,"75-90")</f>
        <v>75-90</v>
      </c>
      <c r="M2882" t="str">
        <f>IF(Table1[[#This Row],[length_of_stay_days]]&gt;7,"Yes","No")</f>
        <v>Yes</v>
      </c>
    </row>
    <row r="2883" spans="1:13" x14ac:dyDescent="0.3">
      <c r="A2883" t="s">
        <v>3282</v>
      </c>
      <c r="B2883">
        <v>27</v>
      </c>
      <c r="C2883" t="s">
        <v>12</v>
      </c>
      <c r="D2883" t="s">
        <v>46</v>
      </c>
      <c r="E2883" t="s">
        <v>28</v>
      </c>
      <c r="F2883" t="s">
        <v>364</v>
      </c>
      <c r="G2883" t="s">
        <v>62</v>
      </c>
      <c r="H2883">
        <v>7</v>
      </c>
      <c r="I2883" s="1">
        <v>11822.2</v>
      </c>
      <c r="J2883" t="s">
        <v>17</v>
      </c>
      <c r="K2883" t="s">
        <v>44</v>
      </c>
      <c r="L2883" t="str" cm="1">
        <f t="array" ref="L2883">_xlfn.IFS(B2883&lt;30,"18-29",B2883&lt;45,"30-44",B2883&lt;60,"45-59",B2883&lt;75,"60-74",B2883&lt;=90,"75-90")</f>
        <v>18-29</v>
      </c>
      <c r="M2883" t="str">
        <f>IF(Table1[[#This Row],[length_of_stay_days]]&gt;7,"Yes","No")</f>
        <v>No</v>
      </c>
    </row>
    <row r="2884" spans="1:13" x14ac:dyDescent="0.3">
      <c r="A2884" t="s">
        <v>3283</v>
      </c>
      <c r="B2884">
        <v>34</v>
      </c>
      <c r="C2884" t="s">
        <v>20</v>
      </c>
      <c r="D2884" t="s">
        <v>13</v>
      </c>
      <c r="E2884" t="s">
        <v>28</v>
      </c>
      <c r="F2884" t="s">
        <v>52</v>
      </c>
      <c r="G2884" t="s">
        <v>184</v>
      </c>
      <c r="H2884">
        <v>5</v>
      </c>
      <c r="I2884" s="1">
        <v>7656.13</v>
      </c>
      <c r="J2884" t="s">
        <v>17</v>
      </c>
      <c r="K2884" t="s">
        <v>18</v>
      </c>
      <c r="L2884" t="str" cm="1">
        <f t="array" ref="L2884">_xlfn.IFS(B2884&lt;30,"18-29",B2884&lt;45,"30-44",B2884&lt;60,"45-59",B2884&lt;75,"60-74",B2884&lt;=90,"75-90")</f>
        <v>30-44</v>
      </c>
      <c r="M2884" t="str">
        <f>IF(Table1[[#This Row],[length_of_stay_days]]&gt;7,"Yes","No")</f>
        <v>No</v>
      </c>
    </row>
    <row r="2885" spans="1:13" x14ac:dyDescent="0.3">
      <c r="A2885" t="s">
        <v>3284</v>
      </c>
      <c r="B2885">
        <v>58</v>
      </c>
      <c r="C2885" t="s">
        <v>20</v>
      </c>
      <c r="D2885" t="s">
        <v>55</v>
      </c>
      <c r="E2885" t="s">
        <v>28</v>
      </c>
      <c r="F2885" t="s">
        <v>108</v>
      </c>
      <c r="G2885" t="s">
        <v>229</v>
      </c>
      <c r="H2885">
        <v>7</v>
      </c>
      <c r="I2885" s="1">
        <v>11406.92</v>
      </c>
      <c r="J2885" t="s">
        <v>49</v>
      </c>
      <c r="K2885" t="s">
        <v>18</v>
      </c>
      <c r="L2885" t="str" cm="1">
        <f t="array" ref="L2885">_xlfn.IFS(B2885&lt;30,"18-29",B2885&lt;45,"30-44",B2885&lt;60,"45-59",B2885&lt;75,"60-74",B2885&lt;=90,"75-90")</f>
        <v>45-59</v>
      </c>
      <c r="M2885" t="str">
        <f>IF(Table1[[#This Row],[length_of_stay_days]]&gt;7,"Yes","No")</f>
        <v>No</v>
      </c>
    </row>
    <row r="2886" spans="1:13" x14ac:dyDescent="0.3">
      <c r="A2886" t="s">
        <v>3285</v>
      </c>
      <c r="B2886">
        <v>23</v>
      </c>
      <c r="C2886" t="s">
        <v>12</v>
      </c>
      <c r="D2886" t="s">
        <v>46</v>
      </c>
      <c r="E2886" t="s">
        <v>28</v>
      </c>
      <c r="F2886" t="s">
        <v>537</v>
      </c>
      <c r="G2886" t="s">
        <v>449</v>
      </c>
      <c r="H2886">
        <v>9</v>
      </c>
      <c r="I2886" s="1">
        <v>16743.43</v>
      </c>
      <c r="J2886" t="s">
        <v>17</v>
      </c>
      <c r="K2886" t="s">
        <v>18</v>
      </c>
      <c r="L2886" t="str" cm="1">
        <f t="array" ref="L2886">_xlfn.IFS(B2886&lt;30,"18-29",B2886&lt;45,"30-44",B2886&lt;60,"45-59",B2886&lt;75,"60-74",B2886&lt;=90,"75-90")</f>
        <v>18-29</v>
      </c>
      <c r="M2886" t="str">
        <f>IF(Table1[[#This Row],[length_of_stay_days]]&gt;7,"Yes","No")</f>
        <v>Yes</v>
      </c>
    </row>
    <row r="2887" spans="1:13" x14ac:dyDescent="0.3">
      <c r="A2887" t="s">
        <v>3286</v>
      </c>
      <c r="B2887">
        <v>19</v>
      </c>
      <c r="C2887" t="s">
        <v>20</v>
      </c>
      <c r="D2887" t="s">
        <v>55</v>
      </c>
      <c r="E2887" t="s">
        <v>28</v>
      </c>
      <c r="F2887" t="s">
        <v>74</v>
      </c>
      <c r="G2887" t="s">
        <v>325</v>
      </c>
      <c r="H2887">
        <v>5</v>
      </c>
      <c r="I2887" s="1">
        <v>8423.0499999999993</v>
      </c>
      <c r="J2887" t="s">
        <v>17</v>
      </c>
      <c r="K2887" t="s">
        <v>18</v>
      </c>
      <c r="L2887" t="str" cm="1">
        <f t="array" ref="L2887">_xlfn.IFS(B2887&lt;30,"18-29",B2887&lt;45,"30-44",B2887&lt;60,"45-59",B2887&lt;75,"60-74",B2887&lt;=90,"75-90")</f>
        <v>18-29</v>
      </c>
      <c r="M2887" t="str">
        <f>IF(Table1[[#This Row],[length_of_stay_days]]&gt;7,"Yes","No")</f>
        <v>No</v>
      </c>
    </row>
    <row r="2888" spans="1:13" x14ac:dyDescent="0.3">
      <c r="A2888" t="s">
        <v>3287</v>
      </c>
      <c r="B2888">
        <v>27</v>
      </c>
      <c r="C2888" t="s">
        <v>20</v>
      </c>
      <c r="D2888" t="s">
        <v>28</v>
      </c>
      <c r="E2888" t="s">
        <v>28</v>
      </c>
      <c r="F2888" t="s">
        <v>173</v>
      </c>
      <c r="G2888" t="s">
        <v>616</v>
      </c>
      <c r="H2888">
        <v>1</v>
      </c>
      <c r="I2888" s="1">
        <v>635.85</v>
      </c>
      <c r="J2888" t="s">
        <v>17</v>
      </c>
      <c r="K2888" t="s">
        <v>18</v>
      </c>
      <c r="L2888" t="str" cm="1">
        <f t="array" ref="L2888">_xlfn.IFS(B2888&lt;30,"18-29",B2888&lt;45,"30-44",B2888&lt;60,"45-59",B2888&lt;75,"60-74",B2888&lt;=90,"75-90")</f>
        <v>18-29</v>
      </c>
      <c r="M2888" t="str">
        <f>IF(Table1[[#This Row],[length_of_stay_days]]&gt;7,"Yes","No")</f>
        <v>No</v>
      </c>
    </row>
    <row r="2889" spans="1:13" x14ac:dyDescent="0.3">
      <c r="A2889" t="s">
        <v>3288</v>
      </c>
      <c r="B2889">
        <v>23</v>
      </c>
      <c r="C2889" t="s">
        <v>20</v>
      </c>
      <c r="D2889" t="s">
        <v>46</v>
      </c>
      <c r="E2889" t="s">
        <v>14</v>
      </c>
      <c r="F2889" t="s">
        <v>460</v>
      </c>
      <c r="G2889" t="s">
        <v>154</v>
      </c>
      <c r="H2889">
        <v>7</v>
      </c>
      <c r="I2889" s="1">
        <v>12849.53</v>
      </c>
      <c r="J2889" t="s">
        <v>17</v>
      </c>
      <c r="K2889" t="s">
        <v>18</v>
      </c>
      <c r="L2889" t="str" cm="1">
        <f t="array" ref="L2889">_xlfn.IFS(B2889&lt;30,"18-29",B2889&lt;45,"30-44",B2889&lt;60,"45-59",B2889&lt;75,"60-74",B2889&lt;=90,"75-90")</f>
        <v>18-29</v>
      </c>
      <c r="M2889" t="str">
        <f>IF(Table1[[#This Row],[length_of_stay_days]]&gt;7,"Yes","No")</f>
        <v>No</v>
      </c>
    </row>
    <row r="2890" spans="1:13" x14ac:dyDescent="0.3">
      <c r="A2890" t="s">
        <v>3289</v>
      </c>
      <c r="B2890">
        <v>68</v>
      </c>
      <c r="C2890" t="s">
        <v>20</v>
      </c>
      <c r="D2890" t="s">
        <v>13</v>
      </c>
      <c r="E2890" t="s">
        <v>28</v>
      </c>
      <c r="F2890" t="s">
        <v>451</v>
      </c>
      <c r="G2890" t="s">
        <v>208</v>
      </c>
      <c r="H2890">
        <v>5</v>
      </c>
      <c r="I2890" s="1">
        <v>6809.51</v>
      </c>
      <c r="J2890" t="s">
        <v>49</v>
      </c>
      <c r="K2890" t="s">
        <v>18</v>
      </c>
      <c r="L2890" t="str" cm="1">
        <f t="array" ref="L2890">_xlfn.IFS(B2890&lt;30,"18-29",B2890&lt;45,"30-44",B2890&lt;60,"45-59",B2890&lt;75,"60-74",B2890&lt;=90,"75-90")</f>
        <v>60-74</v>
      </c>
      <c r="M2890" t="str">
        <f>IF(Table1[[#This Row],[length_of_stay_days]]&gt;7,"Yes","No")</f>
        <v>No</v>
      </c>
    </row>
    <row r="2891" spans="1:13" x14ac:dyDescent="0.3">
      <c r="A2891" t="s">
        <v>3290</v>
      </c>
      <c r="B2891">
        <v>89</v>
      </c>
      <c r="C2891" t="s">
        <v>12</v>
      </c>
      <c r="D2891" t="s">
        <v>55</v>
      </c>
      <c r="E2891" t="s">
        <v>21</v>
      </c>
      <c r="F2891" t="s">
        <v>559</v>
      </c>
      <c r="G2891" t="s">
        <v>203</v>
      </c>
      <c r="H2891">
        <v>9</v>
      </c>
      <c r="I2891" s="1">
        <v>13741.35</v>
      </c>
      <c r="J2891" t="s">
        <v>49</v>
      </c>
      <c r="K2891" t="s">
        <v>18</v>
      </c>
      <c r="L2891" t="str" cm="1">
        <f t="array" ref="L2891">_xlfn.IFS(B2891&lt;30,"18-29",B2891&lt;45,"30-44",B2891&lt;60,"45-59",B2891&lt;75,"60-74",B2891&lt;=90,"75-90")</f>
        <v>75-90</v>
      </c>
      <c r="M2891" t="str">
        <f>IF(Table1[[#This Row],[length_of_stay_days]]&gt;7,"Yes","No")</f>
        <v>Yes</v>
      </c>
    </row>
    <row r="2892" spans="1:13" x14ac:dyDescent="0.3">
      <c r="A2892" t="s">
        <v>3291</v>
      </c>
      <c r="B2892">
        <v>87</v>
      </c>
      <c r="C2892" t="s">
        <v>20</v>
      </c>
      <c r="D2892" t="s">
        <v>32</v>
      </c>
      <c r="E2892" t="s">
        <v>28</v>
      </c>
      <c r="F2892" t="s">
        <v>154</v>
      </c>
      <c r="G2892" t="s">
        <v>330</v>
      </c>
      <c r="H2892">
        <v>9</v>
      </c>
      <c r="I2892" s="1">
        <v>11531.2</v>
      </c>
      <c r="J2892" t="s">
        <v>17</v>
      </c>
      <c r="K2892" t="s">
        <v>223</v>
      </c>
      <c r="L2892" t="str" cm="1">
        <f t="array" ref="L2892">_xlfn.IFS(B2892&lt;30,"18-29",B2892&lt;45,"30-44",B2892&lt;60,"45-59",B2892&lt;75,"60-74",B2892&lt;=90,"75-90")</f>
        <v>75-90</v>
      </c>
      <c r="M2892" t="str">
        <f>IF(Table1[[#This Row],[length_of_stay_days]]&gt;7,"Yes","No")</f>
        <v>Yes</v>
      </c>
    </row>
    <row r="2893" spans="1:13" x14ac:dyDescent="0.3">
      <c r="A2893" t="s">
        <v>3292</v>
      </c>
      <c r="B2893">
        <v>79</v>
      </c>
      <c r="C2893" t="s">
        <v>20</v>
      </c>
      <c r="D2893" t="s">
        <v>32</v>
      </c>
      <c r="E2893" t="s">
        <v>14</v>
      </c>
      <c r="F2893" t="s">
        <v>402</v>
      </c>
      <c r="G2893" t="s">
        <v>415</v>
      </c>
      <c r="H2893">
        <v>3</v>
      </c>
      <c r="I2893" s="1">
        <v>10191.33</v>
      </c>
      <c r="J2893" t="s">
        <v>17</v>
      </c>
      <c r="K2893" t="s">
        <v>18</v>
      </c>
      <c r="L2893" t="str" cm="1">
        <f t="array" ref="L2893">_xlfn.IFS(B2893&lt;30,"18-29",B2893&lt;45,"30-44",B2893&lt;60,"45-59",B2893&lt;75,"60-74",B2893&lt;=90,"75-90")</f>
        <v>75-90</v>
      </c>
      <c r="M2893" t="str">
        <f>IF(Table1[[#This Row],[length_of_stay_days]]&gt;7,"Yes","No")</f>
        <v>No</v>
      </c>
    </row>
    <row r="2894" spans="1:13" x14ac:dyDescent="0.3">
      <c r="A2894" t="s">
        <v>3293</v>
      </c>
      <c r="B2894">
        <v>65</v>
      </c>
      <c r="C2894" t="s">
        <v>20</v>
      </c>
      <c r="D2894" t="s">
        <v>46</v>
      </c>
      <c r="E2894" t="s">
        <v>28</v>
      </c>
      <c r="F2894" t="s">
        <v>138</v>
      </c>
      <c r="G2894" t="s">
        <v>701</v>
      </c>
      <c r="H2894">
        <v>6</v>
      </c>
      <c r="I2894" s="1">
        <v>14930.35</v>
      </c>
      <c r="J2894" t="s">
        <v>17</v>
      </c>
      <c r="K2894" t="s">
        <v>18</v>
      </c>
      <c r="L2894" t="str" cm="1">
        <f t="array" ref="L2894">_xlfn.IFS(B2894&lt;30,"18-29",B2894&lt;45,"30-44",B2894&lt;60,"45-59",B2894&lt;75,"60-74",B2894&lt;=90,"75-90")</f>
        <v>60-74</v>
      </c>
      <c r="M2894" t="str">
        <f>IF(Table1[[#This Row],[length_of_stay_days]]&gt;7,"Yes","No")</f>
        <v>No</v>
      </c>
    </row>
    <row r="2895" spans="1:13" x14ac:dyDescent="0.3">
      <c r="A2895" t="s">
        <v>3294</v>
      </c>
      <c r="B2895">
        <v>38</v>
      </c>
      <c r="C2895" t="s">
        <v>12</v>
      </c>
      <c r="D2895" t="s">
        <v>55</v>
      </c>
      <c r="E2895" t="s">
        <v>14</v>
      </c>
      <c r="F2895" t="s">
        <v>61</v>
      </c>
      <c r="G2895" t="s">
        <v>471</v>
      </c>
      <c r="H2895">
        <v>5</v>
      </c>
      <c r="I2895" s="1">
        <v>10064.040000000001</v>
      </c>
      <c r="J2895" t="s">
        <v>17</v>
      </c>
      <c r="K2895" t="s">
        <v>18</v>
      </c>
      <c r="L2895" t="str" cm="1">
        <f t="array" ref="L2895">_xlfn.IFS(B2895&lt;30,"18-29",B2895&lt;45,"30-44",B2895&lt;60,"45-59",B2895&lt;75,"60-74",B2895&lt;=90,"75-90")</f>
        <v>30-44</v>
      </c>
      <c r="M2895" t="str">
        <f>IF(Table1[[#This Row],[length_of_stay_days]]&gt;7,"Yes","No")</f>
        <v>No</v>
      </c>
    </row>
    <row r="2896" spans="1:13" x14ac:dyDescent="0.3">
      <c r="A2896" t="s">
        <v>3295</v>
      </c>
      <c r="B2896">
        <v>61</v>
      </c>
      <c r="C2896" t="s">
        <v>20</v>
      </c>
      <c r="D2896" t="s">
        <v>28</v>
      </c>
      <c r="E2896" t="s">
        <v>28</v>
      </c>
      <c r="F2896" t="s">
        <v>130</v>
      </c>
      <c r="G2896" t="s">
        <v>386</v>
      </c>
      <c r="H2896">
        <v>3</v>
      </c>
      <c r="I2896" s="1">
        <v>4539.1099999999997</v>
      </c>
      <c r="J2896" t="s">
        <v>17</v>
      </c>
      <c r="K2896" t="s">
        <v>18</v>
      </c>
      <c r="L2896" t="str" cm="1">
        <f t="array" ref="L2896">_xlfn.IFS(B2896&lt;30,"18-29",B2896&lt;45,"30-44",B2896&lt;60,"45-59",B2896&lt;75,"60-74",B2896&lt;=90,"75-90")</f>
        <v>60-74</v>
      </c>
      <c r="M2896" t="str">
        <f>IF(Table1[[#This Row],[length_of_stay_days]]&gt;7,"Yes","No")</f>
        <v>No</v>
      </c>
    </row>
    <row r="2897" spans="1:13" x14ac:dyDescent="0.3">
      <c r="A2897" t="s">
        <v>3296</v>
      </c>
      <c r="B2897">
        <v>20</v>
      </c>
      <c r="C2897" t="s">
        <v>12</v>
      </c>
      <c r="D2897" t="s">
        <v>32</v>
      </c>
      <c r="E2897" t="s">
        <v>14</v>
      </c>
      <c r="F2897" t="s">
        <v>837</v>
      </c>
      <c r="G2897" t="s">
        <v>15</v>
      </c>
      <c r="H2897">
        <v>8</v>
      </c>
      <c r="I2897" s="1">
        <v>12163.05</v>
      </c>
      <c r="J2897" t="s">
        <v>17</v>
      </c>
      <c r="K2897" t="s">
        <v>18</v>
      </c>
      <c r="L2897" t="str" cm="1">
        <f t="array" ref="L2897">_xlfn.IFS(B2897&lt;30,"18-29",B2897&lt;45,"30-44",B2897&lt;60,"45-59",B2897&lt;75,"60-74",B2897&lt;=90,"75-90")</f>
        <v>18-29</v>
      </c>
      <c r="M2897" t="str">
        <f>IF(Table1[[#This Row],[length_of_stay_days]]&gt;7,"Yes","No")</f>
        <v>Yes</v>
      </c>
    </row>
    <row r="2898" spans="1:13" x14ac:dyDescent="0.3">
      <c r="A2898" t="s">
        <v>3297</v>
      </c>
      <c r="B2898">
        <v>48</v>
      </c>
      <c r="C2898" t="s">
        <v>12</v>
      </c>
      <c r="D2898" t="s">
        <v>13</v>
      </c>
      <c r="E2898" t="s">
        <v>14</v>
      </c>
      <c r="F2898" t="s">
        <v>298</v>
      </c>
      <c r="G2898" t="s">
        <v>309</v>
      </c>
      <c r="H2898">
        <v>5</v>
      </c>
      <c r="I2898" s="1">
        <v>7537.83</v>
      </c>
      <c r="J2898" t="s">
        <v>17</v>
      </c>
      <c r="K2898" t="s">
        <v>18</v>
      </c>
      <c r="L2898" t="str" cm="1">
        <f t="array" ref="L2898">_xlfn.IFS(B2898&lt;30,"18-29",B2898&lt;45,"30-44",B2898&lt;60,"45-59",B2898&lt;75,"60-74",B2898&lt;=90,"75-90")</f>
        <v>45-59</v>
      </c>
      <c r="M2898" t="str">
        <f>IF(Table1[[#This Row],[length_of_stay_days]]&gt;7,"Yes","No")</f>
        <v>No</v>
      </c>
    </row>
    <row r="2899" spans="1:13" x14ac:dyDescent="0.3">
      <c r="A2899" t="s">
        <v>3298</v>
      </c>
      <c r="B2899">
        <v>44</v>
      </c>
      <c r="C2899" t="s">
        <v>20</v>
      </c>
      <c r="D2899" t="s">
        <v>32</v>
      </c>
      <c r="E2899" t="s">
        <v>28</v>
      </c>
      <c r="F2899" t="s">
        <v>676</v>
      </c>
      <c r="G2899" t="s">
        <v>283</v>
      </c>
      <c r="H2899">
        <v>7</v>
      </c>
      <c r="I2899" s="1">
        <v>8552.99</v>
      </c>
      <c r="J2899" t="s">
        <v>17</v>
      </c>
      <c r="K2899" t="s">
        <v>18</v>
      </c>
      <c r="L2899" t="str" cm="1">
        <f t="array" ref="L2899">_xlfn.IFS(B2899&lt;30,"18-29",B2899&lt;45,"30-44",B2899&lt;60,"45-59",B2899&lt;75,"60-74",B2899&lt;=90,"75-90")</f>
        <v>30-44</v>
      </c>
      <c r="M2899" t="str">
        <f>IF(Table1[[#This Row],[length_of_stay_days]]&gt;7,"Yes","No")</f>
        <v>No</v>
      </c>
    </row>
    <row r="2900" spans="1:13" x14ac:dyDescent="0.3">
      <c r="A2900" t="s">
        <v>3299</v>
      </c>
      <c r="B2900">
        <v>51</v>
      </c>
      <c r="C2900" t="s">
        <v>20</v>
      </c>
      <c r="D2900" t="s">
        <v>28</v>
      </c>
      <c r="E2900" t="s">
        <v>14</v>
      </c>
      <c r="F2900" t="s">
        <v>778</v>
      </c>
      <c r="G2900" t="s">
        <v>454</v>
      </c>
      <c r="H2900">
        <v>3</v>
      </c>
      <c r="I2900" s="1">
        <v>4901.7700000000004</v>
      </c>
      <c r="J2900" t="s">
        <v>17</v>
      </c>
      <c r="K2900" t="s">
        <v>18</v>
      </c>
      <c r="L2900" t="str" cm="1">
        <f t="array" ref="L2900">_xlfn.IFS(B2900&lt;30,"18-29",B2900&lt;45,"30-44",B2900&lt;60,"45-59",B2900&lt;75,"60-74",B2900&lt;=90,"75-90")</f>
        <v>45-59</v>
      </c>
      <c r="M2900" t="str">
        <f>IF(Table1[[#This Row],[length_of_stay_days]]&gt;7,"Yes","No")</f>
        <v>No</v>
      </c>
    </row>
    <row r="2901" spans="1:13" x14ac:dyDescent="0.3">
      <c r="A2901" t="s">
        <v>3300</v>
      </c>
      <c r="B2901">
        <v>35</v>
      </c>
      <c r="C2901" t="s">
        <v>12</v>
      </c>
      <c r="D2901" t="s">
        <v>13</v>
      </c>
      <c r="E2901" t="s">
        <v>21</v>
      </c>
      <c r="F2901" t="s">
        <v>395</v>
      </c>
      <c r="G2901" t="s">
        <v>396</v>
      </c>
      <c r="H2901">
        <v>8</v>
      </c>
      <c r="I2901" s="1">
        <v>8440.5300000000007</v>
      </c>
      <c r="J2901" t="s">
        <v>17</v>
      </c>
      <c r="K2901" t="s">
        <v>18</v>
      </c>
      <c r="L2901" t="str" cm="1">
        <f t="array" ref="L2901">_xlfn.IFS(B2901&lt;30,"18-29",B2901&lt;45,"30-44",B2901&lt;60,"45-59",B2901&lt;75,"60-74",B2901&lt;=90,"75-90")</f>
        <v>30-44</v>
      </c>
      <c r="M2901" t="str">
        <f>IF(Table1[[#This Row],[length_of_stay_days]]&gt;7,"Yes","No")</f>
        <v>Yes</v>
      </c>
    </row>
    <row r="2902" spans="1:13" x14ac:dyDescent="0.3">
      <c r="A2902" t="s">
        <v>3301</v>
      </c>
      <c r="B2902">
        <v>28</v>
      </c>
      <c r="C2902" t="s">
        <v>20</v>
      </c>
      <c r="D2902" t="s">
        <v>55</v>
      </c>
      <c r="E2902" t="s">
        <v>28</v>
      </c>
      <c r="F2902" t="s">
        <v>39</v>
      </c>
      <c r="G2902" t="s">
        <v>95</v>
      </c>
      <c r="H2902">
        <v>12</v>
      </c>
      <c r="I2902" s="1">
        <v>12493.25</v>
      </c>
      <c r="J2902" t="s">
        <v>17</v>
      </c>
      <c r="K2902" t="s">
        <v>18</v>
      </c>
      <c r="L2902" t="str" cm="1">
        <f t="array" ref="L2902">_xlfn.IFS(B2902&lt;30,"18-29",B2902&lt;45,"30-44",B2902&lt;60,"45-59",B2902&lt;75,"60-74",B2902&lt;=90,"75-90")</f>
        <v>18-29</v>
      </c>
      <c r="M2902" t="str">
        <f>IF(Table1[[#This Row],[length_of_stay_days]]&gt;7,"Yes","No")</f>
        <v>Yes</v>
      </c>
    </row>
    <row r="2903" spans="1:13" x14ac:dyDescent="0.3">
      <c r="A2903" t="s">
        <v>3302</v>
      </c>
      <c r="B2903">
        <v>82</v>
      </c>
      <c r="C2903" t="s">
        <v>20</v>
      </c>
      <c r="D2903" t="s">
        <v>28</v>
      </c>
      <c r="E2903" t="s">
        <v>14</v>
      </c>
      <c r="F2903" t="s">
        <v>928</v>
      </c>
      <c r="G2903" t="s">
        <v>135</v>
      </c>
      <c r="H2903">
        <v>1</v>
      </c>
      <c r="I2903" s="1">
        <v>1413.89</v>
      </c>
      <c r="J2903" t="s">
        <v>17</v>
      </c>
      <c r="K2903" t="s">
        <v>18</v>
      </c>
      <c r="L2903" t="str" cm="1">
        <f t="array" ref="L2903">_xlfn.IFS(B2903&lt;30,"18-29",B2903&lt;45,"30-44",B2903&lt;60,"45-59",B2903&lt;75,"60-74",B2903&lt;=90,"75-90")</f>
        <v>75-90</v>
      </c>
      <c r="M2903" t="str">
        <f>IF(Table1[[#This Row],[length_of_stay_days]]&gt;7,"Yes","No")</f>
        <v>No</v>
      </c>
    </row>
    <row r="2904" spans="1:13" x14ac:dyDescent="0.3">
      <c r="A2904" t="s">
        <v>3303</v>
      </c>
      <c r="B2904">
        <v>74</v>
      </c>
      <c r="C2904" t="s">
        <v>20</v>
      </c>
      <c r="D2904" t="s">
        <v>13</v>
      </c>
      <c r="E2904" t="s">
        <v>14</v>
      </c>
      <c r="F2904" t="s">
        <v>212</v>
      </c>
      <c r="G2904" t="s">
        <v>644</v>
      </c>
      <c r="H2904">
        <v>3</v>
      </c>
      <c r="I2904" s="1">
        <v>5599.31</v>
      </c>
      <c r="J2904" t="s">
        <v>17</v>
      </c>
      <c r="K2904" t="s">
        <v>18</v>
      </c>
      <c r="L2904" t="str" cm="1">
        <f t="array" ref="L2904">_xlfn.IFS(B2904&lt;30,"18-29",B2904&lt;45,"30-44",B2904&lt;60,"45-59",B2904&lt;75,"60-74",B2904&lt;=90,"75-90")</f>
        <v>60-74</v>
      </c>
      <c r="M2904" t="str">
        <f>IF(Table1[[#This Row],[length_of_stay_days]]&gt;7,"Yes","No")</f>
        <v>No</v>
      </c>
    </row>
    <row r="2905" spans="1:13" x14ac:dyDescent="0.3">
      <c r="A2905" t="s">
        <v>3304</v>
      </c>
      <c r="B2905">
        <v>76</v>
      </c>
      <c r="C2905" t="s">
        <v>20</v>
      </c>
      <c r="D2905" t="s">
        <v>46</v>
      </c>
      <c r="E2905" t="s">
        <v>14</v>
      </c>
      <c r="F2905" t="s">
        <v>712</v>
      </c>
      <c r="G2905" t="s">
        <v>361</v>
      </c>
      <c r="H2905">
        <v>7</v>
      </c>
      <c r="I2905" s="1">
        <v>14765.75</v>
      </c>
      <c r="J2905" t="s">
        <v>17</v>
      </c>
      <c r="K2905" t="s">
        <v>18</v>
      </c>
      <c r="L2905" t="str" cm="1">
        <f t="array" ref="L2905">_xlfn.IFS(B2905&lt;30,"18-29",B2905&lt;45,"30-44",B2905&lt;60,"45-59",B2905&lt;75,"60-74",B2905&lt;=90,"75-90")</f>
        <v>75-90</v>
      </c>
      <c r="M2905" t="str">
        <f>IF(Table1[[#This Row],[length_of_stay_days]]&gt;7,"Yes","No")</f>
        <v>No</v>
      </c>
    </row>
    <row r="2906" spans="1:13" x14ac:dyDescent="0.3">
      <c r="A2906" t="s">
        <v>3305</v>
      </c>
      <c r="B2906">
        <v>85</v>
      </c>
      <c r="C2906" t="s">
        <v>20</v>
      </c>
      <c r="D2906" t="s">
        <v>28</v>
      </c>
      <c r="E2906" t="s">
        <v>28</v>
      </c>
      <c r="F2906" t="s">
        <v>40</v>
      </c>
      <c r="G2906" t="s">
        <v>225</v>
      </c>
      <c r="H2906">
        <v>8</v>
      </c>
      <c r="I2906" s="1">
        <v>7607.02</v>
      </c>
      <c r="J2906" t="s">
        <v>17</v>
      </c>
      <c r="K2906" t="s">
        <v>44</v>
      </c>
      <c r="L2906" t="str" cm="1">
        <f t="array" ref="L2906">_xlfn.IFS(B2906&lt;30,"18-29",B2906&lt;45,"30-44",B2906&lt;60,"45-59",B2906&lt;75,"60-74",B2906&lt;=90,"75-90")</f>
        <v>75-90</v>
      </c>
      <c r="M2906" t="str">
        <f>IF(Table1[[#This Row],[length_of_stay_days]]&gt;7,"Yes","No")</f>
        <v>Yes</v>
      </c>
    </row>
    <row r="2907" spans="1:13" x14ac:dyDescent="0.3">
      <c r="A2907" t="s">
        <v>3306</v>
      </c>
      <c r="B2907">
        <v>19</v>
      </c>
      <c r="C2907" t="s">
        <v>12</v>
      </c>
      <c r="D2907" t="s">
        <v>51</v>
      </c>
      <c r="E2907" t="s">
        <v>28</v>
      </c>
      <c r="F2907" t="s">
        <v>133</v>
      </c>
      <c r="G2907" t="s">
        <v>509</v>
      </c>
      <c r="H2907">
        <v>4</v>
      </c>
      <c r="I2907" s="1">
        <v>11982.95</v>
      </c>
      <c r="J2907" t="s">
        <v>17</v>
      </c>
      <c r="K2907" t="s">
        <v>18</v>
      </c>
      <c r="L2907" t="str" cm="1">
        <f t="array" ref="L2907">_xlfn.IFS(B2907&lt;30,"18-29",B2907&lt;45,"30-44",B2907&lt;60,"45-59",B2907&lt;75,"60-74",B2907&lt;=90,"75-90")</f>
        <v>18-29</v>
      </c>
      <c r="M2907" t="str">
        <f>IF(Table1[[#This Row],[length_of_stay_days]]&gt;7,"Yes","No")</f>
        <v>No</v>
      </c>
    </row>
    <row r="2908" spans="1:13" x14ac:dyDescent="0.3">
      <c r="A2908" t="s">
        <v>3307</v>
      </c>
      <c r="B2908">
        <v>74</v>
      </c>
      <c r="C2908" t="s">
        <v>20</v>
      </c>
      <c r="D2908" t="s">
        <v>28</v>
      </c>
      <c r="E2908" t="s">
        <v>14</v>
      </c>
      <c r="F2908" t="s">
        <v>16</v>
      </c>
      <c r="G2908" t="s">
        <v>319</v>
      </c>
      <c r="H2908">
        <v>1</v>
      </c>
      <c r="I2908" s="1">
        <v>2144.2800000000002</v>
      </c>
      <c r="J2908" t="s">
        <v>17</v>
      </c>
      <c r="K2908" t="s">
        <v>18</v>
      </c>
      <c r="L2908" t="str" cm="1">
        <f t="array" ref="L2908">_xlfn.IFS(B2908&lt;30,"18-29",B2908&lt;45,"30-44",B2908&lt;60,"45-59",B2908&lt;75,"60-74",B2908&lt;=90,"75-90")</f>
        <v>60-74</v>
      </c>
      <c r="M2908" t="str">
        <f>IF(Table1[[#This Row],[length_of_stay_days]]&gt;7,"Yes","No")</f>
        <v>No</v>
      </c>
    </row>
    <row r="2909" spans="1:13" x14ac:dyDescent="0.3">
      <c r="A2909" t="s">
        <v>3308</v>
      </c>
      <c r="B2909">
        <v>83</v>
      </c>
      <c r="C2909" t="s">
        <v>20</v>
      </c>
      <c r="D2909" t="s">
        <v>51</v>
      </c>
      <c r="E2909" t="s">
        <v>28</v>
      </c>
      <c r="F2909" t="s">
        <v>430</v>
      </c>
      <c r="G2909" t="s">
        <v>355</v>
      </c>
      <c r="H2909">
        <v>8</v>
      </c>
      <c r="I2909" s="1">
        <v>12969.48</v>
      </c>
      <c r="J2909" t="s">
        <v>17</v>
      </c>
      <c r="K2909" t="s">
        <v>18</v>
      </c>
      <c r="L2909" t="str" cm="1">
        <f t="array" ref="L2909">_xlfn.IFS(B2909&lt;30,"18-29",B2909&lt;45,"30-44",B2909&lt;60,"45-59",B2909&lt;75,"60-74",B2909&lt;=90,"75-90")</f>
        <v>75-90</v>
      </c>
      <c r="M2909" t="str">
        <f>IF(Table1[[#This Row],[length_of_stay_days]]&gt;7,"Yes","No")</f>
        <v>Yes</v>
      </c>
    </row>
    <row r="2910" spans="1:13" x14ac:dyDescent="0.3">
      <c r="A2910" t="s">
        <v>3309</v>
      </c>
      <c r="B2910">
        <v>28</v>
      </c>
      <c r="C2910" t="s">
        <v>12</v>
      </c>
      <c r="D2910" t="s">
        <v>46</v>
      </c>
      <c r="E2910" t="s">
        <v>14</v>
      </c>
      <c r="F2910" t="s">
        <v>184</v>
      </c>
      <c r="G2910" t="s">
        <v>53</v>
      </c>
      <c r="H2910">
        <v>4</v>
      </c>
      <c r="I2910" s="1">
        <v>12857.34</v>
      </c>
      <c r="J2910" t="s">
        <v>17</v>
      </c>
      <c r="K2910" t="s">
        <v>18</v>
      </c>
      <c r="L2910" t="str" cm="1">
        <f t="array" ref="L2910">_xlfn.IFS(B2910&lt;30,"18-29",B2910&lt;45,"30-44",B2910&lt;60,"45-59",B2910&lt;75,"60-74",B2910&lt;=90,"75-90")</f>
        <v>18-29</v>
      </c>
      <c r="M2910" t="str">
        <f>IF(Table1[[#This Row],[length_of_stay_days]]&gt;7,"Yes","No")</f>
        <v>No</v>
      </c>
    </row>
    <row r="2911" spans="1:13" x14ac:dyDescent="0.3">
      <c r="A2911" t="s">
        <v>3310</v>
      </c>
      <c r="B2911">
        <v>38</v>
      </c>
      <c r="C2911" t="s">
        <v>12</v>
      </c>
      <c r="D2911" t="s">
        <v>28</v>
      </c>
      <c r="E2911" t="s">
        <v>14</v>
      </c>
      <c r="F2911" t="s">
        <v>465</v>
      </c>
      <c r="G2911" t="s">
        <v>447</v>
      </c>
      <c r="H2911">
        <v>4</v>
      </c>
      <c r="I2911" s="1">
        <v>7530.23</v>
      </c>
      <c r="J2911" t="s">
        <v>17</v>
      </c>
      <c r="K2911" t="s">
        <v>18</v>
      </c>
      <c r="L2911" t="str" cm="1">
        <f t="array" ref="L2911">_xlfn.IFS(B2911&lt;30,"18-29",B2911&lt;45,"30-44",B2911&lt;60,"45-59",B2911&lt;75,"60-74",B2911&lt;=90,"75-90")</f>
        <v>30-44</v>
      </c>
      <c r="M2911" t="str">
        <f>IF(Table1[[#This Row],[length_of_stay_days]]&gt;7,"Yes","No")</f>
        <v>No</v>
      </c>
    </row>
    <row r="2912" spans="1:13" x14ac:dyDescent="0.3">
      <c r="A2912" t="s">
        <v>3311</v>
      </c>
      <c r="B2912">
        <v>67</v>
      </c>
      <c r="C2912" t="s">
        <v>20</v>
      </c>
      <c r="D2912" t="s">
        <v>55</v>
      </c>
      <c r="E2912" t="s">
        <v>28</v>
      </c>
      <c r="F2912" t="s">
        <v>138</v>
      </c>
      <c r="G2912" t="s">
        <v>701</v>
      </c>
      <c r="H2912">
        <v>6</v>
      </c>
      <c r="I2912" s="1">
        <v>10988.99</v>
      </c>
      <c r="J2912" t="s">
        <v>17</v>
      </c>
      <c r="K2912" t="s">
        <v>18</v>
      </c>
      <c r="L2912" t="str" cm="1">
        <f t="array" ref="L2912">_xlfn.IFS(B2912&lt;30,"18-29",B2912&lt;45,"30-44",B2912&lt;60,"45-59",B2912&lt;75,"60-74",B2912&lt;=90,"75-90")</f>
        <v>60-74</v>
      </c>
      <c r="M2912" t="str">
        <f>IF(Table1[[#This Row],[length_of_stay_days]]&gt;7,"Yes","No")</f>
        <v>No</v>
      </c>
    </row>
    <row r="2913" spans="1:13" x14ac:dyDescent="0.3">
      <c r="A2913" t="s">
        <v>3312</v>
      </c>
      <c r="B2913">
        <v>83</v>
      </c>
      <c r="C2913" t="s">
        <v>20</v>
      </c>
      <c r="D2913" t="s">
        <v>28</v>
      </c>
      <c r="E2913" t="s">
        <v>14</v>
      </c>
      <c r="F2913" t="s">
        <v>78</v>
      </c>
      <c r="G2913" t="s">
        <v>158</v>
      </c>
      <c r="H2913">
        <v>4</v>
      </c>
      <c r="I2913" s="1">
        <v>5627.97</v>
      </c>
      <c r="J2913" t="s">
        <v>17</v>
      </c>
      <c r="K2913" t="s">
        <v>18</v>
      </c>
      <c r="L2913" t="str" cm="1">
        <f t="array" ref="L2913">_xlfn.IFS(B2913&lt;30,"18-29",B2913&lt;45,"30-44",B2913&lt;60,"45-59",B2913&lt;75,"60-74",B2913&lt;=90,"75-90")</f>
        <v>75-90</v>
      </c>
      <c r="M2913" t="str">
        <f>IF(Table1[[#This Row],[length_of_stay_days]]&gt;7,"Yes","No")</f>
        <v>No</v>
      </c>
    </row>
    <row r="2914" spans="1:13" x14ac:dyDescent="0.3">
      <c r="A2914" t="s">
        <v>3313</v>
      </c>
      <c r="B2914">
        <v>41</v>
      </c>
      <c r="C2914" t="s">
        <v>20</v>
      </c>
      <c r="D2914" t="s">
        <v>13</v>
      </c>
      <c r="E2914" t="s">
        <v>14</v>
      </c>
      <c r="F2914" t="s">
        <v>133</v>
      </c>
      <c r="G2914" t="s">
        <v>327</v>
      </c>
      <c r="H2914">
        <v>5</v>
      </c>
      <c r="I2914" s="1">
        <v>5389.96</v>
      </c>
      <c r="J2914" t="s">
        <v>17</v>
      </c>
      <c r="K2914" t="s">
        <v>18</v>
      </c>
      <c r="L2914" t="str" cm="1">
        <f t="array" ref="L2914">_xlfn.IFS(B2914&lt;30,"18-29",B2914&lt;45,"30-44",B2914&lt;60,"45-59",B2914&lt;75,"60-74",B2914&lt;=90,"75-90")</f>
        <v>30-44</v>
      </c>
      <c r="M2914" t="str">
        <f>IF(Table1[[#This Row],[length_of_stay_days]]&gt;7,"Yes","No")</f>
        <v>No</v>
      </c>
    </row>
    <row r="2915" spans="1:13" x14ac:dyDescent="0.3">
      <c r="A2915" t="s">
        <v>3314</v>
      </c>
      <c r="B2915">
        <v>58</v>
      </c>
      <c r="C2915" t="s">
        <v>12</v>
      </c>
      <c r="D2915" t="s">
        <v>28</v>
      </c>
      <c r="E2915" t="s">
        <v>28</v>
      </c>
      <c r="F2915" t="s">
        <v>231</v>
      </c>
      <c r="G2915" t="s">
        <v>797</v>
      </c>
      <c r="H2915">
        <v>3</v>
      </c>
      <c r="I2915" s="1">
        <v>4892.2299999999996</v>
      </c>
      <c r="J2915" t="s">
        <v>17</v>
      </c>
      <c r="K2915" t="s">
        <v>18</v>
      </c>
      <c r="L2915" t="str" cm="1">
        <f t="array" ref="L2915">_xlfn.IFS(B2915&lt;30,"18-29",B2915&lt;45,"30-44",B2915&lt;60,"45-59",B2915&lt;75,"60-74",B2915&lt;=90,"75-90")</f>
        <v>45-59</v>
      </c>
      <c r="M2915" t="str">
        <f>IF(Table1[[#This Row],[length_of_stay_days]]&gt;7,"Yes","No")</f>
        <v>No</v>
      </c>
    </row>
    <row r="2916" spans="1:13" x14ac:dyDescent="0.3">
      <c r="A2916" t="s">
        <v>3315</v>
      </c>
      <c r="B2916">
        <v>69</v>
      </c>
      <c r="C2916" t="s">
        <v>20</v>
      </c>
      <c r="D2916" t="s">
        <v>46</v>
      </c>
      <c r="E2916" t="s">
        <v>28</v>
      </c>
      <c r="F2916" t="s">
        <v>1338</v>
      </c>
      <c r="G2916" t="s">
        <v>33</v>
      </c>
      <c r="H2916">
        <v>4</v>
      </c>
      <c r="I2916" s="1">
        <v>10401.77</v>
      </c>
      <c r="J2916" t="s">
        <v>17</v>
      </c>
      <c r="K2916" t="s">
        <v>18</v>
      </c>
      <c r="L2916" t="str" cm="1">
        <f t="array" ref="L2916">_xlfn.IFS(B2916&lt;30,"18-29",B2916&lt;45,"30-44",B2916&lt;60,"45-59",B2916&lt;75,"60-74",B2916&lt;=90,"75-90")</f>
        <v>60-74</v>
      </c>
      <c r="M2916" t="str">
        <f>IF(Table1[[#This Row],[length_of_stay_days]]&gt;7,"Yes","No")</f>
        <v>No</v>
      </c>
    </row>
    <row r="2917" spans="1:13" x14ac:dyDescent="0.3">
      <c r="A2917" t="s">
        <v>3316</v>
      </c>
      <c r="B2917">
        <v>24</v>
      </c>
      <c r="C2917" t="s">
        <v>12</v>
      </c>
      <c r="D2917" t="s">
        <v>55</v>
      </c>
      <c r="E2917" t="s">
        <v>28</v>
      </c>
      <c r="F2917" t="s">
        <v>195</v>
      </c>
      <c r="G2917" t="s">
        <v>138</v>
      </c>
      <c r="H2917">
        <v>5</v>
      </c>
      <c r="I2917" s="1">
        <v>9982.48</v>
      </c>
      <c r="J2917" t="s">
        <v>17</v>
      </c>
      <c r="K2917" t="s">
        <v>18</v>
      </c>
      <c r="L2917" t="str" cm="1">
        <f t="array" ref="L2917">_xlfn.IFS(B2917&lt;30,"18-29",B2917&lt;45,"30-44",B2917&lt;60,"45-59",B2917&lt;75,"60-74",B2917&lt;=90,"75-90")</f>
        <v>18-29</v>
      </c>
      <c r="M2917" t="str">
        <f>IF(Table1[[#This Row],[length_of_stay_days]]&gt;7,"Yes","No")</f>
        <v>No</v>
      </c>
    </row>
    <row r="2918" spans="1:13" x14ac:dyDescent="0.3">
      <c r="A2918" t="s">
        <v>3317</v>
      </c>
      <c r="B2918">
        <v>66</v>
      </c>
      <c r="C2918" t="s">
        <v>20</v>
      </c>
      <c r="D2918" t="s">
        <v>28</v>
      </c>
      <c r="E2918" t="s">
        <v>14</v>
      </c>
      <c r="F2918" t="s">
        <v>280</v>
      </c>
      <c r="G2918" t="s">
        <v>421</v>
      </c>
      <c r="H2918">
        <v>6</v>
      </c>
      <c r="I2918" s="1">
        <v>4728.28</v>
      </c>
      <c r="J2918" t="s">
        <v>17</v>
      </c>
      <c r="K2918" t="s">
        <v>18</v>
      </c>
      <c r="L2918" t="str" cm="1">
        <f t="array" ref="L2918">_xlfn.IFS(B2918&lt;30,"18-29",B2918&lt;45,"30-44",B2918&lt;60,"45-59",B2918&lt;75,"60-74",B2918&lt;=90,"75-90")</f>
        <v>60-74</v>
      </c>
      <c r="M2918" t="str">
        <f>IF(Table1[[#This Row],[length_of_stay_days]]&gt;7,"Yes","No")</f>
        <v>No</v>
      </c>
    </row>
    <row r="2919" spans="1:13" x14ac:dyDescent="0.3">
      <c r="A2919" t="s">
        <v>3318</v>
      </c>
      <c r="B2919">
        <v>66</v>
      </c>
      <c r="C2919" t="s">
        <v>12</v>
      </c>
      <c r="D2919" t="s">
        <v>46</v>
      </c>
      <c r="E2919" t="s">
        <v>14</v>
      </c>
      <c r="F2919" t="s">
        <v>491</v>
      </c>
      <c r="G2919" t="s">
        <v>123</v>
      </c>
      <c r="H2919">
        <v>5</v>
      </c>
      <c r="I2919" s="1">
        <v>12904.91</v>
      </c>
      <c r="J2919" t="s">
        <v>17</v>
      </c>
      <c r="K2919" t="s">
        <v>44</v>
      </c>
      <c r="L2919" t="str" cm="1">
        <f t="array" ref="L2919">_xlfn.IFS(B2919&lt;30,"18-29",B2919&lt;45,"30-44",B2919&lt;60,"45-59",B2919&lt;75,"60-74",B2919&lt;=90,"75-90")</f>
        <v>60-74</v>
      </c>
      <c r="M2919" t="str">
        <f>IF(Table1[[#This Row],[length_of_stay_days]]&gt;7,"Yes","No")</f>
        <v>No</v>
      </c>
    </row>
    <row r="2920" spans="1:13" x14ac:dyDescent="0.3">
      <c r="A2920" t="s">
        <v>3319</v>
      </c>
      <c r="B2920">
        <v>53</v>
      </c>
      <c r="C2920" t="s">
        <v>12</v>
      </c>
      <c r="D2920" t="s">
        <v>51</v>
      </c>
      <c r="E2920" t="s">
        <v>28</v>
      </c>
      <c r="F2920" t="s">
        <v>447</v>
      </c>
      <c r="G2920" t="s">
        <v>415</v>
      </c>
      <c r="H2920">
        <v>6</v>
      </c>
      <c r="I2920" s="1">
        <v>11566.02</v>
      </c>
      <c r="J2920" t="s">
        <v>17</v>
      </c>
      <c r="K2920" t="s">
        <v>18</v>
      </c>
      <c r="L2920" t="str" cm="1">
        <f t="array" ref="L2920">_xlfn.IFS(B2920&lt;30,"18-29",B2920&lt;45,"30-44",B2920&lt;60,"45-59",B2920&lt;75,"60-74",B2920&lt;=90,"75-90")</f>
        <v>45-59</v>
      </c>
      <c r="M2920" t="str">
        <f>IF(Table1[[#This Row],[length_of_stay_days]]&gt;7,"Yes","No")</f>
        <v>No</v>
      </c>
    </row>
    <row r="2921" spans="1:13" x14ac:dyDescent="0.3">
      <c r="A2921" t="s">
        <v>3320</v>
      </c>
      <c r="B2921">
        <v>66</v>
      </c>
      <c r="C2921" t="s">
        <v>12</v>
      </c>
      <c r="D2921" t="s">
        <v>51</v>
      </c>
      <c r="E2921" t="s">
        <v>21</v>
      </c>
      <c r="F2921" t="s">
        <v>255</v>
      </c>
      <c r="G2921" t="s">
        <v>286</v>
      </c>
      <c r="H2921">
        <v>6</v>
      </c>
      <c r="I2921" s="1">
        <v>10899.86</v>
      </c>
      <c r="J2921" t="s">
        <v>17</v>
      </c>
      <c r="K2921" t="s">
        <v>18</v>
      </c>
      <c r="L2921" t="str" cm="1">
        <f t="array" ref="L2921">_xlfn.IFS(B2921&lt;30,"18-29",B2921&lt;45,"30-44",B2921&lt;60,"45-59",B2921&lt;75,"60-74",B2921&lt;=90,"75-90")</f>
        <v>60-74</v>
      </c>
      <c r="M2921" t="str">
        <f>IF(Table1[[#This Row],[length_of_stay_days]]&gt;7,"Yes","No")</f>
        <v>No</v>
      </c>
    </row>
    <row r="2922" spans="1:13" x14ac:dyDescent="0.3">
      <c r="A2922" t="s">
        <v>3321</v>
      </c>
      <c r="B2922">
        <v>49</v>
      </c>
      <c r="C2922" t="s">
        <v>12</v>
      </c>
      <c r="D2922" t="s">
        <v>13</v>
      </c>
      <c r="E2922" t="s">
        <v>21</v>
      </c>
      <c r="F2922" t="s">
        <v>101</v>
      </c>
      <c r="G2922" t="s">
        <v>730</v>
      </c>
      <c r="H2922">
        <v>1</v>
      </c>
      <c r="I2922" s="1">
        <v>2666.67</v>
      </c>
      <c r="J2922" t="s">
        <v>17</v>
      </c>
      <c r="K2922" t="s">
        <v>18</v>
      </c>
      <c r="L2922" t="str" cm="1">
        <f t="array" ref="L2922">_xlfn.IFS(B2922&lt;30,"18-29",B2922&lt;45,"30-44",B2922&lt;60,"45-59",B2922&lt;75,"60-74",B2922&lt;=90,"75-90")</f>
        <v>45-59</v>
      </c>
      <c r="M2922" t="str">
        <f>IF(Table1[[#This Row],[length_of_stay_days]]&gt;7,"Yes","No")</f>
        <v>No</v>
      </c>
    </row>
    <row r="2923" spans="1:13" x14ac:dyDescent="0.3">
      <c r="A2923" t="s">
        <v>3322</v>
      </c>
      <c r="B2923">
        <v>36</v>
      </c>
      <c r="C2923" t="s">
        <v>12</v>
      </c>
      <c r="D2923" t="s">
        <v>28</v>
      </c>
      <c r="E2923" t="s">
        <v>28</v>
      </c>
      <c r="F2923" t="s">
        <v>319</v>
      </c>
      <c r="G2923" t="s">
        <v>320</v>
      </c>
      <c r="H2923">
        <v>4</v>
      </c>
      <c r="I2923" s="1">
        <v>5329.49</v>
      </c>
      <c r="J2923" t="s">
        <v>17</v>
      </c>
      <c r="K2923" t="s">
        <v>18</v>
      </c>
      <c r="L2923" t="str" cm="1">
        <f t="array" ref="L2923">_xlfn.IFS(B2923&lt;30,"18-29",B2923&lt;45,"30-44",B2923&lt;60,"45-59",B2923&lt;75,"60-74",B2923&lt;=90,"75-90")</f>
        <v>30-44</v>
      </c>
      <c r="M2923" t="str">
        <f>IF(Table1[[#This Row],[length_of_stay_days]]&gt;7,"Yes","No")</f>
        <v>No</v>
      </c>
    </row>
    <row r="2924" spans="1:13" x14ac:dyDescent="0.3">
      <c r="A2924" t="s">
        <v>3323</v>
      </c>
      <c r="B2924">
        <v>82</v>
      </c>
      <c r="C2924" t="s">
        <v>20</v>
      </c>
      <c r="D2924" t="s">
        <v>51</v>
      </c>
      <c r="E2924" t="s">
        <v>28</v>
      </c>
      <c r="F2924" t="s">
        <v>184</v>
      </c>
      <c r="G2924" t="s">
        <v>837</v>
      </c>
      <c r="H2924">
        <v>7</v>
      </c>
      <c r="I2924" s="1">
        <v>13044.24</v>
      </c>
      <c r="J2924" t="s">
        <v>17</v>
      </c>
      <c r="K2924" t="s">
        <v>18</v>
      </c>
      <c r="L2924" t="str" cm="1">
        <f t="array" ref="L2924">_xlfn.IFS(B2924&lt;30,"18-29",B2924&lt;45,"30-44",B2924&lt;60,"45-59",B2924&lt;75,"60-74",B2924&lt;=90,"75-90")</f>
        <v>75-90</v>
      </c>
      <c r="M2924" t="str">
        <f>IF(Table1[[#This Row],[length_of_stay_days]]&gt;7,"Yes","No")</f>
        <v>No</v>
      </c>
    </row>
    <row r="2925" spans="1:13" x14ac:dyDescent="0.3">
      <c r="A2925" t="s">
        <v>3324</v>
      </c>
      <c r="B2925">
        <v>27</v>
      </c>
      <c r="C2925" t="s">
        <v>20</v>
      </c>
      <c r="D2925" t="s">
        <v>13</v>
      </c>
      <c r="E2925" t="s">
        <v>28</v>
      </c>
      <c r="F2925" t="s">
        <v>121</v>
      </c>
      <c r="G2925" t="s">
        <v>330</v>
      </c>
      <c r="H2925">
        <v>5</v>
      </c>
      <c r="I2925" s="1">
        <v>5413.71</v>
      </c>
      <c r="J2925" t="s">
        <v>17</v>
      </c>
      <c r="K2925" t="s">
        <v>18</v>
      </c>
      <c r="L2925" t="str" cm="1">
        <f t="array" ref="L2925">_xlfn.IFS(B2925&lt;30,"18-29",B2925&lt;45,"30-44",B2925&lt;60,"45-59",B2925&lt;75,"60-74",B2925&lt;=90,"75-90")</f>
        <v>18-29</v>
      </c>
      <c r="M2925" t="str">
        <f>IF(Table1[[#This Row],[length_of_stay_days]]&gt;7,"Yes","No")</f>
        <v>No</v>
      </c>
    </row>
    <row r="2926" spans="1:13" x14ac:dyDescent="0.3">
      <c r="A2926" t="s">
        <v>3325</v>
      </c>
      <c r="B2926">
        <v>77</v>
      </c>
      <c r="C2926" t="s">
        <v>20</v>
      </c>
      <c r="D2926" t="s">
        <v>51</v>
      </c>
      <c r="E2926" t="s">
        <v>28</v>
      </c>
      <c r="F2926" t="s">
        <v>478</v>
      </c>
      <c r="G2926" t="s">
        <v>348</v>
      </c>
      <c r="H2926">
        <v>8</v>
      </c>
      <c r="I2926" s="1">
        <v>11179.96</v>
      </c>
      <c r="J2926" t="s">
        <v>17</v>
      </c>
      <c r="K2926" t="s">
        <v>18</v>
      </c>
      <c r="L2926" t="str" cm="1">
        <f t="array" ref="L2926">_xlfn.IFS(B2926&lt;30,"18-29",B2926&lt;45,"30-44",B2926&lt;60,"45-59",B2926&lt;75,"60-74",B2926&lt;=90,"75-90")</f>
        <v>75-90</v>
      </c>
      <c r="M2926" t="str">
        <f>IF(Table1[[#This Row],[length_of_stay_days]]&gt;7,"Yes","No")</f>
        <v>Yes</v>
      </c>
    </row>
    <row r="2927" spans="1:13" x14ac:dyDescent="0.3">
      <c r="A2927" t="s">
        <v>3326</v>
      </c>
      <c r="B2927">
        <v>65</v>
      </c>
      <c r="C2927" t="s">
        <v>12</v>
      </c>
      <c r="D2927" t="s">
        <v>32</v>
      </c>
      <c r="E2927" t="s">
        <v>28</v>
      </c>
      <c r="F2927" t="s">
        <v>180</v>
      </c>
      <c r="G2927" t="s">
        <v>689</v>
      </c>
      <c r="H2927">
        <v>6</v>
      </c>
      <c r="I2927" s="1">
        <v>9558.09</v>
      </c>
      <c r="J2927" t="s">
        <v>17</v>
      </c>
      <c r="K2927" t="s">
        <v>44</v>
      </c>
      <c r="L2927" t="str" cm="1">
        <f t="array" ref="L2927">_xlfn.IFS(B2927&lt;30,"18-29",B2927&lt;45,"30-44",B2927&lt;60,"45-59",B2927&lt;75,"60-74",B2927&lt;=90,"75-90")</f>
        <v>60-74</v>
      </c>
      <c r="M2927" t="str">
        <f>IF(Table1[[#This Row],[length_of_stay_days]]&gt;7,"Yes","No")</f>
        <v>No</v>
      </c>
    </row>
    <row r="2928" spans="1:13" x14ac:dyDescent="0.3">
      <c r="A2928" t="s">
        <v>3327</v>
      </c>
      <c r="B2928">
        <v>42</v>
      </c>
      <c r="C2928" t="s">
        <v>20</v>
      </c>
      <c r="D2928" t="s">
        <v>51</v>
      </c>
      <c r="E2928" t="s">
        <v>28</v>
      </c>
      <c r="F2928" t="s">
        <v>399</v>
      </c>
      <c r="G2928" t="s">
        <v>327</v>
      </c>
      <c r="H2928">
        <v>6</v>
      </c>
      <c r="I2928" s="1">
        <v>12631.25</v>
      </c>
      <c r="J2928" t="s">
        <v>17</v>
      </c>
      <c r="K2928" t="s">
        <v>18</v>
      </c>
      <c r="L2928" t="str" cm="1">
        <f t="array" ref="L2928">_xlfn.IFS(B2928&lt;30,"18-29",B2928&lt;45,"30-44",B2928&lt;60,"45-59",B2928&lt;75,"60-74",B2928&lt;=90,"75-90")</f>
        <v>30-44</v>
      </c>
      <c r="M2928" t="str">
        <f>IF(Table1[[#This Row],[length_of_stay_days]]&gt;7,"Yes","No")</f>
        <v>No</v>
      </c>
    </row>
    <row r="2929" spans="1:13" x14ac:dyDescent="0.3">
      <c r="A2929" t="s">
        <v>3328</v>
      </c>
      <c r="B2929">
        <v>47</v>
      </c>
      <c r="C2929" t="s">
        <v>12</v>
      </c>
      <c r="D2929" t="s">
        <v>32</v>
      </c>
      <c r="E2929" t="s">
        <v>14</v>
      </c>
      <c r="F2929" t="s">
        <v>575</v>
      </c>
      <c r="G2929" t="s">
        <v>67</v>
      </c>
      <c r="H2929">
        <v>6</v>
      </c>
      <c r="I2929" s="1">
        <v>12759.06</v>
      </c>
      <c r="J2929" t="s">
        <v>17</v>
      </c>
      <c r="K2929" t="s">
        <v>18</v>
      </c>
      <c r="L2929" t="str" cm="1">
        <f t="array" ref="L2929">_xlfn.IFS(B2929&lt;30,"18-29",B2929&lt;45,"30-44",B2929&lt;60,"45-59",B2929&lt;75,"60-74",B2929&lt;=90,"75-90")</f>
        <v>45-59</v>
      </c>
      <c r="M2929" t="str">
        <f>IF(Table1[[#This Row],[length_of_stay_days]]&gt;7,"Yes","No")</f>
        <v>No</v>
      </c>
    </row>
    <row r="2930" spans="1:13" x14ac:dyDescent="0.3">
      <c r="A2930" t="s">
        <v>3329</v>
      </c>
      <c r="B2930">
        <v>19</v>
      </c>
      <c r="C2930" t="s">
        <v>20</v>
      </c>
      <c r="D2930" t="s">
        <v>28</v>
      </c>
      <c r="E2930" t="s">
        <v>28</v>
      </c>
      <c r="F2930" t="s">
        <v>309</v>
      </c>
      <c r="G2930" t="s">
        <v>299</v>
      </c>
      <c r="H2930">
        <v>3</v>
      </c>
      <c r="I2930" s="1">
        <v>6660.54</v>
      </c>
      <c r="J2930" t="s">
        <v>49</v>
      </c>
      <c r="K2930" t="s">
        <v>18</v>
      </c>
      <c r="L2930" t="str" cm="1">
        <f t="array" ref="L2930">_xlfn.IFS(B2930&lt;30,"18-29",B2930&lt;45,"30-44",B2930&lt;60,"45-59",B2930&lt;75,"60-74",B2930&lt;=90,"75-90")</f>
        <v>18-29</v>
      </c>
      <c r="M2930" t="str">
        <f>IF(Table1[[#This Row],[length_of_stay_days]]&gt;7,"Yes","No")</f>
        <v>No</v>
      </c>
    </row>
    <row r="2931" spans="1:13" x14ac:dyDescent="0.3">
      <c r="A2931" t="s">
        <v>3330</v>
      </c>
      <c r="B2931">
        <v>69</v>
      </c>
      <c r="C2931" t="s">
        <v>20</v>
      </c>
      <c r="D2931" t="s">
        <v>28</v>
      </c>
      <c r="E2931" t="s">
        <v>21</v>
      </c>
      <c r="F2931" t="s">
        <v>559</v>
      </c>
      <c r="G2931" t="s">
        <v>282</v>
      </c>
      <c r="H2931">
        <v>7</v>
      </c>
      <c r="I2931" s="1">
        <v>9050.02</v>
      </c>
      <c r="J2931" t="s">
        <v>49</v>
      </c>
      <c r="K2931" t="s">
        <v>18</v>
      </c>
      <c r="L2931" t="str" cm="1">
        <f t="array" ref="L2931">_xlfn.IFS(B2931&lt;30,"18-29",B2931&lt;45,"30-44",B2931&lt;60,"45-59",B2931&lt;75,"60-74",B2931&lt;=90,"75-90")</f>
        <v>60-74</v>
      </c>
      <c r="M2931" t="str">
        <f>IF(Table1[[#This Row],[length_of_stay_days]]&gt;7,"Yes","No")</f>
        <v>No</v>
      </c>
    </row>
    <row r="2932" spans="1:13" x14ac:dyDescent="0.3">
      <c r="A2932" t="s">
        <v>3331</v>
      </c>
      <c r="B2932">
        <v>52</v>
      </c>
      <c r="C2932" t="s">
        <v>12</v>
      </c>
      <c r="D2932" t="s">
        <v>28</v>
      </c>
      <c r="E2932" t="s">
        <v>28</v>
      </c>
      <c r="F2932" t="s">
        <v>371</v>
      </c>
      <c r="G2932" t="s">
        <v>354</v>
      </c>
      <c r="H2932">
        <v>2</v>
      </c>
      <c r="I2932" s="1">
        <v>2761.74</v>
      </c>
      <c r="J2932" t="s">
        <v>17</v>
      </c>
      <c r="K2932" t="s">
        <v>18</v>
      </c>
      <c r="L2932" t="str" cm="1">
        <f t="array" ref="L2932">_xlfn.IFS(B2932&lt;30,"18-29",B2932&lt;45,"30-44",B2932&lt;60,"45-59",B2932&lt;75,"60-74",B2932&lt;=90,"75-90")</f>
        <v>45-59</v>
      </c>
      <c r="M2932" t="str">
        <f>IF(Table1[[#This Row],[length_of_stay_days]]&gt;7,"Yes","No")</f>
        <v>No</v>
      </c>
    </row>
    <row r="2933" spans="1:13" x14ac:dyDescent="0.3">
      <c r="A2933" t="s">
        <v>3332</v>
      </c>
      <c r="B2933">
        <v>47</v>
      </c>
      <c r="C2933" t="s">
        <v>12</v>
      </c>
      <c r="D2933" t="s">
        <v>28</v>
      </c>
      <c r="E2933" t="s">
        <v>28</v>
      </c>
      <c r="F2933" t="s">
        <v>276</v>
      </c>
      <c r="G2933" t="s">
        <v>846</v>
      </c>
      <c r="H2933">
        <v>1</v>
      </c>
      <c r="I2933" s="1">
        <v>2723.21</v>
      </c>
      <c r="J2933" t="s">
        <v>17</v>
      </c>
      <c r="K2933" t="s">
        <v>18</v>
      </c>
      <c r="L2933" t="str" cm="1">
        <f t="array" ref="L2933">_xlfn.IFS(B2933&lt;30,"18-29",B2933&lt;45,"30-44",B2933&lt;60,"45-59",B2933&lt;75,"60-74",B2933&lt;=90,"75-90")</f>
        <v>45-59</v>
      </c>
      <c r="M2933" t="str">
        <f>IF(Table1[[#This Row],[length_of_stay_days]]&gt;7,"Yes","No")</f>
        <v>No</v>
      </c>
    </row>
    <row r="2934" spans="1:13" x14ac:dyDescent="0.3">
      <c r="A2934" t="s">
        <v>3333</v>
      </c>
      <c r="B2934">
        <v>35</v>
      </c>
      <c r="C2934" t="s">
        <v>20</v>
      </c>
      <c r="D2934" t="s">
        <v>13</v>
      </c>
      <c r="E2934" t="s">
        <v>28</v>
      </c>
      <c r="F2934" t="s">
        <v>148</v>
      </c>
      <c r="G2934" t="s">
        <v>549</v>
      </c>
      <c r="H2934">
        <v>4</v>
      </c>
      <c r="I2934" s="1">
        <v>6930.06</v>
      </c>
      <c r="J2934" t="s">
        <v>49</v>
      </c>
      <c r="K2934" t="s">
        <v>18</v>
      </c>
      <c r="L2934" t="str" cm="1">
        <f t="array" ref="L2934">_xlfn.IFS(B2934&lt;30,"18-29",B2934&lt;45,"30-44",B2934&lt;60,"45-59",B2934&lt;75,"60-74",B2934&lt;=90,"75-90")</f>
        <v>30-44</v>
      </c>
      <c r="M2934" t="str">
        <f>IF(Table1[[#This Row],[length_of_stay_days]]&gt;7,"Yes","No")</f>
        <v>No</v>
      </c>
    </row>
    <row r="2935" spans="1:13" x14ac:dyDescent="0.3">
      <c r="A2935" t="s">
        <v>3334</v>
      </c>
      <c r="B2935">
        <v>71</v>
      </c>
      <c r="C2935" t="s">
        <v>20</v>
      </c>
      <c r="D2935" t="s">
        <v>46</v>
      </c>
      <c r="E2935" t="s">
        <v>14</v>
      </c>
      <c r="F2935" t="s">
        <v>64</v>
      </c>
      <c r="G2935" t="s">
        <v>65</v>
      </c>
      <c r="H2935">
        <v>7</v>
      </c>
      <c r="I2935" s="1">
        <v>12536.05</v>
      </c>
      <c r="J2935" t="s">
        <v>49</v>
      </c>
      <c r="K2935" t="s">
        <v>18</v>
      </c>
      <c r="L2935" t="str" cm="1">
        <f t="array" ref="L2935">_xlfn.IFS(B2935&lt;30,"18-29",B2935&lt;45,"30-44",B2935&lt;60,"45-59",B2935&lt;75,"60-74",B2935&lt;=90,"75-90")</f>
        <v>60-74</v>
      </c>
      <c r="M2935" t="str">
        <f>IF(Table1[[#This Row],[length_of_stay_days]]&gt;7,"Yes","No")</f>
        <v>No</v>
      </c>
    </row>
    <row r="2936" spans="1:13" x14ac:dyDescent="0.3">
      <c r="A2936" t="s">
        <v>3335</v>
      </c>
      <c r="B2936">
        <v>46</v>
      </c>
      <c r="C2936" t="s">
        <v>12</v>
      </c>
      <c r="D2936" t="s">
        <v>51</v>
      </c>
      <c r="E2936" t="s">
        <v>14</v>
      </c>
      <c r="F2936" t="s">
        <v>527</v>
      </c>
      <c r="G2936" t="s">
        <v>165</v>
      </c>
      <c r="H2936">
        <v>7</v>
      </c>
      <c r="I2936" s="1">
        <v>14450.37</v>
      </c>
      <c r="J2936" t="s">
        <v>17</v>
      </c>
      <c r="K2936" t="s">
        <v>223</v>
      </c>
      <c r="L2936" t="str" cm="1">
        <f t="array" ref="L2936">_xlfn.IFS(B2936&lt;30,"18-29",B2936&lt;45,"30-44",B2936&lt;60,"45-59",B2936&lt;75,"60-74",B2936&lt;=90,"75-90")</f>
        <v>45-59</v>
      </c>
      <c r="M2936" t="str">
        <f>IF(Table1[[#This Row],[length_of_stay_days]]&gt;7,"Yes","No")</f>
        <v>No</v>
      </c>
    </row>
    <row r="2937" spans="1:13" x14ac:dyDescent="0.3">
      <c r="A2937" t="s">
        <v>3336</v>
      </c>
      <c r="B2937">
        <v>77</v>
      </c>
      <c r="C2937" t="s">
        <v>20</v>
      </c>
      <c r="D2937" t="s">
        <v>32</v>
      </c>
      <c r="E2937" t="s">
        <v>14</v>
      </c>
      <c r="F2937" t="s">
        <v>180</v>
      </c>
      <c r="G2937" t="s">
        <v>689</v>
      </c>
      <c r="H2937">
        <v>6</v>
      </c>
      <c r="I2937" s="1">
        <v>9587.65</v>
      </c>
      <c r="J2937" t="s">
        <v>17</v>
      </c>
      <c r="K2937" t="s">
        <v>18</v>
      </c>
      <c r="L2937" t="str" cm="1">
        <f t="array" ref="L2937">_xlfn.IFS(B2937&lt;30,"18-29",B2937&lt;45,"30-44",B2937&lt;60,"45-59",B2937&lt;75,"60-74",B2937&lt;=90,"75-90")</f>
        <v>75-90</v>
      </c>
      <c r="M2937" t="str">
        <f>IF(Table1[[#This Row],[length_of_stay_days]]&gt;7,"Yes","No")</f>
        <v>No</v>
      </c>
    </row>
    <row r="2938" spans="1:13" x14ac:dyDescent="0.3">
      <c r="A2938" t="s">
        <v>3337</v>
      </c>
      <c r="B2938">
        <v>61</v>
      </c>
      <c r="C2938" t="s">
        <v>70</v>
      </c>
      <c r="D2938" t="s">
        <v>32</v>
      </c>
      <c r="E2938" t="s">
        <v>14</v>
      </c>
      <c r="F2938" t="s">
        <v>827</v>
      </c>
      <c r="G2938" t="s">
        <v>190</v>
      </c>
      <c r="H2938">
        <v>3</v>
      </c>
      <c r="I2938" s="1">
        <v>10562.07</v>
      </c>
      <c r="J2938" t="s">
        <v>17</v>
      </c>
      <c r="K2938" t="s">
        <v>18</v>
      </c>
      <c r="L2938" t="str" cm="1">
        <f t="array" ref="L2938">_xlfn.IFS(B2938&lt;30,"18-29",B2938&lt;45,"30-44",B2938&lt;60,"45-59",B2938&lt;75,"60-74",B2938&lt;=90,"75-90")</f>
        <v>60-74</v>
      </c>
      <c r="M2938" t="str">
        <f>IF(Table1[[#This Row],[length_of_stay_days]]&gt;7,"Yes","No")</f>
        <v>No</v>
      </c>
    </row>
    <row r="2939" spans="1:13" x14ac:dyDescent="0.3">
      <c r="A2939" t="s">
        <v>3338</v>
      </c>
      <c r="B2939">
        <v>38</v>
      </c>
      <c r="C2939" t="s">
        <v>20</v>
      </c>
      <c r="D2939" t="s">
        <v>28</v>
      </c>
      <c r="E2939" t="s">
        <v>21</v>
      </c>
      <c r="F2939" t="s">
        <v>852</v>
      </c>
      <c r="G2939" t="s">
        <v>130</v>
      </c>
      <c r="H2939">
        <v>2</v>
      </c>
      <c r="I2939" s="1">
        <v>4808.83</v>
      </c>
      <c r="J2939" t="s">
        <v>17</v>
      </c>
      <c r="K2939" t="s">
        <v>18</v>
      </c>
      <c r="L2939" t="str" cm="1">
        <f t="array" ref="L2939">_xlfn.IFS(B2939&lt;30,"18-29",B2939&lt;45,"30-44",B2939&lt;60,"45-59",B2939&lt;75,"60-74",B2939&lt;=90,"75-90")</f>
        <v>30-44</v>
      </c>
      <c r="M2939" t="str">
        <f>IF(Table1[[#This Row],[length_of_stay_days]]&gt;7,"Yes","No")</f>
        <v>No</v>
      </c>
    </row>
    <row r="2940" spans="1:13" x14ac:dyDescent="0.3">
      <c r="A2940" t="s">
        <v>3339</v>
      </c>
      <c r="B2940">
        <v>41</v>
      </c>
      <c r="C2940" t="s">
        <v>12</v>
      </c>
      <c r="D2940" t="s">
        <v>46</v>
      </c>
      <c r="E2940" t="s">
        <v>14</v>
      </c>
      <c r="F2940" t="s">
        <v>106</v>
      </c>
      <c r="G2940" t="s">
        <v>177</v>
      </c>
      <c r="H2940">
        <v>4</v>
      </c>
      <c r="I2940" s="1">
        <v>11441.12</v>
      </c>
      <c r="J2940" t="s">
        <v>17</v>
      </c>
      <c r="K2940" t="s">
        <v>18</v>
      </c>
      <c r="L2940" t="str" cm="1">
        <f t="array" ref="L2940">_xlfn.IFS(B2940&lt;30,"18-29",B2940&lt;45,"30-44",B2940&lt;60,"45-59",B2940&lt;75,"60-74",B2940&lt;=90,"75-90")</f>
        <v>30-44</v>
      </c>
      <c r="M2940" t="str">
        <f>IF(Table1[[#This Row],[length_of_stay_days]]&gt;7,"Yes","No")</f>
        <v>No</v>
      </c>
    </row>
    <row r="2941" spans="1:13" x14ac:dyDescent="0.3">
      <c r="A2941" t="s">
        <v>3340</v>
      </c>
      <c r="B2941">
        <v>84</v>
      </c>
      <c r="C2941" t="s">
        <v>20</v>
      </c>
      <c r="D2941" t="s">
        <v>28</v>
      </c>
      <c r="E2941" t="s">
        <v>28</v>
      </c>
      <c r="F2941" t="s">
        <v>596</v>
      </c>
      <c r="G2941" t="s">
        <v>562</v>
      </c>
      <c r="H2941">
        <v>7</v>
      </c>
      <c r="I2941" s="1">
        <v>9504.99</v>
      </c>
      <c r="J2941" t="s">
        <v>17</v>
      </c>
      <c r="K2941" t="s">
        <v>18</v>
      </c>
      <c r="L2941" t="str" cm="1">
        <f t="array" ref="L2941">_xlfn.IFS(B2941&lt;30,"18-29",B2941&lt;45,"30-44",B2941&lt;60,"45-59",B2941&lt;75,"60-74",B2941&lt;=90,"75-90")</f>
        <v>75-90</v>
      </c>
      <c r="M2941" t="str">
        <f>IF(Table1[[#This Row],[length_of_stay_days]]&gt;7,"Yes","No")</f>
        <v>No</v>
      </c>
    </row>
    <row r="2942" spans="1:13" x14ac:dyDescent="0.3">
      <c r="A2942" t="s">
        <v>3341</v>
      </c>
      <c r="B2942">
        <v>34</v>
      </c>
      <c r="C2942" t="s">
        <v>12</v>
      </c>
      <c r="D2942" t="s">
        <v>51</v>
      </c>
      <c r="E2942" t="s">
        <v>14</v>
      </c>
      <c r="F2942" t="s">
        <v>275</v>
      </c>
      <c r="G2942" t="s">
        <v>207</v>
      </c>
      <c r="H2942">
        <v>9</v>
      </c>
      <c r="I2942" s="1">
        <v>11900.48</v>
      </c>
      <c r="J2942" t="s">
        <v>17</v>
      </c>
      <c r="K2942" t="s">
        <v>18</v>
      </c>
      <c r="L2942" t="str" cm="1">
        <f t="array" ref="L2942">_xlfn.IFS(B2942&lt;30,"18-29",B2942&lt;45,"30-44",B2942&lt;60,"45-59",B2942&lt;75,"60-74",B2942&lt;=90,"75-90")</f>
        <v>30-44</v>
      </c>
      <c r="M2942" t="str">
        <f>IF(Table1[[#This Row],[length_of_stay_days]]&gt;7,"Yes","No")</f>
        <v>Yes</v>
      </c>
    </row>
    <row r="2943" spans="1:13" x14ac:dyDescent="0.3">
      <c r="A2943" t="s">
        <v>3342</v>
      </c>
      <c r="B2943">
        <v>72</v>
      </c>
      <c r="C2943" t="s">
        <v>20</v>
      </c>
      <c r="D2943" t="s">
        <v>13</v>
      </c>
      <c r="E2943" t="s">
        <v>28</v>
      </c>
      <c r="F2943" t="s">
        <v>767</v>
      </c>
      <c r="G2943" t="s">
        <v>485</v>
      </c>
      <c r="H2943">
        <v>6</v>
      </c>
      <c r="I2943" s="1">
        <v>8617.27</v>
      </c>
      <c r="J2943" t="s">
        <v>17</v>
      </c>
      <c r="K2943" t="s">
        <v>18</v>
      </c>
      <c r="L2943" t="str" cm="1">
        <f t="array" ref="L2943">_xlfn.IFS(B2943&lt;30,"18-29",B2943&lt;45,"30-44",B2943&lt;60,"45-59",B2943&lt;75,"60-74",B2943&lt;=90,"75-90")</f>
        <v>60-74</v>
      </c>
      <c r="M2943" t="str">
        <f>IF(Table1[[#This Row],[length_of_stay_days]]&gt;7,"Yes","No")</f>
        <v>No</v>
      </c>
    </row>
    <row r="2944" spans="1:13" x14ac:dyDescent="0.3">
      <c r="A2944" t="s">
        <v>3343</v>
      </c>
      <c r="B2944">
        <v>72</v>
      </c>
      <c r="C2944" t="s">
        <v>12</v>
      </c>
      <c r="D2944" t="s">
        <v>28</v>
      </c>
      <c r="E2944" t="s">
        <v>14</v>
      </c>
      <c r="F2944" t="s">
        <v>23</v>
      </c>
      <c r="G2944" t="s">
        <v>92</v>
      </c>
      <c r="H2944">
        <v>3</v>
      </c>
      <c r="I2944" s="1">
        <v>5147.6400000000003</v>
      </c>
      <c r="J2944" t="s">
        <v>17</v>
      </c>
      <c r="K2944" t="s">
        <v>18</v>
      </c>
      <c r="L2944" t="str" cm="1">
        <f t="array" ref="L2944">_xlfn.IFS(B2944&lt;30,"18-29",B2944&lt;45,"30-44",B2944&lt;60,"45-59",B2944&lt;75,"60-74",B2944&lt;=90,"75-90")</f>
        <v>60-74</v>
      </c>
      <c r="M2944" t="str">
        <f>IF(Table1[[#This Row],[length_of_stay_days]]&gt;7,"Yes","No")</f>
        <v>No</v>
      </c>
    </row>
    <row r="2945" spans="1:13" x14ac:dyDescent="0.3">
      <c r="A2945" t="s">
        <v>3344</v>
      </c>
      <c r="B2945">
        <v>71</v>
      </c>
      <c r="C2945" t="s">
        <v>20</v>
      </c>
      <c r="D2945" t="s">
        <v>28</v>
      </c>
      <c r="E2945" t="s">
        <v>14</v>
      </c>
      <c r="F2945" t="s">
        <v>133</v>
      </c>
      <c r="G2945" t="s">
        <v>106</v>
      </c>
      <c r="H2945">
        <v>3</v>
      </c>
      <c r="I2945" s="1">
        <v>3563.69</v>
      </c>
      <c r="J2945" t="s">
        <v>17</v>
      </c>
      <c r="K2945" t="s">
        <v>44</v>
      </c>
      <c r="L2945" t="str" cm="1">
        <f t="array" ref="L2945">_xlfn.IFS(B2945&lt;30,"18-29",B2945&lt;45,"30-44",B2945&lt;60,"45-59",B2945&lt;75,"60-74",B2945&lt;=90,"75-90")</f>
        <v>60-74</v>
      </c>
      <c r="M2945" t="str">
        <f>IF(Table1[[#This Row],[length_of_stay_days]]&gt;7,"Yes","No")</f>
        <v>No</v>
      </c>
    </row>
    <row r="2946" spans="1:13" x14ac:dyDescent="0.3">
      <c r="A2946" t="s">
        <v>3345</v>
      </c>
      <c r="B2946">
        <v>29</v>
      </c>
      <c r="C2946" t="s">
        <v>20</v>
      </c>
      <c r="D2946" t="s">
        <v>55</v>
      </c>
      <c r="E2946" t="s">
        <v>14</v>
      </c>
      <c r="F2946" t="s">
        <v>93</v>
      </c>
      <c r="G2946" t="s">
        <v>831</v>
      </c>
      <c r="H2946">
        <v>4</v>
      </c>
      <c r="I2946" s="1">
        <v>10458.6</v>
      </c>
      <c r="J2946" t="s">
        <v>17</v>
      </c>
      <c r="K2946" t="s">
        <v>18</v>
      </c>
      <c r="L2946" t="str" cm="1">
        <f t="array" ref="L2946">_xlfn.IFS(B2946&lt;30,"18-29",B2946&lt;45,"30-44",B2946&lt;60,"45-59",B2946&lt;75,"60-74",B2946&lt;=90,"75-90")</f>
        <v>18-29</v>
      </c>
      <c r="M2946" t="str">
        <f>IF(Table1[[#This Row],[length_of_stay_days]]&gt;7,"Yes","No")</f>
        <v>No</v>
      </c>
    </row>
    <row r="2947" spans="1:13" x14ac:dyDescent="0.3">
      <c r="A2947" t="s">
        <v>3346</v>
      </c>
      <c r="B2947">
        <v>79</v>
      </c>
      <c r="C2947" t="s">
        <v>12</v>
      </c>
      <c r="D2947" t="s">
        <v>13</v>
      </c>
      <c r="E2947" t="s">
        <v>28</v>
      </c>
      <c r="F2947" t="s">
        <v>268</v>
      </c>
      <c r="G2947" t="s">
        <v>190</v>
      </c>
      <c r="H2947">
        <v>7</v>
      </c>
      <c r="I2947" s="1">
        <v>8247.64</v>
      </c>
      <c r="J2947" t="s">
        <v>17</v>
      </c>
      <c r="K2947" t="s">
        <v>44</v>
      </c>
      <c r="L2947" t="str" cm="1">
        <f t="array" ref="L2947">_xlfn.IFS(B2947&lt;30,"18-29",B2947&lt;45,"30-44",B2947&lt;60,"45-59",B2947&lt;75,"60-74",B2947&lt;=90,"75-90")</f>
        <v>75-90</v>
      </c>
      <c r="M2947" t="str">
        <f>IF(Table1[[#This Row],[length_of_stay_days]]&gt;7,"Yes","No")</f>
        <v>No</v>
      </c>
    </row>
    <row r="2948" spans="1:13" x14ac:dyDescent="0.3">
      <c r="A2948" t="s">
        <v>3347</v>
      </c>
      <c r="B2948">
        <v>37</v>
      </c>
      <c r="C2948" t="s">
        <v>12</v>
      </c>
      <c r="D2948" t="s">
        <v>28</v>
      </c>
      <c r="E2948" t="s">
        <v>28</v>
      </c>
      <c r="F2948" t="s">
        <v>609</v>
      </c>
      <c r="G2948" t="s">
        <v>246</v>
      </c>
      <c r="H2948">
        <v>3</v>
      </c>
      <c r="I2948" s="1">
        <v>5871.57</v>
      </c>
      <c r="J2948" t="s">
        <v>17</v>
      </c>
      <c r="K2948" t="s">
        <v>223</v>
      </c>
      <c r="L2948" t="str" cm="1">
        <f t="array" ref="L2948">_xlfn.IFS(B2948&lt;30,"18-29",B2948&lt;45,"30-44",B2948&lt;60,"45-59",B2948&lt;75,"60-74",B2948&lt;=90,"75-90")</f>
        <v>30-44</v>
      </c>
      <c r="M2948" t="str">
        <f>IF(Table1[[#This Row],[length_of_stay_days]]&gt;7,"Yes","No")</f>
        <v>No</v>
      </c>
    </row>
    <row r="2949" spans="1:13" x14ac:dyDescent="0.3">
      <c r="A2949" t="s">
        <v>3348</v>
      </c>
      <c r="B2949">
        <v>38</v>
      </c>
      <c r="C2949" t="s">
        <v>12</v>
      </c>
      <c r="D2949" t="s">
        <v>51</v>
      </c>
      <c r="E2949" t="s">
        <v>28</v>
      </c>
      <c r="F2949" t="s">
        <v>180</v>
      </c>
      <c r="G2949" t="s">
        <v>689</v>
      </c>
      <c r="H2949">
        <v>6</v>
      </c>
      <c r="I2949" s="1">
        <v>11834.81</v>
      </c>
      <c r="J2949" t="s">
        <v>17</v>
      </c>
      <c r="K2949" t="s">
        <v>18</v>
      </c>
      <c r="L2949" t="str" cm="1">
        <f t="array" ref="L2949">_xlfn.IFS(B2949&lt;30,"18-29",B2949&lt;45,"30-44",B2949&lt;60,"45-59",B2949&lt;75,"60-74",B2949&lt;=90,"75-90")</f>
        <v>30-44</v>
      </c>
      <c r="M2949" t="str">
        <f>IF(Table1[[#This Row],[length_of_stay_days]]&gt;7,"Yes","No")</f>
        <v>No</v>
      </c>
    </row>
    <row r="2950" spans="1:13" x14ac:dyDescent="0.3">
      <c r="A2950" t="s">
        <v>3349</v>
      </c>
      <c r="B2950">
        <v>21</v>
      </c>
      <c r="C2950" t="s">
        <v>12</v>
      </c>
      <c r="D2950" t="s">
        <v>28</v>
      </c>
      <c r="E2950" t="s">
        <v>28</v>
      </c>
      <c r="F2950" t="s">
        <v>730</v>
      </c>
      <c r="G2950" t="s">
        <v>337</v>
      </c>
      <c r="H2950">
        <v>5</v>
      </c>
      <c r="I2950" s="1">
        <v>4801.6899999999996</v>
      </c>
      <c r="J2950" t="s">
        <v>49</v>
      </c>
      <c r="K2950" t="s">
        <v>44</v>
      </c>
      <c r="L2950" t="str" cm="1">
        <f t="array" ref="L2950">_xlfn.IFS(B2950&lt;30,"18-29",B2950&lt;45,"30-44",B2950&lt;60,"45-59",B2950&lt;75,"60-74",B2950&lt;=90,"75-90")</f>
        <v>18-29</v>
      </c>
      <c r="M2950" t="str">
        <f>IF(Table1[[#This Row],[length_of_stay_days]]&gt;7,"Yes","No")</f>
        <v>No</v>
      </c>
    </row>
    <row r="2951" spans="1:13" x14ac:dyDescent="0.3">
      <c r="A2951" t="s">
        <v>3350</v>
      </c>
      <c r="B2951">
        <v>74</v>
      </c>
      <c r="C2951" t="s">
        <v>20</v>
      </c>
      <c r="D2951" t="s">
        <v>55</v>
      </c>
      <c r="E2951" t="s">
        <v>28</v>
      </c>
      <c r="F2951" t="s">
        <v>190</v>
      </c>
      <c r="G2951" t="s">
        <v>762</v>
      </c>
      <c r="H2951">
        <v>6</v>
      </c>
      <c r="I2951" s="1">
        <v>11620.22</v>
      </c>
      <c r="J2951" t="s">
        <v>17</v>
      </c>
      <c r="K2951" t="s">
        <v>18</v>
      </c>
      <c r="L2951" t="str" cm="1">
        <f t="array" ref="L2951">_xlfn.IFS(B2951&lt;30,"18-29",B2951&lt;45,"30-44",B2951&lt;60,"45-59",B2951&lt;75,"60-74",B2951&lt;=90,"75-90")</f>
        <v>60-74</v>
      </c>
      <c r="M2951" t="str">
        <f>IF(Table1[[#This Row],[length_of_stay_days]]&gt;7,"Yes","No")</f>
        <v>No</v>
      </c>
    </row>
    <row r="2952" spans="1:13" x14ac:dyDescent="0.3">
      <c r="A2952" t="s">
        <v>3351</v>
      </c>
      <c r="B2952">
        <v>43</v>
      </c>
      <c r="C2952" t="s">
        <v>20</v>
      </c>
      <c r="D2952" t="s">
        <v>55</v>
      </c>
      <c r="E2952" t="s">
        <v>28</v>
      </c>
      <c r="F2952" t="s">
        <v>549</v>
      </c>
      <c r="G2952" t="s">
        <v>118</v>
      </c>
      <c r="H2952">
        <v>6</v>
      </c>
      <c r="I2952" s="1">
        <v>7509.75</v>
      </c>
      <c r="J2952" t="s">
        <v>17</v>
      </c>
      <c r="K2952" t="s">
        <v>18</v>
      </c>
      <c r="L2952" t="str" cm="1">
        <f t="array" ref="L2952">_xlfn.IFS(B2952&lt;30,"18-29",B2952&lt;45,"30-44",B2952&lt;60,"45-59",B2952&lt;75,"60-74",B2952&lt;=90,"75-90")</f>
        <v>30-44</v>
      </c>
      <c r="M2952" t="str">
        <f>IF(Table1[[#This Row],[length_of_stay_days]]&gt;7,"Yes","No")</f>
        <v>No</v>
      </c>
    </row>
    <row r="2953" spans="1:13" x14ac:dyDescent="0.3">
      <c r="A2953" t="s">
        <v>3352</v>
      </c>
      <c r="B2953">
        <v>40</v>
      </c>
      <c r="C2953" t="s">
        <v>12</v>
      </c>
      <c r="D2953" t="s">
        <v>13</v>
      </c>
      <c r="E2953" t="s">
        <v>21</v>
      </c>
      <c r="F2953" t="s">
        <v>166</v>
      </c>
      <c r="G2953" t="s">
        <v>551</v>
      </c>
      <c r="H2953">
        <v>6</v>
      </c>
      <c r="I2953" s="1">
        <v>5236.2700000000004</v>
      </c>
      <c r="J2953" t="s">
        <v>17</v>
      </c>
      <c r="K2953" t="s">
        <v>18</v>
      </c>
      <c r="L2953" t="str" cm="1">
        <f t="array" ref="L2953">_xlfn.IFS(B2953&lt;30,"18-29",B2953&lt;45,"30-44",B2953&lt;60,"45-59",B2953&lt;75,"60-74",B2953&lt;=90,"75-90")</f>
        <v>30-44</v>
      </c>
      <c r="M2953" t="str">
        <f>IF(Table1[[#This Row],[length_of_stay_days]]&gt;7,"Yes","No")</f>
        <v>No</v>
      </c>
    </row>
    <row r="2954" spans="1:13" x14ac:dyDescent="0.3">
      <c r="A2954" t="s">
        <v>3353</v>
      </c>
      <c r="B2954">
        <v>60</v>
      </c>
      <c r="C2954" t="s">
        <v>20</v>
      </c>
      <c r="D2954" t="s">
        <v>13</v>
      </c>
      <c r="E2954" t="s">
        <v>21</v>
      </c>
      <c r="F2954" t="s">
        <v>382</v>
      </c>
      <c r="G2954" t="s">
        <v>839</v>
      </c>
      <c r="H2954">
        <v>13</v>
      </c>
      <c r="I2954" s="1">
        <v>11292.4</v>
      </c>
      <c r="J2954" t="s">
        <v>17</v>
      </c>
      <c r="K2954" t="s">
        <v>18</v>
      </c>
      <c r="L2954" t="str" cm="1">
        <f t="array" ref="L2954">_xlfn.IFS(B2954&lt;30,"18-29",B2954&lt;45,"30-44",B2954&lt;60,"45-59",B2954&lt;75,"60-74",B2954&lt;=90,"75-90")</f>
        <v>60-74</v>
      </c>
      <c r="M2954" t="str">
        <f>IF(Table1[[#This Row],[length_of_stay_days]]&gt;7,"Yes","No")</f>
        <v>Yes</v>
      </c>
    </row>
    <row r="2955" spans="1:13" x14ac:dyDescent="0.3">
      <c r="A2955" t="s">
        <v>3354</v>
      </c>
      <c r="B2955">
        <v>55</v>
      </c>
      <c r="C2955" t="s">
        <v>20</v>
      </c>
      <c r="D2955" t="s">
        <v>32</v>
      </c>
      <c r="E2955" t="s">
        <v>28</v>
      </c>
      <c r="F2955" t="s">
        <v>588</v>
      </c>
      <c r="G2955" t="s">
        <v>293</v>
      </c>
      <c r="H2955">
        <v>8</v>
      </c>
      <c r="I2955" s="1">
        <v>12961.57</v>
      </c>
      <c r="J2955" t="s">
        <v>17</v>
      </c>
      <c r="K2955" t="s">
        <v>18</v>
      </c>
      <c r="L2955" t="str" cm="1">
        <f t="array" ref="L2955">_xlfn.IFS(B2955&lt;30,"18-29",B2955&lt;45,"30-44",B2955&lt;60,"45-59",B2955&lt;75,"60-74",B2955&lt;=90,"75-90")</f>
        <v>45-59</v>
      </c>
      <c r="M2955" t="str">
        <f>IF(Table1[[#This Row],[length_of_stay_days]]&gt;7,"Yes","No")</f>
        <v>Yes</v>
      </c>
    </row>
    <row r="2956" spans="1:13" x14ac:dyDescent="0.3">
      <c r="A2956" t="s">
        <v>3355</v>
      </c>
      <c r="B2956">
        <v>27</v>
      </c>
      <c r="C2956" t="s">
        <v>12</v>
      </c>
      <c r="D2956" t="s">
        <v>55</v>
      </c>
      <c r="E2956" t="s">
        <v>14</v>
      </c>
      <c r="F2956" t="s">
        <v>186</v>
      </c>
      <c r="G2956" t="s">
        <v>25</v>
      </c>
      <c r="H2956">
        <v>4</v>
      </c>
      <c r="I2956" s="1">
        <v>9320.2999999999993</v>
      </c>
      <c r="J2956" t="s">
        <v>17</v>
      </c>
      <c r="K2956" t="s">
        <v>18</v>
      </c>
      <c r="L2956" t="str" cm="1">
        <f t="array" ref="L2956">_xlfn.IFS(B2956&lt;30,"18-29",B2956&lt;45,"30-44",B2956&lt;60,"45-59",B2956&lt;75,"60-74",B2956&lt;=90,"75-90")</f>
        <v>18-29</v>
      </c>
      <c r="M2956" t="str">
        <f>IF(Table1[[#This Row],[length_of_stay_days]]&gt;7,"Yes","No")</f>
        <v>No</v>
      </c>
    </row>
    <row r="2957" spans="1:13" x14ac:dyDescent="0.3">
      <c r="A2957" t="s">
        <v>3356</v>
      </c>
      <c r="B2957">
        <v>45</v>
      </c>
      <c r="C2957" t="s">
        <v>20</v>
      </c>
      <c r="D2957" t="s">
        <v>51</v>
      </c>
      <c r="E2957" t="s">
        <v>14</v>
      </c>
      <c r="F2957" t="s">
        <v>214</v>
      </c>
      <c r="G2957" t="s">
        <v>90</v>
      </c>
      <c r="H2957">
        <v>10</v>
      </c>
      <c r="I2957" s="1">
        <v>14710.39</v>
      </c>
      <c r="J2957" t="s">
        <v>49</v>
      </c>
      <c r="K2957" t="s">
        <v>44</v>
      </c>
      <c r="L2957" t="str" cm="1">
        <f t="array" ref="L2957">_xlfn.IFS(B2957&lt;30,"18-29",B2957&lt;45,"30-44",B2957&lt;60,"45-59",B2957&lt;75,"60-74",B2957&lt;=90,"75-90")</f>
        <v>45-59</v>
      </c>
      <c r="M2957" t="str">
        <f>IF(Table1[[#This Row],[length_of_stay_days]]&gt;7,"Yes","No")</f>
        <v>Yes</v>
      </c>
    </row>
    <row r="2958" spans="1:13" x14ac:dyDescent="0.3">
      <c r="A2958" t="s">
        <v>3357</v>
      </c>
      <c r="B2958">
        <v>22</v>
      </c>
      <c r="C2958" t="s">
        <v>20</v>
      </c>
      <c r="D2958" t="s">
        <v>32</v>
      </c>
      <c r="E2958" t="s">
        <v>21</v>
      </c>
      <c r="F2958" t="s">
        <v>629</v>
      </c>
      <c r="G2958" t="s">
        <v>344</v>
      </c>
      <c r="H2958">
        <v>5</v>
      </c>
      <c r="I2958" s="1">
        <v>9092.19</v>
      </c>
      <c r="J2958" t="s">
        <v>17</v>
      </c>
      <c r="K2958" t="s">
        <v>18</v>
      </c>
      <c r="L2958" t="str" cm="1">
        <f t="array" ref="L2958">_xlfn.IFS(B2958&lt;30,"18-29",B2958&lt;45,"30-44",B2958&lt;60,"45-59",B2958&lt;75,"60-74",B2958&lt;=90,"75-90")</f>
        <v>18-29</v>
      </c>
      <c r="M2958" t="str">
        <f>IF(Table1[[#This Row],[length_of_stay_days]]&gt;7,"Yes","No")</f>
        <v>No</v>
      </c>
    </row>
    <row r="2959" spans="1:13" x14ac:dyDescent="0.3">
      <c r="A2959" t="s">
        <v>3358</v>
      </c>
      <c r="B2959">
        <v>25</v>
      </c>
      <c r="C2959" t="s">
        <v>12</v>
      </c>
      <c r="D2959" t="s">
        <v>46</v>
      </c>
      <c r="E2959" t="s">
        <v>28</v>
      </c>
      <c r="F2959" t="s">
        <v>504</v>
      </c>
      <c r="G2959" t="s">
        <v>304</v>
      </c>
      <c r="H2959">
        <v>6</v>
      </c>
      <c r="I2959" s="1">
        <v>14381.92</v>
      </c>
      <c r="J2959" t="s">
        <v>17</v>
      </c>
      <c r="K2959" t="s">
        <v>18</v>
      </c>
      <c r="L2959" t="str" cm="1">
        <f t="array" ref="L2959">_xlfn.IFS(B2959&lt;30,"18-29",B2959&lt;45,"30-44",B2959&lt;60,"45-59",B2959&lt;75,"60-74",B2959&lt;=90,"75-90")</f>
        <v>18-29</v>
      </c>
      <c r="M2959" t="str">
        <f>IF(Table1[[#This Row],[length_of_stay_days]]&gt;7,"Yes","No")</f>
        <v>No</v>
      </c>
    </row>
    <row r="2960" spans="1:13" x14ac:dyDescent="0.3">
      <c r="A2960" t="s">
        <v>3359</v>
      </c>
      <c r="B2960">
        <v>33</v>
      </c>
      <c r="C2960" t="s">
        <v>20</v>
      </c>
      <c r="D2960" t="s">
        <v>28</v>
      </c>
      <c r="E2960" t="s">
        <v>21</v>
      </c>
      <c r="F2960" t="s">
        <v>352</v>
      </c>
      <c r="G2960" t="s">
        <v>208</v>
      </c>
      <c r="H2960">
        <v>1</v>
      </c>
      <c r="I2960" s="1">
        <v>3676.23</v>
      </c>
      <c r="J2960" t="s">
        <v>49</v>
      </c>
      <c r="K2960" t="s">
        <v>44</v>
      </c>
      <c r="L2960" t="str" cm="1">
        <f t="array" ref="L2960">_xlfn.IFS(B2960&lt;30,"18-29",B2960&lt;45,"30-44",B2960&lt;60,"45-59",B2960&lt;75,"60-74",B2960&lt;=90,"75-90")</f>
        <v>30-44</v>
      </c>
      <c r="M2960" t="str">
        <f>IF(Table1[[#This Row],[length_of_stay_days]]&gt;7,"Yes","No")</f>
        <v>No</v>
      </c>
    </row>
    <row r="2961" spans="1:13" x14ac:dyDescent="0.3">
      <c r="A2961" t="s">
        <v>3360</v>
      </c>
      <c r="B2961">
        <v>90</v>
      </c>
      <c r="C2961" t="s">
        <v>20</v>
      </c>
      <c r="D2961" t="s">
        <v>28</v>
      </c>
      <c r="E2961" t="s">
        <v>14</v>
      </c>
      <c r="F2961" t="s">
        <v>410</v>
      </c>
      <c r="G2961" t="s">
        <v>574</v>
      </c>
      <c r="H2961">
        <v>3</v>
      </c>
      <c r="I2961" s="1">
        <v>5784.38</v>
      </c>
      <c r="J2961" t="s">
        <v>17</v>
      </c>
      <c r="K2961" t="s">
        <v>18</v>
      </c>
      <c r="L2961" t="str" cm="1">
        <f t="array" ref="L2961">_xlfn.IFS(B2961&lt;30,"18-29",B2961&lt;45,"30-44",B2961&lt;60,"45-59",B2961&lt;75,"60-74",B2961&lt;=90,"75-90")</f>
        <v>75-90</v>
      </c>
      <c r="M2961" t="str">
        <f>IF(Table1[[#This Row],[length_of_stay_days]]&gt;7,"Yes","No")</f>
        <v>No</v>
      </c>
    </row>
    <row r="2962" spans="1:13" x14ac:dyDescent="0.3">
      <c r="A2962" t="s">
        <v>3361</v>
      </c>
      <c r="B2962">
        <v>70</v>
      </c>
      <c r="C2962" t="s">
        <v>12</v>
      </c>
      <c r="D2962" t="s">
        <v>55</v>
      </c>
      <c r="E2962" t="s">
        <v>28</v>
      </c>
      <c r="F2962" t="s">
        <v>62</v>
      </c>
      <c r="G2962" t="s">
        <v>43</v>
      </c>
      <c r="H2962">
        <v>5</v>
      </c>
      <c r="I2962" s="1">
        <v>11785.34</v>
      </c>
      <c r="J2962" t="s">
        <v>17</v>
      </c>
      <c r="K2962" t="s">
        <v>18</v>
      </c>
      <c r="L2962" t="str" cm="1">
        <f t="array" ref="L2962">_xlfn.IFS(B2962&lt;30,"18-29",B2962&lt;45,"30-44",B2962&lt;60,"45-59",B2962&lt;75,"60-74",B2962&lt;=90,"75-90")</f>
        <v>60-74</v>
      </c>
      <c r="M2962" t="str">
        <f>IF(Table1[[#This Row],[length_of_stay_days]]&gt;7,"Yes","No")</f>
        <v>No</v>
      </c>
    </row>
    <row r="2963" spans="1:13" x14ac:dyDescent="0.3">
      <c r="A2963" t="s">
        <v>3362</v>
      </c>
      <c r="B2963">
        <v>88</v>
      </c>
      <c r="C2963" t="s">
        <v>12</v>
      </c>
      <c r="D2963" t="s">
        <v>28</v>
      </c>
      <c r="E2963" t="s">
        <v>14</v>
      </c>
      <c r="F2963" t="s">
        <v>372</v>
      </c>
      <c r="G2963" t="s">
        <v>355</v>
      </c>
      <c r="H2963">
        <v>2</v>
      </c>
      <c r="I2963" s="1">
        <v>4765.1499999999996</v>
      </c>
      <c r="J2963" t="s">
        <v>49</v>
      </c>
      <c r="K2963" t="s">
        <v>18</v>
      </c>
      <c r="L2963" t="str" cm="1">
        <f t="array" ref="L2963">_xlfn.IFS(B2963&lt;30,"18-29",B2963&lt;45,"30-44",B2963&lt;60,"45-59",B2963&lt;75,"60-74",B2963&lt;=90,"75-90")</f>
        <v>75-90</v>
      </c>
      <c r="M2963" t="str">
        <f>IF(Table1[[#This Row],[length_of_stay_days]]&gt;7,"Yes","No")</f>
        <v>No</v>
      </c>
    </row>
    <row r="2964" spans="1:13" x14ac:dyDescent="0.3">
      <c r="A2964" t="s">
        <v>3363</v>
      </c>
      <c r="B2964">
        <v>76</v>
      </c>
      <c r="C2964" t="s">
        <v>12</v>
      </c>
      <c r="D2964" t="s">
        <v>46</v>
      </c>
      <c r="E2964" t="s">
        <v>21</v>
      </c>
      <c r="F2964" t="s">
        <v>366</v>
      </c>
      <c r="G2964" t="s">
        <v>791</v>
      </c>
      <c r="H2964">
        <v>9</v>
      </c>
      <c r="I2964" s="1">
        <v>14199.17</v>
      </c>
      <c r="J2964" t="s">
        <v>17</v>
      </c>
      <c r="K2964" t="s">
        <v>18</v>
      </c>
      <c r="L2964" t="str" cm="1">
        <f t="array" ref="L2964">_xlfn.IFS(B2964&lt;30,"18-29",B2964&lt;45,"30-44",B2964&lt;60,"45-59",B2964&lt;75,"60-74",B2964&lt;=90,"75-90")</f>
        <v>75-90</v>
      </c>
      <c r="M2964" t="str">
        <f>IF(Table1[[#This Row],[length_of_stay_days]]&gt;7,"Yes","No")</f>
        <v>Yes</v>
      </c>
    </row>
    <row r="2965" spans="1:13" x14ac:dyDescent="0.3">
      <c r="A2965" t="s">
        <v>3364</v>
      </c>
      <c r="B2965">
        <v>18</v>
      </c>
      <c r="C2965" t="s">
        <v>12</v>
      </c>
      <c r="D2965" t="s">
        <v>46</v>
      </c>
      <c r="E2965" t="s">
        <v>28</v>
      </c>
      <c r="F2965" t="s">
        <v>201</v>
      </c>
      <c r="G2965" t="s">
        <v>428</v>
      </c>
      <c r="H2965">
        <v>7</v>
      </c>
      <c r="I2965" s="1">
        <v>12534.24</v>
      </c>
      <c r="J2965" t="s">
        <v>17</v>
      </c>
      <c r="K2965" t="s">
        <v>18</v>
      </c>
      <c r="L2965" t="str" cm="1">
        <f t="array" ref="L2965">_xlfn.IFS(B2965&lt;30,"18-29",B2965&lt;45,"30-44",B2965&lt;60,"45-59",B2965&lt;75,"60-74",B2965&lt;=90,"75-90")</f>
        <v>18-29</v>
      </c>
      <c r="M2965" t="str">
        <f>IF(Table1[[#This Row],[length_of_stay_days]]&gt;7,"Yes","No")</f>
        <v>No</v>
      </c>
    </row>
    <row r="2966" spans="1:13" x14ac:dyDescent="0.3">
      <c r="A2966" t="s">
        <v>3365</v>
      </c>
      <c r="B2966">
        <v>45</v>
      </c>
      <c r="C2966" t="s">
        <v>20</v>
      </c>
      <c r="D2966" t="s">
        <v>46</v>
      </c>
      <c r="E2966" t="s">
        <v>28</v>
      </c>
      <c r="F2966" t="s">
        <v>179</v>
      </c>
      <c r="G2966" t="s">
        <v>966</v>
      </c>
      <c r="H2966">
        <v>8</v>
      </c>
      <c r="I2966" s="1">
        <v>13357.71</v>
      </c>
      <c r="J2966" t="s">
        <v>17</v>
      </c>
      <c r="K2966" t="s">
        <v>18</v>
      </c>
      <c r="L2966" t="str" cm="1">
        <f t="array" ref="L2966">_xlfn.IFS(B2966&lt;30,"18-29",B2966&lt;45,"30-44",B2966&lt;60,"45-59",B2966&lt;75,"60-74",B2966&lt;=90,"75-90")</f>
        <v>45-59</v>
      </c>
      <c r="M2966" t="str">
        <f>IF(Table1[[#This Row],[length_of_stay_days]]&gt;7,"Yes","No")</f>
        <v>Yes</v>
      </c>
    </row>
    <row r="2967" spans="1:13" x14ac:dyDescent="0.3">
      <c r="A2967" t="s">
        <v>3366</v>
      </c>
      <c r="B2967">
        <v>34</v>
      </c>
      <c r="C2967" t="s">
        <v>12</v>
      </c>
      <c r="D2967" t="s">
        <v>28</v>
      </c>
      <c r="E2967" t="s">
        <v>28</v>
      </c>
      <c r="F2967" t="s">
        <v>676</v>
      </c>
      <c r="G2967" t="s">
        <v>514</v>
      </c>
      <c r="H2967">
        <v>4</v>
      </c>
      <c r="I2967" s="1">
        <v>5814.96</v>
      </c>
      <c r="J2967" t="s">
        <v>17</v>
      </c>
      <c r="K2967" t="s">
        <v>18</v>
      </c>
      <c r="L2967" t="str" cm="1">
        <f t="array" ref="L2967">_xlfn.IFS(B2967&lt;30,"18-29",B2967&lt;45,"30-44",B2967&lt;60,"45-59",B2967&lt;75,"60-74",B2967&lt;=90,"75-90")</f>
        <v>30-44</v>
      </c>
      <c r="M2967" t="str">
        <f>IF(Table1[[#This Row],[length_of_stay_days]]&gt;7,"Yes","No")</f>
        <v>No</v>
      </c>
    </row>
    <row r="2968" spans="1:13" x14ac:dyDescent="0.3">
      <c r="A2968" t="s">
        <v>3367</v>
      </c>
      <c r="B2968">
        <v>24</v>
      </c>
      <c r="C2968" t="s">
        <v>12</v>
      </c>
      <c r="D2968" t="s">
        <v>28</v>
      </c>
      <c r="E2968" t="s">
        <v>28</v>
      </c>
      <c r="F2968" t="s">
        <v>361</v>
      </c>
      <c r="G2968" t="s">
        <v>730</v>
      </c>
      <c r="H2968">
        <v>5</v>
      </c>
      <c r="I2968" s="1">
        <v>6601.5</v>
      </c>
      <c r="J2968" t="s">
        <v>17</v>
      </c>
      <c r="K2968" t="s">
        <v>18</v>
      </c>
      <c r="L2968" t="str" cm="1">
        <f t="array" ref="L2968">_xlfn.IFS(B2968&lt;30,"18-29",B2968&lt;45,"30-44",B2968&lt;60,"45-59",B2968&lt;75,"60-74",B2968&lt;=90,"75-90")</f>
        <v>18-29</v>
      </c>
      <c r="M2968" t="str">
        <f>IF(Table1[[#This Row],[length_of_stay_days]]&gt;7,"Yes","No")</f>
        <v>No</v>
      </c>
    </row>
    <row r="2969" spans="1:13" x14ac:dyDescent="0.3">
      <c r="A2969" t="s">
        <v>3368</v>
      </c>
      <c r="B2969">
        <v>57</v>
      </c>
      <c r="C2969" t="s">
        <v>12</v>
      </c>
      <c r="D2969" t="s">
        <v>55</v>
      </c>
      <c r="E2969" t="s">
        <v>21</v>
      </c>
      <c r="F2969" t="s">
        <v>410</v>
      </c>
      <c r="G2969" t="s">
        <v>646</v>
      </c>
      <c r="H2969">
        <v>4</v>
      </c>
      <c r="I2969" s="1">
        <v>8650.16</v>
      </c>
      <c r="J2969" t="s">
        <v>17</v>
      </c>
      <c r="K2969" t="s">
        <v>18</v>
      </c>
      <c r="L2969" t="str" cm="1">
        <f t="array" ref="L2969">_xlfn.IFS(B2969&lt;30,"18-29",B2969&lt;45,"30-44",B2969&lt;60,"45-59",B2969&lt;75,"60-74",B2969&lt;=90,"75-90")</f>
        <v>45-59</v>
      </c>
      <c r="M2969" t="str">
        <f>IF(Table1[[#This Row],[length_of_stay_days]]&gt;7,"Yes","No")</f>
        <v>No</v>
      </c>
    </row>
    <row r="2970" spans="1:13" x14ac:dyDescent="0.3">
      <c r="A2970" t="s">
        <v>3369</v>
      </c>
      <c r="B2970">
        <v>21</v>
      </c>
      <c r="C2970" t="s">
        <v>20</v>
      </c>
      <c r="D2970" t="s">
        <v>55</v>
      </c>
      <c r="E2970" t="s">
        <v>28</v>
      </c>
      <c r="F2970" t="s">
        <v>1229</v>
      </c>
      <c r="G2970" t="s">
        <v>549</v>
      </c>
      <c r="H2970">
        <v>8</v>
      </c>
      <c r="I2970" s="1">
        <v>14087.17</v>
      </c>
      <c r="J2970" t="s">
        <v>17</v>
      </c>
      <c r="K2970" t="s">
        <v>18</v>
      </c>
      <c r="L2970" t="str" cm="1">
        <f t="array" ref="L2970">_xlfn.IFS(B2970&lt;30,"18-29",B2970&lt;45,"30-44",B2970&lt;60,"45-59",B2970&lt;75,"60-74",B2970&lt;=90,"75-90")</f>
        <v>18-29</v>
      </c>
      <c r="M2970" t="str">
        <f>IF(Table1[[#This Row],[length_of_stay_days]]&gt;7,"Yes","No")</f>
        <v>Yes</v>
      </c>
    </row>
    <row r="2971" spans="1:13" x14ac:dyDescent="0.3">
      <c r="A2971" t="s">
        <v>3370</v>
      </c>
      <c r="B2971">
        <v>69</v>
      </c>
      <c r="C2971" t="s">
        <v>12</v>
      </c>
      <c r="D2971" t="s">
        <v>28</v>
      </c>
      <c r="E2971" t="s">
        <v>28</v>
      </c>
      <c r="F2971" t="s">
        <v>371</v>
      </c>
      <c r="G2971" t="s">
        <v>372</v>
      </c>
      <c r="H2971">
        <v>5</v>
      </c>
      <c r="I2971" s="1">
        <v>5883.81</v>
      </c>
      <c r="J2971" t="s">
        <v>17</v>
      </c>
      <c r="K2971" t="s">
        <v>18</v>
      </c>
      <c r="L2971" t="str" cm="1">
        <f t="array" ref="L2971">_xlfn.IFS(B2971&lt;30,"18-29",B2971&lt;45,"30-44",B2971&lt;60,"45-59",B2971&lt;75,"60-74",B2971&lt;=90,"75-90")</f>
        <v>60-74</v>
      </c>
      <c r="M2971" t="str">
        <f>IF(Table1[[#This Row],[length_of_stay_days]]&gt;7,"Yes","No")</f>
        <v>No</v>
      </c>
    </row>
    <row r="2972" spans="1:13" x14ac:dyDescent="0.3">
      <c r="A2972" t="s">
        <v>3371</v>
      </c>
      <c r="B2972">
        <v>73</v>
      </c>
      <c r="C2972" t="s">
        <v>20</v>
      </c>
      <c r="D2972" t="s">
        <v>51</v>
      </c>
      <c r="E2972" t="s">
        <v>14</v>
      </c>
      <c r="F2972" t="s">
        <v>489</v>
      </c>
      <c r="G2972" t="s">
        <v>67</v>
      </c>
      <c r="H2972">
        <v>7</v>
      </c>
      <c r="I2972" s="1">
        <v>11643.83</v>
      </c>
      <c r="J2972" t="s">
        <v>17</v>
      </c>
      <c r="K2972" t="s">
        <v>44</v>
      </c>
      <c r="L2972" t="str" cm="1">
        <f t="array" ref="L2972">_xlfn.IFS(B2972&lt;30,"18-29",B2972&lt;45,"30-44",B2972&lt;60,"45-59",B2972&lt;75,"60-74",B2972&lt;=90,"75-90")</f>
        <v>60-74</v>
      </c>
      <c r="M2972" t="str">
        <f>IF(Table1[[#This Row],[length_of_stay_days]]&gt;7,"Yes","No")</f>
        <v>No</v>
      </c>
    </row>
    <row r="2973" spans="1:13" x14ac:dyDescent="0.3">
      <c r="A2973" t="s">
        <v>3372</v>
      </c>
      <c r="B2973">
        <v>70</v>
      </c>
      <c r="C2973" t="s">
        <v>20</v>
      </c>
      <c r="D2973" t="s">
        <v>13</v>
      </c>
      <c r="E2973" t="s">
        <v>14</v>
      </c>
      <c r="F2973" t="s">
        <v>78</v>
      </c>
      <c r="G2973" t="s">
        <v>148</v>
      </c>
      <c r="H2973">
        <v>5</v>
      </c>
      <c r="I2973" s="1">
        <v>7837.63</v>
      </c>
      <c r="J2973" t="s">
        <v>17</v>
      </c>
      <c r="K2973" t="s">
        <v>18</v>
      </c>
      <c r="L2973" t="str" cm="1">
        <f t="array" ref="L2973">_xlfn.IFS(B2973&lt;30,"18-29",B2973&lt;45,"30-44",B2973&lt;60,"45-59",B2973&lt;75,"60-74",B2973&lt;=90,"75-90")</f>
        <v>60-74</v>
      </c>
      <c r="M2973" t="str">
        <f>IF(Table1[[#This Row],[length_of_stay_days]]&gt;7,"Yes","No")</f>
        <v>No</v>
      </c>
    </row>
    <row r="2974" spans="1:13" x14ac:dyDescent="0.3">
      <c r="A2974" t="s">
        <v>3373</v>
      </c>
      <c r="B2974">
        <v>56</v>
      </c>
      <c r="C2974" t="s">
        <v>12</v>
      </c>
      <c r="D2974" t="s">
        <v>51</v>
      </c>
      <c r="E2974" t="s">
        <v>28</v>
      </c>
      <c r="F2974" t="s">
        <v>39</v>
      </c>
      <c r="G2974" t="s">
        <v>225</v>
      </c>
      <c r="H2974">
        <v>11</v>
      </c>
      <c r="I2974" s="1">
        <v>13846.3</v>
      </c>
      <c r="J2974" t="s">
        <v>17</v>
      </c>
      <c r="K2974" t="s">
        <v>18</v>
      </c>
      <c r="L2974" t="str" cm="1">
        <f t="array" ref="L2974">_xlfn.IFS(B2974&lt;30,"18-29",B2974&lt;45,"30-44",B2974&lt;60,"45-59",B2974&lt;75,"60-74",B2974&lt;=90,"75-90")</f>
        <v>45-59</v>
      </c>
      <c r="M2974" t="str">
        <f>IF(Table1[[#This Row],[length_of_stay_days]]&gt;7,"Yes","No")</f>
        <v>Yes</v>
      </c>
    </row>
    <row r="2975" spans="1:13" x14ac:dyDescent="0.3">
      <c r="A2975" t="s">
        <v>3374</v>
      </c>
      <c r="B2975">
        <v>51</v>
      </c>
      <c r="C2975" t="s">
        <v>12</v>
      </c>
      <c r="D2975" t="s">
        <v>46</v>
      </c>
      <c r="E2975" t="s">
        <v>28</v>
      </c>
      <c r="F2975" t="s">
        <v>198</v>
      </c>
      <c r="G2975" t="s">
        <v>555</v>
      </c>
      <c r="H2975">
        <v>6</v>
      </c>
      <c r="I2975" s="1">
        <v>12145.44</v>
      </c>
      <c r="J2975" t="s">
        <v>49</v>
      </c>
      <c r="K2975" t="s">
        <v>18</v>
      </c>
      <c r="L2975" t="str" cm="1">
        <f t="array" ref="L2975">_xlfn.IFS(B2975&lt;30,"18-29",B2975&lt;45,"30-44",B2975&lt;60,"45-59",B2975&lt;75,"60-74",B2975&lt;=90,"75-90")</f>
        <v>45-59</v>
      </c>
      <c r="M2975" t="str">
        <f>IF(Table1[[#This Row],[length_of_stay_days]]&gt;7,"Yes","No")</f>
        <v>No</v>
      </c>
    </row>
    <row r="2976" spans="1:13" x14ac:dyDescent="0.3">
      <c r="A2976" t="s">
        <v>3375</v>
      </c>
      <c r="B2976">
        <v>33</v>
      </c>
      <c r="C2976" t="s">
        <v>20</v>
      </c>
      <c r="D2976" t="s">
        <v>51</v>
      </c>
      <c r="E2976" t="s">
        <v>28</v>
      </c>
      <c r="F2976" t="s">
        <v>1648</v>
      </c>
      <c r="G2976" t="s">
        <v>192</v>
      </c>
      <c r="H2976">
        <v>7</v>
      </c>
      <c r="I2976" s="1">
        <v>14238.65</v>
      </c>
      <c r="J2976" t="s">
        <v>17</v>
      </c>
      <c r="K2976" t="s">
        <v>223</v>
      </c>
      <c r="L2976" t="str" cm="1">
        <f t="array" ref="L2976">_xlfn.IFS(B2976&lt;30,"18-29",B2976&lt;45,"30-44",B2976&lt;60,"45-59",B2976&lt;75,"60-74",B2976&lt;=90,"75-90")</f>
        <v>30-44</v>
      </c>
      <c r="M2976" t="str">
        <f>IF(Table1[[#This Row],[length_of_stay_days]]&gt;7,"Yes","No")</f>
        <v>No</v>
      </c>
    </row>
    <row r="2977" spans="1:13" x14ac:dyDescent="0.3">
      <c r="A2977" t="s">
        <v>3376</v>
      </c>
      <c r="B2977">
        <v>42</v>
      </c>
      <c r="C2977" t="s">
        <v>12</v>
      </c>
      <c r="D2977" t="s">
        <v>28</v>
      </c>
      <c r="E2977" t="s">
        <v>28</v>
      </c>
      <c r="F2977" t="s">
        <v>1595</v>
      </c>
      <c r="G2977" t="s">
        <v>29</v>
      </c>
      <c r="H2977">
        <v>1</v>
      </c>
      <c r="I2977" s="1">
        <v>937.3</v>
      </c>
      <c r="J2977" t="s">
        <v>17</v>
      </c>
      <c r="K2977" t="s">
        <v>18</v>
      </c>
      <c r="L2977" t="str" cm="1">
        <f t="array" ref="L2977">_xlfn.IFS(B2977&lt;30,"18-29",B2977&lt;45,"30-44",B2977&lt;60,"45-59",B2977&lt;75,"60-74",B2977&lt;=90,"75-90")</f>
        <v>30-44</v>
      </c>
      <c r="M2977" t="str">
        <f>IF(Table1[[#This Row],[length_of_stay_days]]&gt;7,"Yes","No")</f>
        <v>No</v>
      </c>
    </row>
    <row r="2978" spans="1:13" x14ac:dyDescent="0.3">
      <c r="A2978" t="s">
        <v>3377</v>
      </c>
      <c r="B2978">
        <v>69</v>
      </c>
      <c r="C2978" t="s">
        <v>20</v>
      </c>
      <c r="D2978" t="s">
        <v>32</v>
      </c>
      <c r="E2978" t="s">
        <v>28</v>
      </c>
      <c r="F2978" t="s">
        <v>166</v>
      </c>
      <c r="G2978" t="s">
        <v>3378</v>
      </c>
      <c r="H2978">
        <v>12</v>
      </c>
      <c r="I2978" s="1">
        <v>13506.46</v>
      </c>
      <c r="J2978" t="s">
        <v>49</v>
      </c>
      <c r="K2978" t="s">
        <v>18</v>
      </c>
      <c r="L2978" t="str" cm="1">
        <f t="array" ref="L2978">_xlfn.IFS(B2978&lt;30,"18-29",B2978&lt;45,"30-44",B2978&lt;60,"45-59",B2978&lt;75,"60-74",B2978&lt;=90,"75-90")</f>
        <v>60-74</v>
      </c>
      <c r="M2978" t="str">
        <f>IF(Table1[[#This Row],[length_of_stay_days]]&gt;7,"Yes","No")</f>
        <v>Yes</v>
      </c>
    </row>
    <row r="2979" spans="1:13" x14ac:dyDescent="0.3">
      <c r="A2979" t="s">
        <v>3379</v>
      </c>
      <c r="B2979">
        <v>55</v>
      </c>
      <c r="C2979" t="s">
        <v>12</v>
      </c>
      <c r="D2979" t="s">
        <v>28</v>
      </c>
      <c r="E2979" t="s">
        <v>21</v>
      </c>
      <c r="F2979" t="s">
        <v>280</v>
      </c>
      <c r="G2979" t="s">
        <v>335</v>
      </c>
      <c r="H2979">
        <v>3</v>
      </c>
      <c r="I2979" s="1">
        <v>4164.05</v>
      </c>
      <c r="J2979" t="s">
        <v>17</v>
      </c>
      <c r="K2979" t="s">
        <v>18</v>
      </c>
      <c r="L2979" t="str" cm="1">
        <f t="array" ref="L2979">_xlfn.IFS(B2979&lt;30,"18-29",B2979&lt;45,"30-44",B2979&lt;60,"45-59",B2979&lt;75,"60-74",B2979&lt;=90,"75-90")</f>
        <v>45-59</v>
      </c>
      <c r="M2979" t="str">
        <f>IF(Table1[[#This Row],[length_of_stay_days]]&gt;7,"Yes","No")</f>
        <v>No</v>
      </c>
    </row>
    <row r="2980" spans="1:13" x14ac:dyDescent="0.3">
      <c r="A2980" t="s">
        <v>3380</v>
      </c>
      <c r="B2980">
        <v>77</v>
      </c>
      <c r="C2980" t="s">
        <v>12</v>
      </c>
      <c r="D2980" t="s">
        <v>13</v>
      </c>
      <c r="E2980" t="s">
        <v>28</v>
      </c>
      <c r="F2980" t="s">
        <v>111</v>
      </c>
      <c r="G2980" t="s">
        <v>261</v>
      </c>
      <c r="H2980">
        <v>5</v>
      </c>
      <c r="I2980" s="1">
        <v>5327.43</v>
      </c>
      <c r="J2980" t="s">
        <v>17</v>
      </c>
      <c r="K2980" t="s">
        <v>18</v>
      </c>
      <c r="L2980" t="str" cm="1">
        <f t="array" ref="L2980">_xlfn.IFS(B2980&lt;30,"18-29",B2980&lt;45,"30-44",B2980&lt;60,"45-59",B2980&lt;75,"60-74",B2980&lt;=90,"75-90")</f>
        <v>75-90</v>
      </c>
      <c r="M2980" t="str">
        <f>IF(Table1[[#This Row],[length_of_stay_days]]&gt;7,"Yes","No")</f>
        <v>No</v>
      </c>
    </row>
    <row r="2981" spans="1:13" x14ac:dyDescent="0.3">
      <c r="A2981" t="s">
        <v>3381</v>
      </c>
      <c r="B2981">
        <v>76</v>
      </c>
      <c r="C2981" t="s">
        <v>12</v>
      </c>
      <c r="D2981" t="s">
        <v>55</v>
      </c>
      <c r="E2981" t="s">
        <v>28</v>
      </c>
      <c r="F2981" t="s">
        <v>212</v>
      </c>
      <c r="G2981" t="s">
        <v>644</v>
      </c>
      <c r="H2981">
        <v>3</v>
      </c>
      <c r="I2981" s="1">
        <v>8299.33</v>
      </c>
      <c r="J2981" t="s">
        <v>17</v>
      </c>
      <c r="K2981" t="s">
        <v>18</v>
      </c>
      <c r="L2981" t="str" cm="1">
        <f t="array" ref="L2981">_xlfn.IFS(B2981&lt;30,"18-29",B2981&lt;45,"30-44",B2981&lt;60,"45-59",B2981&lt;75,"60-74",B2981&lt;=90,"75-90")</f>
        <v>75-90</v>
      </c>
      <c r="M2981" t="str">
        <f>IF(Table1[[#This Row],[length_of_stay_days]]&gt;7,"Yes","No")</f>
        <v>No</v>
      </c>
    </row>
    <row r="2982" spans="1:13" x14ac:dyDescent="0.3">
      <c r="A2982" t="s">
        <v>3382</v>
      </c>
      <c r="B2982">
        <v>29</v>
      </c>
      <c r="C2982" t="s">
        <v>12</v>
      </c>
      <c r="D2982" t="s">
        <v>32</v>
      </c>
      <c r="E2982" t="s">
        <v>28</v>
      </c>
      <c r="F2982" t="s">
        <v>436</v>
      </c>
      <c r="G2982" t="s">
        <v>311</v>
      </c>
      <c r="H2982">
        <v>5</v>
      </c>
      <c r="I2982" s="1">
        <v>8302.19</v>
      </c>
      <c r="J2982" t="s">
        <v>17</v>
      </c>
      <c r="K2982" t="s">
        <v>18</v>
      </c>
      <c r="L2982" t="str" cm="1">
        <f t="array" ref="L2982">_xlfn.IFS(B2982&lt;30,"18-29",B2982&lt;45,"30-44",B2982&lt;60,"45-59",B2982&lt;75,"60-74",B2982&lt;=90,"75-90")</f>
        <v>18-29</v>
      </c>
      <c r="M2982" t="str">
        <f>IF(Table1[[#This Row],[length_of_stay_days]]&gt;7,"Yes","No")</f>
        <v>No</v>
      </c>
    </row>
    <row r="2983" spans="1:13" x14ac:dyDescent="0.3">
      <c r="A2983" t="s">
        <v>3383</v>
      </c>
      <c r="B2983">
        <v>23</v>
      </c>
      <c r="C2983" t="s">
        <v>12</v>
      </c>
      <c r="D2983" t="s">
        <v>55</v>
      </c>
      <c r="E2983" t="s">
        <v>14</v>
      </c>
      <c r="F2983" t="s">
        <v>166</v>
      </c>
      <c r="G2983" t="s">
        <v>757</v>
      </c>
      <c r="H2983">
        <v>8</v>
      </c>
      <c r="I2983" s="1">
        <v>11221.91</v>
      </c>
      <c r="J2983" t="s">
        <v>17</v>
      </c>
      <c r="K2983" t="s">
        <v>44</v>
      </c>
      <c r="L2983" t="str" cm="1">
        <f t="array" ref="L2983">_xlfn.IFS(B2983&lt;30,"18-29",B2983&lt;45,"30-44",B2983&lt;60,"45-59",B2983&lt;75,"60-74",B2983&lt;=90,"75-90")</f>
        <v>18-29</v>
      </c>
      <c r="M2983" t="str">
        <f>IF(Table1[[#This Row],[length_of_stay_days]]&gt;7,"Yes","No")</f>
        <v>Yes</v>
      </c>
    </row>
    <row r="2984" spans="1:13" x14ac:dyDescent="0.3">
      <c r="A2984" t="s">
        <v>3384</v>
      </c>
      <c r="B2984">
        <v>51</v>
      </c>
      <c r="C2984" t="s">
        <v>20</v>
      </c>
      <c r="D2984" t="s">
        <v>51</v>
      </c>
      <c r="E2984" t="s">
        <v>14</v>
      </c>
      <c r="F2984" t="s">
        <v>256</v>
      </c>
      <c r="G2984" t="s">
        <v>39</v>
      </c>
      <c r="H2984">
        <v>8</v>
      </c>
      <c r="I2984" s="1">
        <v>13194.62</v>
      </c>
      <c r="J2984" t="s">
        <v>17</v>
      </c>
      <c r="K2984" t="s">
        <v>44</v>
      </c>
      <c r="L2984" t="str" cm="1">
        <f t="array" ref="L2984">_xlfn.IFS(B2984&lt;30,"18-29",B2984&lt;45,"30-44",B2984&lt;60,"45-59",B2984&lt;75,"60-74",B2984&lt;=90,"75-90")</f>
        <v>45-59</v>
      </c>
      <c r="M2984" t="str">
        <f>IF(Table1[[#This Row],[length_of_stay_days]]&gt;7,"Yes","No")</f>
        <v>Yes</v>
      </c>
    </row>
    <row r="2985" spans="1:13" x14ac:dyDescent="0.3">
      <c r="A2985" t="s">
        <v>3385</v>
      </c>
      <c r="B2985">
        <v>88</v>
      </c>
      <c r="C2985" t="s">
        <v>70</v>
      </c>
      <c r="D2985" t="s">
        <v>28</v>
      </c>
      <c r="E2985" t="s">
        <v>28</v>
      </c>
      <c r="F2985" t="s">
        <v>135</v>
      </c>
      <c r="G2985" t="s">
        <v>299</v>
      </c>
      <c r="H2985">
        <v>5</v>
      </c>
      <c r="I2985" s="1">
        <v>5979.29</v>
      </c>
      <c r="J2985" t="s">
        <v>17</v>
      </c>
      <c r="K2985" t="s">
        <v>18</v>
      </c>
      <c r="L2985" t="str" cm="1">
        <f t="array" ref="L2985">_xlfn.IFS(B2985&lt;30,"18-29",B2985&lt;45,"30-44",B2985&lt;60,"45-59",B2985&lt;75,"60-74",B2985&lt;=90,"75-90")</f>
        <v>75-90</v>
      </c>
      <c r="M2985" t="str">
        <f>IF(Table1[[#This Row],[length_of_stay_days]]&gt;7,"Yes","No")</f>
        <v>No</v>
      </c>
    </row>
    <row r="2986" spans="1:13" x14ac:dyDescent="0.3">
      <c r="A2986" t="s">
        <v>3386</v>
      </c>
      <c r="B2986">
        <v>35</v>
      </c>
      <c r="C2986" t="s">
        <v>20</v>
      </c>
      <c r="D2986" t="s">
        <v>32</v>
      </c>
      <c r="E2986" t="s">
        <v>21</v>
      </c>
      <c r="F2986" t="s">
        <v>285</v>
      </c>
      <c r="G2986" t="s">
        <v>229</v>
      </c>
      <c r="H2986">
        <v>5</v>
      </c>
      <c r="I2986" s="1">
        <v>9785.75</v>
      </c>
      <c r="J2986" t="s">
        <v>17</v>
      </c>
      <c r="K2986" t="s">
        <v>18</v>
      </c>
      <c r="L2986" t="str" cm="1">
        <f t="array" ref="L2986">_xlfn.IFS(B2986&lt;30,"18-29",B2986&lt;45,"30-44",B2986&lt;60,"45-59",B2986&lt;75,"60-74",B2986&lt;=90,"75-90")</f>
        <v>30-44</v>
      </c>
      <c r="M2986" t="str">
        <f>IF(Table1[[#This Row],[length_of_stay_days]]&gt;7,"Yes","No")</f>
        <v>No</v>
      </c>
    </row>
    <row r="2987" spans="1:13" x14ac:dyDescent="0.3">
      <c r="A2987" t="s">
        <v>3387</v>
      </c>
      <c r="B2987">
        <v>72</v>
      </c>
      <c r="C2987" t="s">
        <v>20</v>
      </c>
      <c r="D2987" t="s">
        <v>46</v>
      </c>
      <c r="E2987" t="s">
        <v>28</v>
      </c>
      <c r="F2987" t="s">
        <v>547</v>
      </c>
      <c r="G2987" t="s">
        <v>72</v>
      </c>
      <c r="H2987">
        <v>6</v>
      </c>
      <c r="I2987" s="1">
        <v>14961.63</v>
      </c>
      <c r="J2987" t="s">
        <v>17</v>
      </c>
      <c r="K2987" t="s">
        <v>18</v>
      </c>
      <c r="L2987" t="str" cm="1">
        <f t="array" ref="L2987">_xlfn.IFS(B2987&lt;30,"18-29",B2987&lt;45,"30-44",B2987&lt;60,"45-59",B2987&lt;75,"60-74",B2987&lt;=90,"75-90")</f>
        <v>60-74</v>
      </c>
      <c r="M2987" t="str">
        <f>IF(Table1[[#This Row],[length_of_stay_days]]&gt;7,"Yes","No")</f>
        <v>No</v>
      </c>
    </row>
    <row r="2988" spans="1:13" x14ac:dyDescent="0.3">
      <c r="A2988" t="s">
        <v>3388</v>
      </c>
      <c r="B2988">
        <v>18</v>
      </c>
      <c r="C2988" t="s">
        <v>20</v>
      </c>
      <c r="D2988" t="s">
        <v>51</v>
      </c>
      <c r="E2988" t="s">
        <v>28</v>
      </c>
      <c r="F2988" t="s">
        <v>288</v>
      </c>
      <c r="G2988" t="s">
        <v>126</v>
      </c>
      <c r="H2988">
        <v>4</v>
      </c>
      <c r="I2988" s="1">
        <v>10152.64</v>
      </c>
      <c r="J2988" t="s">
        <v>49</v>
      </c>
      <c r="K2988" t="s">
        <v>18</v>
      </c>
      <c r="L2988" t="str" cm="1">
        <f t="array" ref="L2988">_xlfn.IFS(B2988&lt;30,"18-29",B2988&lt;45,"30-44",B2988&lt;60,"45-59",B2988&lt;75,"60-74",B2988&lt;=90,"75-90")</f>
        <v>18-29</v>
      </c>
      <c r="M2988" t="str">
        <f>IF(Table1[[#This Row],[length_of_stay_days]]&gt;7,"Yes","No")</f>
        <v>No</v>
      </c>
    </row>
    <row r="2989" spans="1:13" x14ac:dyDescent="0.3">
      <c r="A2989" t="s">
        <v>3389</v>
      </c>
      <c r="B2989">
        <v>25</v>
      </c>
      <c r="C2989" t="s">
        <v>12</v>
      </c>
      <c r="D2989" t="s">
        <v>32</v>
      </c>
      <c r="E2989" t="s">
        <v>21</v>
      </c>
      <c r="F2989" t="s">
        <v>646</v>
      </c>
      <c r="G2989" t="s">
        <v>481</v>
      </c>
      <c r="H2989">
        <v>6</v>
      </c>
      <c r="I2989" s="1">
        <v>12600.04</v>
      </c>
      <c r="J2989" t="s">
        <v>17</v>
      </c>
      <c r="K2989" t="s">
        <v>18</v>
      </c>
      <c r="L2989" t="str" cm="1">
        <f t="array" ref="L2989">_xlfn.IFS(B2989&lt;30,"18-29",B2989&lt;45,"30-44",B2989&lt;60,"45-59",B2989&lt;75,"60-74",B2989&lt;=90,"75-90")</f>
        <v>18-29</v>
      </c>
      <c r="M2989" t="str">
        <f>IF(Table1[[#This Row],[length_of_stay_days]]&gt;7,"Yes","No")</f>
        <v>No</v>
      </c>
    </row>
    <row r="2990" spans="1:13" x14ac:dyDescent="0.3">
      <c r="A2990" t="s">
        <v>3390</v>
      </c>
      <c r="B2990">
        <v>25</v>
      </c>
      <c r="C2990" t="s">
        <v>20</v>
      </c>
      <c r="D2990" t="s">
        <v>13</v>
      </c>
      <c r="E2990" t="s">
        <v>21</v>
      </c>
      <c r="F2990" t="s">
        <v>33</v>
      </c>
      <c r="G2990" t="s">
        <v>855</v>
      </c>
      <c r="H2990">
        <v>3</v>
      </c>
      <c r="I2990" s="1">
        <v>5759.13</v>
      </c>
      <c r="J2990" t="s">
        <v>17</v>
      </c>
      <c r="K2990" t="s">
        <v>18</v>
      </c>
      <c r="L2990" t="str" cm="1">
        <f t="array" ref="L2990">_xlfn.IFS(B2990&lt;30,"18-29",B2990&lt;45,"30-44",B2990&lt;60,"45-59",B2990&lt;75,"60-74",B2990&lt;=90,"75-90")</f>
        <v>18-29</v>
      </c>
      <c r="M2990" t="str">
        <f>IF(Table1[[#This Row],[length_of_stay_days]]&gt;7,"Yes","No")</f>
        <v>No</v>
      </c>
    </row>
    <row r="2991" spans="1:13" x14ac:dyDescent="0.3">
      <c r="A2991" t="s">
        <v>3391</v>
      </c>
      <c r="B2991">
        <v>28</v>
      </c>
      <c r="C2991" t="s">
        <v>20</v>
      </c>
      <c r="D2991" t="s">
        <v>55</v>
      </c>
      <c r="E2991" t="s">
        <v>21</v>
      </c>
      <c r="F2991" t="s">
        <v>767</v>
      </c>
      <c r="G2991" t="s">
        <v>846</v>
      </c>
      <c r="H2991">
        <v>4</v>
      </c>
      <c r="I2991" s="1">
        <v>9071.14</v>
      </c>
      <c r="J2991" t="s">
        <v>17</v>
      </c>
      <c r="K2991" t="s">
        <v>18</v>
      </c>
      <c r="L2991" t="str" cm="1">
        <f t="array" ref="L2991">_xlfn.IFS(B2991&lt;30,"18-29",B2991&lt;45,"30-44",B2991&lt;60,"45-59",B2991&lt;75,"60-74",B2991&lt;=90,"75-90")</f>
        <v>18-29</v>
      </c>
      <c r="M2991" t="str">
        <f>IF(Table1[[#This Row],[length_of_stay_days]]&gt;7,"Yes","No")</f>
        <v>No</v>
      </c>
    </row>
    <row r="2992" spans="1:13" x14ac:dyDescent="0.3">
      <c r="A2992" t="s">
        <v>3392</v>
      </c>
      <c r="B2992">
        <v>87</v>
      </c>
      <c r="C2992" t="s">
        <v>20</v>
      </c>
      <c r="D2992" t="s">
        <v>13</v>
      </c>
      <c r="E2992" t="s">
        <v>21</v>
      </c>
      <c r="F2992" t="s">
        <v>78</v>
      </c>
      <c r="G2992" t="s">
        <v>148</v>
      </c>
      <c r="H2992">
        <v>5</v>
      </c>
      <c r="I2992" s="1">
        <v>5144.9799999999996</v>
      </c>
      <c r="J2992" t="s">
        <v>17</v>
      </c>
      <c r="K2992" t="s">
        <v>18</v>
      </c>
      <c r="L2992" t="str" cm="1">
        <f t="array" ref="L2992">_xlfn.IFS(B2992&lt;30,"18-29",B2992&lt;45,"30-44",B2992&lt;60,"45-59",B2992&lt;75,"60-74",B2992&lt;=90,"75-90")</f>
        <v>75-90</v>
      </c>
      <c r="M2992" t="str">
        <f>IF(Table1[[#This Row],[length_of_stay_days]]&gt;7,"Yes","No")</f>
        <v>No</v>
      </c>
    </row>
    <row r="2993" spans="1:13" x14ac:dyDescent="0.3">
      <c r="A2993" t="s">
        <v>3393</v>
      </c>
      <c r="B2993">
        <v>76</v>
      </c>
      <c r="C2993" t="s">
        <v>70</v>
      </c>
      <c r="D2993" t="s">
        <v>28</v>
      </c>
      <c r="E2993" t="s">
        <v>28</v>
      </c>
      <c r="F2993" t="s">
        <v>460</v>
      </c>
      <c r="G2993" t="s">
        <v>154</v>
      </c>
      <c r="H2993">
        <v>7</v>
      </c>
      <c r="I2993" s="1">
        <v>8239.7900000000009</v>
      </c>
      <c r="J2993" t="s">
        <v>17</v>
      </c>
      <c r="K2993" t="s">
        <v>18</v>
      </c>
      <c r="L2993" t="str" cm="1">
        <f t="array" ref="L2993">_xlfn.IFS(B2993&lt;30,"18-29",B2993&lt;45,"30-44",B2993&lt;60,"45-59",B2993&lt;75,"60-74",B2993&lt;=90,"75-90")</f>
        <v>75-90</v>
      </c>
      <c r="M2993" t="str">
        <f>IF(Table1[[#This Row],[length_of_stay_days]]&gt;7,"Yes","No")</f>
        <v>No</v>
      </c>
    </row>
    <row r="2994" spans="1:13" x14ac:dyDescent="0.3">
      <c r="A2994" t="s">
        <v>3394</v>
      </c>
      <c r="B2994">
        <v>55</v>
      </c>
      <c r="C2994" t="s">
        <v>12</v>
      </c>
      <c r="D2994" t="s">
        <v>55</v>
      </c>
      <c r="E2994" t="s">
        <v>14</v>
      </c>
      <c r="F2994" t="s">
        <v>64</v>
      </c>
      <c r="G2994" t="s">
        <v>527</v>
      </c>
      <c r="H2994">
        <v>3</v>
      </c>
      <c r="I2994" s="1">
        <v>8700.52</v>
      </c>
      <c r="J2994" t="s">
        <v>17</v>
      </c>
      <c r="K2994" t="s">
        <v>18</v>
      </c>
      <c r="L2994" t="str" cm="1">
        <f t="array" ref="L2994">_xlfn.IFS(B2994&lt;30,"18-29",B2994&lt;45,"30-44",B2994&lt;60,"45-59",B2994&lt;75,"60-74",B2994&lt;=90,"75-90")</f>
        <v>45-59</v>
      </c>
      <c r="M2994" t="str">
        <f>IF(Table1[[#This Row],[length_of_stay_days]]&gt;7,"Yes","No")</f>
        <v>No</v>
      </c>
    </row>
    <row r="2995" spans="1:13" x14ac:dyDescent="0.3">
      <c r="A2995" t="s">
        <v>3395</v>
      </c>
      <c r="B2995">
        <v>72</v>
      </c>
      <c r="C2995" t="s">
        <v>20</v>
      </c>
      <c r="D2995" t="s">
        <v>51</v>
      </c>
      <c r="E2995" t="s">
        <v>28</v>
      </c>
      <c r="F2995" t="s">
        <v>137</v>
      </c>
      <c r="G2995" t="s">
        <v>15</v>
      </c>
      <c r="H2995">
        <v>6</v>
      </c>
      <c r="I2995" s="1">
        <v>12078.97</v>
      </c>
      <c r="J2995" t="s">
        <v>49</v>
      </c>
      <c r="K2995" t="s">
        <v>18</v>
      </c>
      <c r="L2995" t="str" cm="1">
        <f t="array" ref="L2995">_xlfn.IFS(B2995&lt;30,"18-29",B2995&lt;45,"30-44",B2995&lt;60,"45-59",B2995&lt;75,"60-74",B2995&lt;=90,"75-90")</f>
        <v>60-74</v>
      </c>
      <c r="M2995" t="str">
        <f>IF(Table1[[#This Row],[length_of_stay_days]]&gt;7,"Yes","No")</f>
        <v>No</v>
      </c>
    </row>
    <row r="2996" spans="1:13" x14ac:dyDescent="0.3">
      <c r="A2996" t="s">
        <v>3396</v>
      </c>
      <c r="B2996">
        <v>41</v>
      </c>
      <c r="C2996" t="s">
        <v>20</v>
      </c>
      <c r="D2996" t="s">
        <v>46</v>
      </c>
      <c r="E2996" t="s">
        <v>28</v>
      </c>
      <c r="F2996" t="s">
        <v>829</v>
      </c>
      <c r="G2996" t="s">
        <v>130</v>
      </c>
      <c r="H2996">
        <v>7</v>
      </c>
      <c r="I2996" s="1">
        <v>12965.15</v>
      </c>
      <c r="J2996" t="s">
        <v>17</v>
      </c>
      <c r="K2996" t="s">
        <v>44</v>
      </c>
      <c r="L2996" t="str" cm="1">
        <f t="array" ref="L2996">_xlfn.IFS(B2996&lt;30,"18-29",B2996&lt;45,"30-44",B2996&lt;60,"45-59",B2996&lt;75,"60-74",B2996&lt;=90,"75-90")</f>
        <v>30-44</v>
      </c>
      <c r="M2996" t="str">
        <f>IF(Table1[[#This Row],[length_of_stay_days]]&gt;7,"Yes","No")</f>
        <v>No</v>
      </c>
    </row>
    <row r="2997" spans="1:13" x14ac:dyDescent="0.3">
      <c r="A2997" t="s">
        <v>3397</v>
      </c>
      <c r="B2997">
        <v>78</v>
      </c>
      <c r="C2997" t="s">
        <v>12</v>
      </c>
      <c r="D2997" t="s">
        <v>55</v>
      </c>
      <c r="E2997" t="s">
        <v>21</v>
      </c>
      <c r="F2997" t="s">
        <v>467</v>
      </c>
      <c r="G2997" t="s">
        <v>376</v>
      </c>
      <c r="H2997">
        <v>7</v>
      </c>
      <c r="I2997" s="1">
        <v>9000.18</v>
      </c>
      <c r="J2997" t="s">
        <v>17</v>
      </c>
      <c r="K2997" t="s">
        <v>18</v>
      </c>
      <c r="L2997" t="str" cm="1">
        <f t="array" ref="L2997">_xlfn.IFS(B2997&lt;30,"18-29",B2997&lt;45,"30-44",B2997&lt;60,"45-59",B2997&lt;75,"60-74",B2997&lt;=90,"75-90")</f>
        <v>75-90</v>
      </c>
      <c r="M2997" t="str">
        <f>IF(Table1[[#This Row],[length_of_stay_days]]&gt;7,"Yes","No")</f>
        <v>No</v>
      </c>
    </row>
    <row r="2998" spans="1:13" x14ac:dyDescent="0.3">
      <c r="A2998" t="s">
        <v>3398</v>
      </c>
      <c r="B2998">
        <v>54</v>
      </c>
      <c r="C2998" t="s">
        <v>20</v>
      </c>
      <c r="D2998" t="s">
        <v>13</v>
      </c>
      <c r="E2998" t="s">
        <v>14</v>
      </c>
      <c r="F2998" t="s">
        <v>96</v>
      </c>
      <c r="G2998" t="s">
        <v>143</v>
      </c>
      <c r="H2998">
        <v>3</v>
      </c>
      <c r="I2998" s="1">
        <v>6373.88</v>
      </c>
      <c r="J2998" t="s">
        <v>17</v>
      </c>
      <c r="K2998" t="s">
        <v>18</v>
      </c>
      <c r="L2998" t="str" cm="1">
        <f t="array" ref="L2998">_xlfn.IFS(B2998&lt;30,"18-29",B2998&lt;45,"30-44",B2998&lt;60,"45-59",B2998&lt;75,"60-74",B2998&lt;=90,"75-90")</f>
        <v>45-59</v>
      </c>
      <c r="M2998" t="str">
        <f>IF(Table1[[#This Row],[length_of_stay_days]]&gt;7,"Yes","No")</f>
        <v>No</v>
      </c>
    </row>
    <row r="2999" spans="1:13" x14ac:dyDescent="0.3">
      <c r="A2999" t="s">
        <v>3399</v>
      </c>
      <c r="B2999">
        <v>33</v>
      </c>
      <c r="C2999" t="s">
        <v>12</v>
      </c>
      <c r="D2999" t="s">
        <v>51</v>
      </c>
      <c r="E2999" t="s">
        <v>28</v>
      </c>
      <c r="F2999" t="s">
        <v>339</v>
      </c>
      <c r="G2999" t="s">
        <v>105</v>
      </c>
      <c r="H2999">
        <v>7</v>
      </c>
      <c r="I2999" s="1">
        <v>12027.45</v>
      </c>
      <c r="J2999" t="s">
        <v>17</v>
      </c>
      <c r="K2999" t="s">
        <v>18</v>
      </c>
      <c r="L2999" t="str" cm="1">
        <f t="array" ref="L2999">_xlfn.IFS(B2999&lt;30,"18-29",B2999&lt;45,"30-44",B2999&lt;60,"45-59",B2999&lt;75,"60-74",B2999&lt;=90,"75-90")</f>
        <v>30-44</v>
      </c>
      <c r="M2999" t="str">
        <f>IF(Table1[[#This Row],[length_of_stay_days]]&gt;7,"Yes","No")</f>
        <v>No</v>
      </c>
    </row>
    <row r="3000" spans="1:13" x14ac:dyDescent="0.3">
      <c r="A3000" t="s">
        <v>3400</v>
      </c>
      <c r="B3000">
        <v>38</v>
      </c>
      <c r="C3000" t="s">
        <v>20</v>
      </c>
      <c r="D3000" t="s">
        <v>46</v>
      </c>
      <c r="E3000" t="s">
        <v>14</v>
      </c>
      <c r="F3000" t="s">
        <v>456</v>
      </c>
      <c r="G3000" t="s">
        <v>77</v>
      </c>
      <c r="H3000">
        <v>4</v>
      </c>
      <c r="I3000" s="1">
        <v>11453.65</v>
      </c>
      <c r="J3000" t="s">
        <v>17</v>
      </c>
      <c r="K3000" t="s">
        <v>18</v>
      </c>
      <c r="L3000" t="str" cm="1">
        <f t="array" ref="L3000">_xlfn.IFS(B3000&lt;30,"18-29",B3000&lt;45,"30-44",B3000&lt;60,"45-59",B3000&lt;75,"60-74",B3000&lt;=90,"75-90")</f>
        <v>30-44</v>
      </c>
      <c r="M3000" t="str">
        <f>IF(Table1[[#This Row],[length_of_stay_days]]&gt;7,"Yes","No")</f>
        <v>No</v>
      </c>
    </row>
    <row r="3001" spans="1:13" x14ac:dyDescent="0.3">
      <c r="A3001" t="s">
        <v>3401</v>
      </c>
      <c r="B3001">
        <v>70</v>
      </c>
      <c r="C3001" t="s">
        <v>12</v>
      </c>
      <c r="D3001" t="s">
        <v>28</v>
      </c>
      <c r="E3001" t="s">
        <v>21</v>
      </c>
      <c r="F3001" t="s">
        <v>376</v>
      </c>
      <c r="G3001" t="s">
        <v>143</v>
      </c>
      <c r="H3001">
        <v>4</v>
      </c>
      <c r="I3001" s="1">
        <v>4891.57</v>
      </c>
      <c r="J3001" t="s">
        <v>17</v>
      </c>
      <c r="K3001" t="s">
        <v>18</v>
      </c>
      <c r="L3001" t="str" cm="1">
        <f t="array" ref="L3001">_xlfn.IFS(B3001&lt;30,"18-29",B3001&lt;45,"30-44",B3001&lt;60,"45-59",B3001&lt;75,"60-74",B3001&lt;=90,"75-90")</f>
        <v>60-74</v>
      </c>
      <c r="M3001" t="str">
        <f>IF(Table1[[#This Row],[length_of_stay_days]]&gt;7,"Yes","No")</f>
        <v>No</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E86C-CCB4-4D8F-BF34-2A0126942A40}">
  <dimension ref="A2:B27"/>
  <sheetViews>
    <sheetView workbookViewId="0">
      <selection activeCell="B27" sqref="B27"/>
    </sheetView>
  </sheetViews>
  <sheetFormatPr defaultRowHeight="15.6" x14ac:dyDescent="0.3"/>
  <cols>
    <col min="1" max="1" width="8.88671875" style="2"/>
    <col min="2" max="2" width="201.21875" style="2" bestFit="1" customWidth="1"/>
    <col min="3" max="16384" width="8.88671875" style="2"/>
  </cols>
  <sheetData>
    <row r="2" spans="1:2" x14ac:dyDescent="0.3">
      <c r="A2" s="13" t="s">
        <v>3428</v>
      </c>
      <c r="B2" s="18" t="s">
        <v>3402</v>
      </c>
    </row>
    <row r="3" spans="1:2" x14ac:dyDescent="0.3">
      <c r="A3" s="14" t="s">
        <v>3429</v>
      </c>
      <c r="B3" s="12" t="s">
        <v>3433</v>
      </c>
    </row>
    <row r="4" spans="1:2" x14ac:dyDescent="0.3">
      <c r="A4" s="15" t="s">
        <v>3430</v>
      </c>
      <c r="B4" s="16" t="s">
        <v>3431</v>
      </c>
    </row>
    <row r="5" spans="1:2" x14ac:dyDescent="0.3">
      <c r="A5" s="15"/>
      <c r="B5" s="12"/>
    </row>
    <row r="6" spans="1:2" x14ac:dyDescent="0.3">
      <c r="A6" s="13" t="s">
        <v>3428</v>
      </c>
      <c r="B6" s="18" t="s">
        <v>3403</v>
      </c>
    </row>
    <row r="7" spans="1:2" x14ac:dyDescent="0.3">
      <c r="A7" s="14" t="s">
        <v>3429</v>
      </c>
      <c r="B7" s="19" t="s">
        <v>3434</v>
      </c>
    </row>
    <row r="8" spans="1:2" x14ac:dyDescent="0.3">
      <c r="A8" s="15" t="s">
        <v>3430</v>
      </c>
      <c r="B8" s="16" t="s">
        <v>3435</v>
      </c>
    </row>
    <row r="9" spans="1:2" x14ac:dyDescent="0.3">
      <c r="A9" s="15"/>
      <c r="B9"/>
    </row>
    <row r="10" spans="1:2" x14ac:dyDescent="0.3">
      <c r="A10" s="13" t="s">
        <v>3428</v>
      </c>
      <c r="B10" s="18" t="s">
        <v>3404</v>
      </c>
    </row>
    <row r="11" spans="1:2" x14ac:dyDescent="0.3">
      <c r="A11" s="14" t="s">
        <v>3429</v>
      </c>
      <c r="B11" s="19" t="s">
        <v>3432</v>
      </c>
    </row>
    <row r="12" spans="1:2" x14ac:dyDescent="0.3">
      <c r="A12" s="15" t="s">
        <v>3430</v>
      </c>
      <c r="B12" s="16" t="s">
        <v>3436</v>
      </c>
    </row>
    <row r="13" spans="1:2" x14ac:dyDescent="0.3">
      <c r="A13" s="15"/>
      <c r="B13" s="17"/>
    </row>
    <row r="14" spans="1:2" x14ac:dyDescent="0.3">
      <c r="A14" s="13" t="s">
        <v>3428</v>
      </c>
      <c r="B14" s="18" t="s">
        <v>3405</v>
      </c>
    </row>
    <row r="15" spans="1:2" x14ac:dyDescent="0.3">
      <c r="A15" s="14" t="s">
        <v>3429</v>
      </c>
      <c r="B15" s="19" t="s">
        <v>3437</v>
      </c>
    </row>
    <row r="16" spans="1:2" x14ac:dyDescent="0.3">
      <c r="A16" s="15" t="s">
        <v>3430</v>
      </c>
      <c r="B16" s="16" t="s">
        <v>3438</v>
      </c>
    </row>
    <row r="17" spans="1:2" x14ac:dyDescent="0.3">
      <c r="A17" s="15"/>
      <c r="B17" s="17"/>
    </row>
    <row r="18" spans="1:2" x14ac:dyDescent="0.3">
      <c r="A18" s="13" t="s">
        <v>3428</v>
      </c>
      <c r="B18" s="18" t="s">
        <v>3406</v>
      </c>
    </row>
    <row r="19" spans="1:2" x14ac:dyDescent="0.3">
      <c r="A19" s="14" t="s">
        <v>3429</v>
      </c>
      <c r="B19" s="19" t="s">
        <v>3439</v>
      </c>
    </row>
    <row r="20" spans="1:2" x14ac:dyDescent="0.3">
      <c r="A20" s="15" t="s">
        <v>3430</v>
      </c>
      <c r="B20" s="16" t="s">
        <v>3440</v>
      </c>
    </row>
    <row r="21" spans="1:2" x14ac:dyDescent="0.3">
      <c r="A21" s="15"/>
      <c r="B21" s="17"/>
    </row>
    <row r="22" spans="1:2" x14ac:dyDescent="0.3">
      <c r="A22" s="13" t="s">
        <v>3428</v>
      </c>
      <c r="B22" s="18" t="s">
        <v>3407</v>
      </c>
    </row>
    <row r="23" spans="1:2" x14ac:dyDescent="0.3">
      <c r="A23" s="14" t="s">
        <v>3429</v>
      </c>
      <c r="B23" s="19" t="s">
        <v>3441</v>
      </c>
    </row>
    <row r="24" spans="1:2" x14ac:dyDescent="0.3">
      <c r="A24" s="15" t="s">
        <v>3430</v>
      </c>
      <c r="B24" s="16" t="s">
        <v>3442</v>
      </c>
    </row>
    <row r="25" spans="1:2" x14ac:dyDescent="0.3">
      <c r="A25" s="15"/>
      <c r="B25" s="17"/>
    </row>
    <row r="26" spans="1:2" x14ac:dyDescent="0.3">
      <c r="A26" s="13" t="s">
        <v>3428</v>
      </c>
      <c r="B26" s="18" t="s">
        <v>3408</v>
      </c>
    </row>
    <row r="27" spans="1:2" x14ac:dyDescent="0.3">
      <c r="A27" s="14"/>
      <c r="B27" s="11" t="s">
        <v>3427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PivotTables</vt:lpstr>
      <vt:lpstr>Hospital Data</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00</cp:lastModifiedBy>
  <dcterms:created xsi:type="dcterms:W3CDTF">2026-10-22T23:47:09Z</dcterms:created>
  <dcterms:modified xsi:type="dcterms:W3CDTF">2026-10-29T18:03:46Z</dcterms:modified>
</cp:coreProperties>
</file>